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1"/>
  <workbookPr/>
  <mc:AlternateContent xmlns:mc="http://schemas.openxmlformats.org/markup-compatibility/2006">
    <mc:Choice Requires="x15">
      <x15ac:absPath xmlns:x15ac="http://schemas.microsoft.com/office/spreadsheetml/2010/11/ac" url="/Users/sxc1527/Desktop/Susan Work/SCT 1022 026916-1 (BUDGET) Scottish Budget  2023-24/SCT10220269161/"/>
    </mc:Choice>
  </mc:AlternateContent>
  <xr:revisionPtr revIDLastSave="0" documentId="8_{96C54AA2-79B3-5744-8AAA-2BE3BA2880EA}" xr6:coauthVersionLast="47" xr6:coauthVersionMax="47" xr10:uidLastSave="{00000000-0000-0000-0000-000000000000}"/>
  <bookViews>
    <workbookView xWindow="0" yWindow="460" windowWidth="28800" windowHeight="12460" activeTab="1" xr2:uid="{00000000-000D-0000-FFFF-FFFF00000000}"/>
  </bookViews>
  <sheets>
    <sheet name="CONTENTS" sheetId="10" r:id="rId1"/>
    <sheet name="H&amp;SC" sheetId="1" r:id="rId2"/>
    <sheet name="SJHLG" sheetId="2" r:id="rId3"/>
    <sheet name="F&amp;E" sheetId="3" r:id="rId4"/>
    <sheet name="E&amp;S" sheetId="4" r:id="rId5"/>
    <sheet name="JV" sheetId="5" r:id="rId6"/>
    <sheet name="NZET" sheetId="6" r:id="rId7"/>
    <sheet name="RAI" sheetId="7" r:id="rId8"/>
    <sheet name="CEAC" sheetId="8" r:id="rId9"/>
    <sheet name="DFMCR"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8" i="1" l="1"/>
  <c r="L188" i="1" l="1"/>
  <c r="I188" i="1"/>
  <c r="J188" i="1"/>
  <c r="K188" i="1"/>
  <c r="H188" i="1"/>
  <c r="M165" i="7" l="1"/>
</calcChain>
</file>

<file path=xl/sharedStrings.xml><?xml version="1.0" encoding="utf-8"?>
<sst xmlns="http://schemas.openxmlformats.org/spreadsheetml/2006/main" count="2483" uniqueCount="1826">
  <si>
    <t>NHS Territorial Boards</t>
  </si>
  <si>
    <t xml:space="preserve">NHS Territorial Boards </t>
  </si>
  <si>
    <t>Level 3 Total</t>
  </si>
  <si>
    <t xml:space="preserve">NHS National Boards </t>
  </si>
  <si>
    <t>Health Capital Investment</t>
  </si>
  <si>
    <t>NHS Territorial &amp; National Boards Capital Investment</t>
  </si>
  <si>
    <t>Community Health Services</t>
  </si>
  <si>
    <t>General Medical Services</t>
  </si>
  <si>
    <t>Primary Care Fund</t>
  </si>
  <si>
    <t>Other below £2m</t>
  </si>
  <si>
    <t>Pharmaceutical Services Contractors' Remuneration</t>
  </si>
  <si>
    <t>Other Below £2m</t>
  </si>
  <si>
    <t xml:space="preserve">General Dental Services </t>
  </si>
  <si>
    <t>Miscellaneous Other Dental Services</t>
  </si>
  <si>
    <t>Community Eyecare</t>
  </si>
  <si>
    <t>Mental Health Services</t>
  </si>
  <si>
    <t>Mental Health Service Improvement</t>
  </si>
  <si>
    <t>Mental Health Renewal and Recovery Plan</t>
  </si>
  <si>
    <t>Child Abuse Inquiry - Survivor Support Fund (Future Pathways)</t>
  </si>
  <si>
    <t>Scottish Autism Strategy</t>
  </si>
  <si>
    <t>Adult Survivors Fund (Survivor Support Policy)</t>
  </si>
  <si>
    <t>Keys to Life (Learning Disability)</t>
  </si>
  <si>
    <t>Departmental Allocations</t>
  </si>
  <si>
    <t>Outcomes Framework</t>
  </si>
  <si>
    <t>Education and Training</t>
  </si>
  <si>
    <t>Distinction Awards</t>
  </si>
  <si>
    <t>AHP &amp; HCS Training &amp; Development</t>
  </si>
  <si>
    <t>Clinical Academics and SAGPs</t>
  </si>
  <si>
    <t>District Nurses</t>
  </si>
  <si>
    <t>Bursary (Nursing &amp; Midwifery)</t>
  </si>
  <si>
    <t>Paramedics Bursaries</t>
  </si>
  <si>
    <t>Pre-reg. Nursing &amp; Midwifery Training</t>
  </si>
  <si>
    <t>Medical Education Package</t>
  </si>
  <si>
    <t>Workforce Projections</t>
  </si>
  <si>
    <t>GP Training Places</t>
  </si>
  <si>
    <t>IWP Additional Foundation posts</t>
  </si>
  <si>
    <t>NHS Academy</t>
  </si>
  <si>
    <t>Nursing Workload &amp; Workforce Capacity Building</t>
  </si>
  <si>
    <t>Medical School Places</t>
  </si>
  <si>
    <t>Nursing and Midwifery Contribution to the Quality Strategy</t>
  </si>
  <si>
    <t>Health Improvement and Protection</t>
  </si>
  <si>
    <t>Immunisations</t>
  </si>
  <si>
    <t>Scottish Infected Blood Support Scheme</t>
  </si>
  <si>
    <t>Organ Donation Policy</t>
  </si>
  <si>
    <t>Scottish National Blood Transfusion Service</t>
  </si>
  <si>
    <t>Gender Identity and Healthcare Access</t>
  </si>
  <si>
    <t>Tobacco Control (Smoking)</t>
  </si>
  <si>
    <t>Research Data Scotland (RDS)</t>
  </si>
  <si>
    <t>Alcohol and Drugs Policy</t>
  </si>
  <si>
    <t>National Mission on Drugs</t>
  </si>
  <si>
    <t>Alcohol and Drugs</t>
  </si>
  <si>
    <t>SportScotland</t>
  </si>
  <si>
    <t>Active Healthy Lives</t>
  </si>
  <si>
    <t xml:space="preserve"> </t>
  </si>
  <si>
    <t>National Care Service / Adult Social Care</t>
  </si>
  <si>
    <t>Social Care Support and NCS Delivery</t>
  </si>
  <si>
    <t>Independent Living Fund</t>
  </si>
  <si>
    <t>Care Inspectorate</t>
  </si>
  <si>
    <t>Social Care Nurse-led Directors</t>
  </si>
  <si>
    <t>Self Directed Support Programme</t>
  </si>
  <si>
    <t>Short breaks fund</t>
  </si>
  <si>
    <t>Hospital At Home</t>
  </si>
  <si>
    <t>Health and Social Care Integration</t>
  </si>
  <si>
    <t>Digital Health &amp; Care</t>
  </si>
  <si>
    <t>Early Years</t>
  </si>
  <si>
    <t>Family Nurse Partnership (FNP)</t>
  </si>
  <si>
    <t>Baby box</t>
  </si>
  <si>
    <t>Scottish Milk and Snack Scheme</t>
  </si>
  <si>
    <t>Maternity and Neonatal Services</t>
  </si>
  <si>
    <t>IVF</t>
  </si>
  <si>
    <t>Young Persons Family Fund</t>
  </si>
  <si>
    <t>Multiple Child Removals</t>
  </si>
  <si>
    <t>Quality and Improvement</t>
  </si>
  <si>
    <t>Person Centred Health Care</t>
  </si>
  <si>
    <t>Community Care Section 10 grants</t>
  </si>
  <si>
    <t>Thrombectomy</t>
  </si>
  <si>
    <t>Genomics</t>
  </si>
  <si>
    <t>Rehabilitation and Recovery Framework</t>
  </si>
  <si>
    <t>ICU Beds</t>
  </si>
  <si>
    <t>Covid-19 Funding and Other Services (restated)</t>
  </si>
  <si>
    <t>Health Research</t>
  </si>
  <si>
    <t>Health Innovation</t>
  </si>
  <si>
    <t>Realistic Medicine</t>
  </si>
  <si>
    <t>Forensic Medical Services (FMS) Act Implementation</t>
  </si>
  <si>
    <t>Empowering Communities</t>
  </si>
  <si>
    <t>Procurement - EPS</t>
  </si>
  <si>
    <t>Mesh injured women's support fund</t>
  </si>
  <si>
    <t>Medical devices - UDI and scanning</t>
  </si>
  <si>
    <t>Board resilience</t>
  </si>
  <si>
    <t>Corporate support</t>
  </si>
  <si>
    <t>Other Board Services and Miscellaneous Income</t>
  </si>
  <si>
    <t xml:space="preserve">Revenue Consequences of NPD Schemes </t>
  </si>
  <si>
    <t>NHS Impairments (AME)</t>
  </si>
  <si>
    <t xml:space="preserve">Health Financial Transactions </t>
  </si>
  <si>
    <t>Health Financial Transactions (Expenditure)</t>
  </si>
  <si>
    <t>Health Capital Income</t>
  </si>
  <si>
    <t xml:space="preserve">Health Capital Receipts </t>
  </si>
  <si>
    <t>Health and Sport TOTAL</t>
  </si>
  <si>
    <t>Food Standards Scotland</t>
  </si>
  <si>
    <t>GRAND TOTAL</t>
  </si>
  <si>
    <t>2022-23
Fiscal
Resource
£million</t>
  </si>
  <si>
    <t>2022-23
Non-cash
£million</t>
  </si>
  <si>
    <t>2022-23
Capital
£million</t>
  </si>
  <si>
    <t xml:space="preserve">
2022-23
Financial
Transactions
£million
</t>
  </si>
  <si>
    <t>2022-23
UK Funded
AME
£million</t>
  </si>
  <si>
    <t>2022-23
Scottish
Budget
£million</t>
  </si>
  <si>
    <t>2023-24
Fiscal
Resource
£million</t>
  </si>
  <si>
    <t>2023-24
Non-cash
£million</t>
  </si>
  <si>
    <t>2023-24
Capital
£million</t>
  </si>
  <si>
    <t xml:space="preserve">
2023-24
Financial
Transactions
£million
</t>
  </si>
  <si>
    <t>2023-24
UK Funded
AME
£million</t>
  </si>
  <si>
    <t>2023-24
Scottish
Budget
£million</t>
  </si>
  <si>
    <t>% Change
2023-24
on
2022-23</t>
  </si>
  <si>
    <t>What it buys</t>
  </si>
  <si>
    <t>Explanation of significant changes from previous year</t>
  </si>
  <si>
    <t>NHS Boards provide free and universal frontline healthcare services for patients and their families. NHSScotland Territorial Boards use their budget allocations to address National and Local Priorities for Health and Social Care.  This budget includes £363.3m of funding for improving patient outcomes, including £305m in waiting times and improvement, £17.8m in Cancer Funding and £40.5m to support Trauma Centres.</t>
  </si>
  <si>
    <t>National Boards provide support services to Territorial Boards in delivering national priorities.</t>
  </si>
  <si>
    <t>Investment in NHS Scotland property and equipment, e.g. National Treatment Centres, Baird and Anchor Centre in NHS Grampian and Parkhead Health Centre in NHS Greater Glasgow and Clyde.</t>
  </si>
  <si>
    <t xml:space="preserve">Funding of primary medical services commissioned by NHS Boards and delivered through GP practices.  Also includes support for continued preparatory and development work for a Community Hearing Service. </t>
  </si>
  <si>
    <t>This investment supports the crucial service that General Practice provides, supporting their work with a minimum annual £170m investment in multi-disciplinary teams, developing measures to support GP sustainability and supporting the development phase of Community Treatment and Care (CTAC) services.The investment will also allow for key Primary Care capacity and capability building, including support for health inequalities, increasing use of data and digital opportunities and supporting improvements in provision of primary care.</t>
  </si>
  <si>
    <t>Funding for various primary care initiatives including support for mental health and wellbeing workers’ inequalities, rural primary care and portfolio operating costs.</t>
  </si>
  <si>
    <t>National General Pharmacy Service.  Global sum negotiated with Community Pharmacy Scotland (CPS). Also incorporates Pharmacy First funding.</t>
  </si>
  <si>
    <t xml:space="preserve">Covers a range of pharmacy related budgets including Achieving Excellence in Pharmaceutical Care, Essential Medicines, Access to Medicines and ePharmacy, which support core components of Community Pharmacy Contract, and resource costs. </t>
  </si>
  <si>
    <t>This is a demand-led budget area required to provide NHS dental treatment and appliances.</t>
  </si>
  <si>
    <t xml:space="preserve">This covers a range of dental services, including payments to PPA for SLIS claims, and resource costs. </t>
  </si>
  <si>
    <t>This is required to meet the cost of providing free universal NHS-funded eye examinations under General Ophthalmic Services (GOS); as well as a range of other grants and allowances. Funding will also be used to continue roll-out of community-based services, relieving pressure on hospitals.</t>
  </si>
  <si>
    <t xml:space="preserve">Funding to support our approach to improve access to mental health services and deliver Strategic and Programme for Government commitments across mental health services for children, young people and adults. </t>
  </si>
  <si>
    <t>The Fund will ensure delivery of our Mental Health Transition and Recovery Plan, focussing on our investment in sustainable whole systems improvement as well as on prevention and early intervention.  It will include funding for specialist CAMHS services, psychological therapies, support for mental health in primary care and community-based wellbeing initiatives.</t>
  </si>
  <si>
    <t>Delivery of the in care survivor support fund and building capacity and capability of third and voluntary services that support survivors.</t>
  </si>
  <si>
    <t>Implementation of the Scottish Autism Strategy, so that individuals on the autism spectrum are respected, accepted and valued by their communities and have confidence in services to treat them fairly so that they are able to have meaningful and satisfying lives.</t>
  </si>
  <si>
    <t>This includes the Survivors of Childhood Abuse Support Fund which supports organisations delivering services to adult survivors of childhood abuse.</t>
  </si>
  <si>
    <t>Includes health screening for people with learning disabilities and related funding to Down's Syndrome Scotland, SCLD, SLDO and Inspiring Scotland.</t>
  </si>
  <si>
    <t>Includes funding for Protection of Vulnerable Groups, Dementia, trauma training expansion and resource costs.</t>
  </si>
  <si>
    <t>This funding is the combination of a number of high value in-year allocations provided to NHS Boards.</t>
  </si>
  <si>
    <t>Scheme in place that is aligned with the other UK nations, designed to provide competitive remuneration packages for consultants and ensure we attract and retain the right calibre and quality of employees.</t>
  </si>
  <si>
    <t xml:space="preserve">Funding to support the new Paramedic Degree course.  Planned intake of 280 students per year. Budget covers funding costs, tuition fees, other allowances and associated costs e.g. uniforms, health checks, placement expenses. Funding also supports training and development aligned to career pathways across Allied Health professions and Healthcare Science. </t>
  </si>
  <si>
    <t>The resource supports the commitment in the 2004 consultant contract to cover the salary costs associated with putting clinical academics on to the new consultant salary scale.</t>
  </si>
  <si>
    <t>This budget relates to the announcement that an additional 375 nurses will be introduced into the workforce within the district nursing service based upon the current skills mix.</t>
  </si>
  <si>
    <t>This is a demand led budget to enable financial support to student nurses and midwives. It delivers the commitment to retain the Nursing &amp; Midwifery Student Bursary and to provide additional support to students to enable wider participation and increased retention (including placement expenses, single parents, dependants and childcare allowances).</t>
  </si>
  <si>
    <t>Funding to support the £10,000 per annum bursary for students undertaking the new Paramedic Degree Course.</t>
  </si>
  <si>
    <t xml:space="preserve">Vast majority of this budget transfers to SFC to fund the cost of nursing and midwifery student education. Also funds student support costs, e.g. health checks and PVG checks. </t>
  </si>
  <si>
    <t>The Scottish Government is committed to a sustainable medical workforce and is increasing the number of medical undergraduate places through initiatives such as the 90 widening access places and 70 ScotGEM places. The Medical Education Package also funds the pre-medical entry places at the universities of Glasgow (40 places) and Aberdeen (30 places) which are designed to support school leavers who did not achieve the grades that are required for entry into medical school.</t>
  </si>
  <si>
    <t>Funds a number of progammes including Leadership and talent management, Capacity and Recruitment Strategy, Expansion posts and NTC Education and training.</t>
  </si>
  <si>
    <t>This budget relates to the public announcement made in 2016 to increase number of GP Speciality Training (GPST) Posts from 300 to 400, creating a new establishment of just under 1200 training places. This budget also funds the GP Trainer Grants which are needed due to the increased number of GP training places and the additional teaching support that is needed as a result.</t>
  </si>
  <si>
    <t xml:space="preserve">This budget will fund the ongoing expansion of Foundation places for new trainee doctors. 51 extra places were created and recruited to in 2021 and a further 54 places will be created in 2022 (105 extra places overall). </t>
  </si>
  <si>
    <t>A collaboration between NHS Golden Jubilee and NHS Education for Scotland, the Academy will contribute to improving staffing levels to meet growing patient needs. It will feature a mix of residential, distance and virtual reality learning, with a range of training programmes linked to recruitment, career progression and redesign of roles.</t>
  </si>
  <si>
    <t>To support implementation of the Health and Care (Staffing) (Scotland) Act 2019.  To support NHS Scotland to use workload tools and methods when setting staffing establishments, and meet other duties in Act to ensure: consistency, transparency, consideration of risk and clinical advice, and process for escalation, in relation to staffing decisions in order to support the provision of safe and high quality care.  To support the Care Inspectorate to develop staffing methods and tools for use in social care.</t>
  </si>
  <si>
    <t>Funding to support undergraduate places including the new 100 to be rolled out in 2023 related to the PfG commitment.</t>
  </si>
  <si>
    <t xml:space="preserve">This funding supports the implementation of the national Excellence in Care quality assurance Programme.  </t>
  </si>
  <si>
    <t>This budget includes funding for the HPV, Meningitis and Shingles vaccines.</t>
  </si>
  <si>
    <t>This covers the financial support for patients infected by NHS blood and their bereaved partners.</t>
  </si>
  <si>
    <t>Formerly known as Organ Donation Taskforce. This budget supports implementation of the Human Tissue (Authorisation) (Scotland) Act 2019 and the identification of obstacles to organ donation and implements solutions which would deliver an increase in transplants.</t>
  </si>
  <si>
    <t>Scottish National Blood Transfusion Service funding for investment in plasma collection and additional Hepatitis B testing for blood donors.</t>
  </si>
  <si>
    <t>Budget covers funding for PfG commitment to increase access to NHS Gender Identity Services. This centralised crisis intervention funding will improve care, support and services, working with people with lived experience and improving community provision.</t>
  </si>
  <si>
    <t>Budget supports the commitment to reduce smoking rates to 5% by 2034.</t>
  </si>
  <si>
    <t>N/A</t>
  </si>
  <si>
    <t>Funding promotes and advances health and social wellbeing in Scotland by enabling access to public sector data about people, places and businesses, and creating the conditions for collaborative data-driven research and innovation in the public good using that data.</t>
  </si>
  <si>
    <t>Budget will be used to support the aims of the National Mission; to reduce drug deaths and improve the lives of those impacted by drugs. This includes funding to support MAT Standards, residential rehabilitation and harm reduction initiatives including delivering the Drug Deaths Taskforce recommendations and cross government and Stigma action plans.</t>
  </si>
  <si>
    <t>Investment in local prevention, treatment, recovery and dealing with the consequences of problem alcohol and drug use.  This includes the £20 million Programme for Government commitment on alcohol and drugs.</t>
  </si>
  <si>
    <t>Funding to SportScotland to provide support for the development of sport within Scotland, and deliver against the Active Scotland Outcome framework ensuring everyone has the opportunity to be active.</t>
  </si>
  <si>
    <t>Support a wide range of activities to increase the amount of physical activity undertaken by the people of Scotland and support healthy lives. Also includes measures to address healthy weight management including type 2 diabetes and childhood obesity.</t>
  </si>
  <si>
    <t xml:space="preserve">The ILF provides practical assistance and support to disabled persons to allow them to participate in society and live a normal life. </t>
  </si>
  <si>
    <t xml:space="preserve">Funding to support the Care Inspectorate which is the independent scrutiny and improvement body for care services in Scotland. </t>
  </si>
  <si>
    <t>Increased investment in Nurse Directors for nursing support in care homes within social care sector during the pandemic. The funding is to put in place the necessary resources to enable Nurse Directors to ensure the provision of oversight, advice, support and guidance in relation to nursing practice and Infection Protection and Control in adult social care settings.</t>
  </si>
  <si>
    <t>This funding continues to support efforts to ensure consistent implementation and embedding of self-directed support. More broadly, this funding will continue to support a focus on reform and improvements in adult social care, linked to identified priorities for improvement, and the continued delivery of a programme of independent support across Scotland to help people and carers make informed decisions and plans for their social care.</t>
  </si>
  <si>
    <t>Relates to Carers Strategy Implementation and short breaks for unpaid carers.</t>
  </si>
  <si>
    <t xml:space="preserve">Funding to support delivery of acute hospital care in home settings. </t>
  </si>
  <si>
    <t>Provision of analytical support to NHS Boards to develop linking of health and social care data as part of Health and Social Care Integration; support to the IJB Chief Officers, Chief Finance Officers, and Chairs and Vice Chairs networks; and support for governance arrangements relating to integration at national level such as the Ministerial Strategic Group for Health and Community Care and the Integration Leadership Group.</t>
  </si>
  <si>
    <t>This budget line covers a number of small value budgets such as Learning Disabilities - The same as you?, Adult Survivors of Childhood Sexual Abuse, Sensory Impairment and the Health Directorate's contribution to the British Sign Language Bill. The budget also now includes staff costs previously included within other Care Support and Rights budgets.</t>
  </si>
  <si>
    <t xml:space="preserve">Development of new, and support for existing, national services and other contractual commitments which support safe, effective and efficient care. </t>
  </si>
  <si>
    <t>This budget covers resource costs.</t>
  </si>
  <si>
    <t>Relates to continued investment in FNP which aims to embed a licensed programme for young, first time parents, working with the parent to help them develop their own skills and resources to parent their child well, but also to support their future aspirations and reduce inter-generational inequalities.</t>
  </si>
  <si>
    <t>Commitment to provide baby boxes to all new mothers.</t>
  </si>
  <si>
    <t>Supports the provision of milk and a healthy snack (defined as a portion of fruit or vegetable) to all children enrolled in a registered preschool day care provider or childminder setting.</t>
  </si>
  <si>
    <t>Supports redesign and improvement of maternity and neonatal services</t>
  </si>
  <si>
    <t>Funding to support NHS Boards to continue to deliver equity of access to infertility services and a maximum waiting time of 12 months for IVF treatment throughout Scotland.</t>
  </si>
  <si>
    <t>Funding to alleviate financial costs for families visiting young in-patients. The fund is an expansion of the previous Neonatal Expenses Fund and now covers all in-patients under the age of 18.</t>
  </si>
  <si>
    <t xml:space="preserve">Budget will be used to fund a number of services designed to support women who have previously had child(ren) taken into care, with the aim of keeping birth families together. </t>
  </si>
  <si>
    <t xml:space="preserve">Investment in raising the profile of person-centred approaches to healthcare across Scotland, developing and testing a range of evidence-based interventions and approaches. </t>
  </si>
  <si>
    <t>This grant scheme aims to assist voluntary organisations to develop social care services and promote social welfare in Scotland.</t>
  </si>
  <si>
    <t>Continued investment for the introduction of a thrombectomy service in Scotland for stroke patients.</t>
  </si>
  <si>
    <t>Investment in the development of genomic medicine for the diagnosis of rare diseases and characterisation of cancers for targeted treatment. A longer term strategy will help Scotland to keep pace with advancements and realise opportunities for healthcare, research and life sciences.</t>
  </si>
  <si>
    <t xml:space="preserve">Part of a £10 million Long COVID Support Fund designed to maximise and improve the co-ordination of a broad range of existing services across the health and social care system and Third Sector in response to the condition. </t>
  </si>
  <si>
    <t>Increased ICU capacity across Scotland.  This will be recurring investment in Boards.</t>
  </si>
  <si>
    <t>Includes a range of services including National Action Plan on Neurological Conditions, Openness and Learning Unit, Cochlear Implants and Quality and Safety budget. The budget also includes staff costs.</t>
  </si>
  <si>
    <t>This budget encompasses support for clinical research in NHS Boards and by HEIs, research charities and other research funders. It also includes the SG health contribution to the National Institute for Health Research enabling access for clinical researchers in Scotland to UK-wide research funding programmes.</t>
  </si>
  <si>
    <t>Support for the promotion, development and adoption of innovative products, technologies, and services to drive improvements in NHS service delivery and patient care and to support economic growth in the Scottish life sciences sector.</t>
  </si>
  <si>
    <t>It will support the public and healthcare professionals to practise Realistic Medicine by developing and implementing a range of training, tools, guidance and support that will help deliver a more personalised approach to care, tackle unwarranted variation, and provide better value care for both patients and NHSScotland.</t>
  </si>
  <si>
    <t>This funding supports national actions connected to health boards’ implementation of the Forensic Medical Services (Victims of Sexual Offences) (Scotland) Act 2021, which seeks to provide consistent, person-centred, trauma-informed healthcare and forensic medical services for anyone who has experienced rape, sexual assault or child sexual abuse.</t>
  </si>
  <si>
    <t xml:space="preserve">Health contribution to wider SG initiative supporting communities. </t>
  </si>
  <si>
    <t>Health contribution to SG procurement.</t>
  </si>
  <si>
    <t>Support a range of activities including the specialist centre hosted by NHS GGC.</t>
  </si>
  <si>
    <t>A programme to improve identification and tracking of medical devices further to new obligations under the Medicines and Medical Devices Act 2021.</t>
  </si>
  <si>
    <t xml:space="preserve">This spending maintains the preparedness of Scottish Government and NHS Scotland for the event of a new influenza pandemic. </t>
  </si>
  <si>
    <t>Corporate support for Health and Social Care Directorates and Portfolio's share of Corporate Running Costs.</t>
  </si>
  <si>
    <t>SG support for annual service payments for operational hub/NPD projects.</t>
  </si>
  <si>
    <t>This is a non-cash annually managed expenditure (AME) budget which relates to changes in property valuations of NHSScotland assets. There are a number of reasons as to why an asset may be impaired, all of which are defined by the Treasury published Financial Reporting Manual. For NHSScotland, the majority of impairments relate to properties being written down either when a new a new building is valued for the first time (to depreciated replacement cost) or when it is about to be sold (open market value).</t>
  </si>
  <si>
    <t>Specific loans funding.</t>
  </si>
  <si>
    <t>Planned capital receipts support the capital programme for the year.</t>
  </si>
  <si>
    <t>Food Standards Scotland's primary concern is consumer protection - making sure that food is safe to eat, ensuring customers know what they are eating and improving nutrition.</t>
  </si>
  <si>
    <t>Social Justice, Housing and Local Government</t>
  </si>
  <si>
    <t>Equality, Inclusion and Human Rights</t>
  </si>
  <si>
    <t>Promoting Equality and Human Rights</t>
  </si>
  <si>
    <t>Connected Communities</t>
  </si>
  <si>
    <t>Delivery &amp; Mainstreaming</t>
  </si>
  <si>
    <t>Equality &amp; Inclusion</t>
  </si>
  <si>
    <t>Human Rights Policy</t>
  </si>
  <si>
    <t>Total Equality, Inclusion and Human Rights Level 2</t>
  </si>
  <si>
    <t>Social Security</t>
  </si>
  <si>
    <t>Scottish Welfare Fund - Admin</t>
  </si>
  <si>
    <t>Social Security Advice, Policy and Programme</t>
  </si>
  <si>
    <t>Social Security Scotland</t>
  </si>
  <si>
    <t>Total Social Security Level 2</t>
  </si>
  <si>
    <t>Social Security Assistance</t>
  </si>
  <si>
    <t>Scottish Welfare Fund</t>
  </si>
  <si>
    <t>Carer’s Allowance</t>
  </si>
  <si>
    <t>Carer’s Allowance Supplement</t>
  </si>
  <si>
    <t>Adult Disability Payment</t>
  </si>
  <si>
    <t>Attendance Allowance</t>
  </si>
  <si>
    <t>Disability Living Allowance (Adult)</t>
  </si>
  <si>
    <t>Child Disability Payment</t>
  </si>
  <si>
    <t>Industrial Injuries Disablement Scheme</t>
  </si>
  <si>
    <t>Severe Disablement Allowance</t>
  </si>
  <si>
    <t>Best Start Grant</t>
  </si>
  <si>
    <t>Best Start Foods</t>
  </si>
  <si>
    <t>Funeral Support Payment</t>
  </si>
  <si>
    <t>Job Start Payment</t>
  </si>
  <si>
    <t>Young Carer Grant</t>
  </si>
  <si>
    <t>Child Winter Heating Assistance</t>
  </si>
  <si>
    <t>Scottish Child Payment</t>
  </si>
  <si>
    <t>Winter Heating Payment</t>
  </si>
  <si>
    <t>Total Social Security Assistance Level 2</t>
  </si>
  <si>
    <t>Third Sector</t>
  </si>
  <si>
    <t>Total - Third Sector</t>
  </si>
  <si>
    <t>Housing</t>
  </si>
  <si>
    <t>More Homes</t>
  </si>
  <si>
    <t>Housing Supply and Infrastructure</t>
  </si>
  <si>
    <t>Housing Supply - Financial Transactions (Expenditure)</t>
  </si>
  <si>
    <t>Housing Supply - Financial Transactions (Income)</t>
  </si>
  <si>
    <t>Housing Receipts</t>
  </si>
  <si>
    <t>Total - More Homes</t>
  </si>
  <si>
    <t>Fuel Poverty and Housing Quality</t>
  </si>
  <si>
    <t>Total - Fuel Poverty and Housing Quality</t>
  </si>
  <si>
    <t>Housing Support</t>
  </si>
  <si>
    <t>Housing Support and Homelessness</t>
  </si>
  <si>
    <t>Discretionary Housing Payments</t>
  </si>
  <si>
    <t>Total - Housing Support</t>
  </si>
  <si>
    <t>Total - Housing</t>
  </si>
  <si>
    <t>Building Standards</t>
  </si>
  <si>
    <t>Total - Building Standards</t>
  </si>
  <si>
    <t>Tackling Child Poverty and Social Justice</t>
  </si>
  <si>
    <t>Social Justice</t>
  </si>
  <si>
    <t>Total - Social Justice</t>
  </si>
  <si>
    <t>Communities Analysis</t>
  </si>
  <si>
    <t>Total - Communities Analysis</t>
  </si>
  <si>
    <t>Total - Tackling Child Poverty and Social Justice</t>
  </si>
  <si>
    <t>Office of the Scottish Charity Regulator</t>
  </si>
  <si>
    <t>Total - Office of the Scottish Charity Regulator</t>
  </si>
  <si>
    <t>Scottish Housing Regulator</t>
  </si>
  <si>
    <t>Total - Scottish Housing Regulator</t>
  </si>
  <si>
    <t>Local Government</t>
  </si>
  <si>
    <t>General Revenue Grant</t>
  </si>
  <si>
    <t>Non Domestic Rates &amp; Other AME</t>
  </si>
  <si>
    <t>Support for Capital</t>
  </si>
  <si>
    <t>Specific Resource Grants</t>
  </si>
  <si>
    <t>Specific Capital Grants</t>
  </si>
  <si>
    <t>Local Government Advice and Policy</t>
  </si>
  <si>
    <t>Local Governance</t>
  </si>
  <si>
    <t>Total - Local Government Advice and Policy</t>
  </si>
  <si>
    <t>Total - Local Government</t>
  </si>
  <si>
    <t>Ukrainian Resettlement</t>
  </si>
  <si>
    <t>Total - Ukrainian Resettlement</t>
  </si>
  <si>
    <t>ROUNDING ADJUSTMENTS</t>
  </si>
  <si>
    <t>Total - Social Justice, Housing and Local Government</t>
  </si>
  <si>
    <t>Social Justice and Housing COVID Funding</t>
  </si>
  <si>
    <t>Allocation of COVID consequentials to Social Justice and Housing</t>
  </si>
  <si>
    <t>Total Social Justice and Housing COVID Funding</t>
  </si>
  <si>
    <t>Local Government COVID Funding</t>
  </si>
  <si>
    <t>Allocation of COVID consequentials to Local Government</t>
  </si>
  <si>
    <t>Total Local Government COVID Funding</t>
  </si>
  <si>
    <t>Local Government Grants</t>
  </si>
  <si>
    <t>Vacant and Derelict Land  (LA Capital Specific Grant)</t>
  </si>
  <si>
    <t>Transfer of Management of Development Funding (TMDF)  (LA Capital Specific Grant)</t>
  </si>
  <si>
    <t>Work with partners to support asylum seeker and refugee integration, strengthen interfaith relations and dialogue, and work to tackle prejudice and build connected communities.  Includes implementation of a Hate Crime Bill and work with partners to safeguard vulnerable individuals who may be drawn towards divisive ideologies. </t>
  </si>
  <si>
    <t xml:space="preserve">Work to drive an ambitious and progressive agenda to ensure equality and human rights are embedded in all we do, including developing an equality and human rights mainstreaming strategy, reviewing the operation of the Public Sector Equality Duty as it operates in Scotland and further embedding equality and human rights in the budget process. </t>
  </si>
  <si>
    <t>This budget supports the equality and human rights infrastructure across Scotland. Investing in the capacity of equality organisations; Strategic Interventions to support key equality outcomes; and specific funds to support frontline activity to address violence against women and to support activities to promote equality and human rights.</t>
  </si>
  <si>
    <t xml:space="preserve">Design and delivery of the Scottish Government's Human Rights policy including international treaty reporting and follow-up and work to consult on a Human Rights Bill.  </t>
  </si>
  <si>
    <t xml:space="preserve">This budget supports the equality and human rights infrastructure across Scotland. Investing in the capacity of equality organisations; Strategic Interventions to support key equality outcomes; and specific funds to support frontline activity to address violence against women and to support activities to promote equality and human rights.  </t>
  </si>
  <si>
    <t>This budget line has been split into 3: Delivery &amp; Mainstreaming, Equality &amp; Inclusion, Human Rights Policy wihtin Equaly, Inclusion and Human Rights</t>
  </si>
  <si>
    <t>Increase in spending to suppoprt asylum seekers &amp; refugee integration and implementaiton of the Hate Crime Act</t>
  </si>
  <si>
    <t>New budget line, disaggregated from "Promoting Equality and Human Rights". Includes staff costs of for the business management team.</t>
  </si>
  <si>
    <t>New budget line, disaggregated from "Promoting Equality and Human Rights"</t>
  </si>
  <si>
    <t>Funding to Local Authorities for administration costs associated with delivery of the Scottish Welfare Fund.</t>
  </si>
  <si>
    <t>No change</t>
  </si>
  <si>
    <t>Funding supports the substantial programme of work to design, develop and implement our social security powers.</t>
  </si>
  <si>
    <t xml:space="preserve">This funding will support our planned  increase in resources for implementation of the remaining devolved benefits. In 2023-24 we will launch Scottish Carer's Assistance while continuing development work on the remaining devolved benefits and the Case Transfer process. </t>
  </si>
  <si>
    <t xml:space="preserve">Social Security Scotland is responsible for the delivery of all benefits devolved under the Scotland Act 2016 and new benefits introduced by the Scottish Government under the Social Security (Scotland) Act 2018. </t>
  </si>
  <si>
    <t>The budget allocation reflects the continuing growth of the organisation as we launch more benefits and deliver an excellent public service for the people of Scotland.</t>
  </si>
  <si>
    <t xml:space="preserve">The Scottish Welfare Fund provides a safety net for thousands of people on low incomes to access a Crisis Grant in an emergency or disaster, or a Community Care Grant to help them set up home or remain in their community. The support is administered by Local Authorities and the budget is transferred to them for this purpose.  </t>
  </si>
  <si>
    <t xml:space="preserve">No change. </t>
  </si>
  <si>
    <t>Cost of Carer's Allowance payments.</t>
  </si>
  <si>
    <t xml:space="preserve">Based on the Scottish Fiscal Commission's December 2022 forecasts, published on 15 December 2022. The previous year's figures are from the Scottish Fiscal Commission's December 2021 forecasts, which were used for the 2022-23 Scottish Budget. </t>
  </si>
  <si>
    <t>Cost of Carer's Allowance Supplement payments.</t>
  </si>
  <si>
    <t>Cost of Adult Disability Payment which has replaced Personal Independence Payments.</t>
  </si>
  <si>
    <t>Cost of Attendance Allowance payments.</t>
  </si>
  <si>
    <t>Cost of Disability Living Allowance (Adult) payments.</t>
  </si>
  <si>
    <t>Cost of Child Disability Payment which has replaced DLA Child.</t>
  </si>
  <si>
    <t>Cost of Industrial Injuries Disablement Scheme payments.</t>
  </si>
  <si>
    <t>Cost of Severe Disablement Allowance payments.</t>
  </si>
  <si>
    <t>Cost of Best Start Grant payments.</t>
  </si>
  <si>
    <t>Based on the Scottish Fiscal Commission's December 2022 forecasts, published on 15 December 2022. The previous year's figures are from the Scottish Fiscal Commission's December 2021 forecasts, which were used for the 2022-23 Scottish Budget.  This includes BSG Pregnancy and Baby Payment, Early Learning Payment and School Age Payment.</t>
  </si>
  <si>
    <t>Cost of Best Start Foods payments.</t>
  </si>
  <si>
    <t>Cost of Funeral Support Payments.</t>
  </si>
  <si>
    <t>Cost of Job Start Payments.</t>
  </si>
  <si>
    <t>The SFC does not provide a forecast of Job Start Payment because it is not within their scope due to the legislative framework used for the benefit. The increase reflects the uprating of the payment by 10.1% from April 2023.</t>
  </si>
  <si>
    <t>Cost of Young Carer Grant payments.</t>
  </si>
  <si>
    <t>The SFC does not provide a forecast of Young Carer Grant because it is below their materiality threshold. No change since previous year.</t>
  </si>
  <si>
    <t>Cost of Child Winter Heating Assistance payments.</t>
  </si>
  <si>
    <t>Cost of Scottish Child Payments.</t>
  </si>
  <si>
    <t>Cost of Winter Heating Payment.</t>
  </si>
  <si>
    <t>Delivery of third sector infrastructure to provide development, voice and practical support to wider third sector.  Delivery of Social Enterprise and Volunteering Action Plans and Fairer Funding for the Third Sector.</t>
  </si>
  <si>
    <t>No new Financial Transactions will be provided in this year.  Previous FTs now provide recycled loan finance to Social Enterprise such as the Third Sector Growth Fund.</t>
  </si>
  <si>
    <t>Funding to ensure a continued Affordable Housing Supply Programme. It will enable the delivery of more affordable homes across Scotland.</t>
  </si>
  <si>
    <t>This is a reduction of £116.050m on the 2022-23 capital budget and £54.47m less than previously published as part of the Capital Spending Review. This reflects wider budgetary pressures across Scottish Government.</t>
  </si>
  <si>
    <t>Funding used for shared equity and loans programmes including  Open Market Shared Equity scheme, Mid-market rent (MMR) projects and Charitable Bonds.</t>
  </si>
  <si>
    <t>Reduced availability of financial transactions in 2023-24.</t>
  </si>
  <si>
    <t>Receipts from the sale of loans and investments. The majority of this income comes from shared equity schemes.</t>
  </si>
  <si>
    <t>Income from repayment of loans and investments expected to increase in 2023-24.</t>
  </si>
  <si>
    <t>Repayment of grant and investments arising from previous housing programmes.</t>
  </si>
  <si>
    <t>Income expected to reduce in 2023-24 from shared equity schemes.</t>
  </si>
  <si>
    <t>To tackle fuel poverty and improve quality of Scotland's housing, which will also support our targets on climate change.</t>
  </si>
  <si>
    <t>No significant change</t>
  </si>
  <si>
    <t>This funding supports a range of work seeking to ensure that everyone has a home that meets their needs. This includes provision for tackling homelessness including delivery of the Ending Homelessness Together Action Plan and the transition to a rapid rehousing approach and Housing First; expenditure on rented sector reform to deliver the SG-SGP Shared Policy Programme; supporting tenant participation in social and private rented housing; and grants to support the voluntary sector in housing.
Support for older and disabled people requiring adaptations to their homes allowing housing association tenants to live independently in their own homes for as long as possible. Support to improve the provision of Gypsy-Traveller accommodation.</t>
  </si>
  <si>
    <t>Additional investment in Homelessness and Rented Sector Reform.</t>
  </si>
  <si>
    <t>Funding for Discretionary Housing Payments to fully mitigate losses as a result of the "bedroom tax". Also supports delivery of 2022 commitment to mitigate the Benefit Cap as far as possible, as part of tackling Child Poverty.
Also allows Local Authorities to provide support to qualifying individuals in housing crisis, including support for those affected by Local Housing Allowance (LHA) rates.</t>
  </si>
  <si>
    <t>Reflects additional investment to support mitigation of the Benefit Cap</t>
  </si>
  <si>
    <t>Mostly funds the cladding remediation programme but also buys a programme of research and professional advice to ensure the Building Standards system in Scotland delivers its regulatory requirements and supports the creation and renewal of safe and sustainable buildings that stand the test of time.</t>
  </si>
  <si>
    <t/>
  </si>
  <si>
    <t>Incorporates range of activities to support creation of a fairer Scotland and tackle child poverty. Includes spend to tackle food insecurity, support advice and advocacy services, Social Innovation Partnership and match funding for the STV appeal on child poverty.</t>
  </si>
  <si>
    <t xml:space="preserve">The 22/23 budget included an allocation for Scottish Child Payment Bridging Loans. This programme no longer exists with the roll out of SCP to eligible children under 16 years in Nov 2022. </t>
  </si>
  <si>
    <t>The funding supports the Scottish Household Survey, including the Scottish House Condition Survey, which provides a detailed annual snapshot of how people in Scotland live. It also includes funding for the Rent Service Scotland.</t>
  </si>
  <si>
    <t xml:space="preserve">OSCR is the independent registrar and regulator of charities in Scotland. </t>
  </si>
  <si>
    <t>Independent regulation of social landlords, as established by the Housing (Scotland) Act 2010.</t>
  </si>
  <si>
    <t>To reflect increased operational costs.</t>
  </si>
  <si>
    <t>The combined General Revenue Grant plus Non Domestic Rates funding below represents the block grant which the Scottish Government provides, and guarantees, to Scotland's local authorities.  This funding together with local authorities own local resources enables them to provide the full range of public services for which they are responsible including for example, education and social services.</t>
  </si>
  <si>
    <t>See above.</t>
  </si>
  <si>
    <t xml:space="preserve">The Scottish Government provides Scotland's local authorities with a General Capital Grants to fund capital investment projects in their areas.  </t>
  </si>
  <si>
    <t>The Scottish Government provides Scotland's local authorities with a few Specific Resource Grants to fund specific revenue policies, including the Educational Attainment Fund and Early Learning and Childcare.</t>
  </si>
  <si>
    <t>The Scottish Government provides Scotland's local authorities with a few Specific Capital Grants to fund specific capital policies</t>
  </si>
  <si>
    <t xml:space="preserve">Provides the budget for staff costs for the Local Government Finance Team, Relationship Team and Analysts.  </t>
  </si>
  <si>
    <t>Supports various activities which help councils and other local partners across Scotland to deliver better outcomes in response to local needs and more effective performance.</t>
  </si>
  <si>
    <t>This funding ensures that those displaced by the illegal war in Ukraine will continue to receive a warm Scots welcome, and are supported to rebuild their lives in our communities for as long as they need to call Scotland their home.</t>
  </si>
  <si>
    <t>The requirement to support Ukrainian Resettlement had not arisen at the time of the last Budget.</t>
  </si>
  <si>
    <t>To conduct regular surveys of vacant and derelict land in Scotland and of the performance of planning authorities with regard to planning applications.</t>
  </si>
  <si>
    <t>To manage the housing supply programme  under the Transfer of Management of Development Funding (TMDF) arrangements.</t>
  </si>
  <si>
    <t>Finance and Economy</t>
  </si>
  <si>
    <t>Cities Investment and Strategy</t>
  </si>
  <si>
    <t>Total - Cities Investment and Strategy</t>
  </si>
  <si>
    <t>Regeneration</t>
  </si>
  <si>
    <t>Regeneration Programmes</t>
  </si>
  <si>
    <t>Regeneration Programmes - FT Income</t>
  </si>
  <si>
    <t>SPRUCE Income</t>
  </si>
  <si>
    <t>Total - Regeneration</t>
  </si>
  <si>
    <t>Digital Connectivity</t>
  </si>
  <si>
    <t>Connectivity - Capital</t>
  </si>
  <si>
    <t>Connectivity - Resource</t>
  </si>
  <si>
    <t>Total - Digital Connectivity</t>
  </si>
  <si>
    <t>Planning</t>
  </si>
  <si>
    <t>Total - Planning</t>
  </si>
  <si>
    <t>Planning and Environmental Appeals</t>
  </si>
  <si>
    <t>Total - Planning and Environmental Appeals</t>
  </si>
  <si>
    <t>Tourism</t>
  </si>
  <si>
    <t>VisitScotland (Resource)</t>
  </si>
  <si>
    <t>VisitScotland (Capital)</t>
  </si>
  <si>
    <t>VisitScotland (Non Cash)</t>
  </si>
  <si>
    <t>Tourism special projects</t>
  </si>
  <si>
    <t>Total - Tourism</t>
  </si>
  <si>
    <t>Employability and Training</t>
  </si>
  <si>
    <t>Employability and Workforce Skills</t>
  </si>
  <si>
    <t>Employability-Fair Start Scotland</t>
  </si>
  <si>
    <t>Fair Work</t>
  </si>
  <si>
    <t xml:space="preserve">Young Person's Guarantee, Employability and Skills </t>
  </si>
  <si>
    <t>Total - Employability &amp; Training</t>
  </si>
  <si>
    <t>Total - Employability and Training</t>
  </si>
  <si>
    <t>Economic Advice</t>
  </si>
  <si>
    <t>Office of the Chief Economic Adviser</t>
  </si>
  <si>
    <t>Council of Economic Advisers</t>
  </si>
  <si>
    <t>Consumer Policy and Advice</t>
  </si>
  <si>
    <t>Total - Economic Advice</t>
  </si>
  <si>
    <t>Consumer Scotland</t>
  </si>
  <si>
    <t>Total - Consumer Scotland</t>
  </si>
  <si>
    <t>Enterprise, Trade and Investment</t>
  </si>
  <si>
    <t>Scottish Enterprise</t>
  </si>
  <si>
    <t>Scottish Enterprise (resource)</t>
  </si>
  <si>
    <t>Scottish Enterprise (capital)</t>
  </si>
  <si>
    <t>Scottish Enterprise (non-cash)</t>
  </si>
  <si>
    <t>Scottish Enterprise Financial Transactions (Expenditure)</t>
  </si>
  <si>
    <t>Scottish Enterprise Financial Transactions (Income)</t>
  </si>
  <si>
    <t>Total - Scottish Enterprise</t>
  </si>
  <si>
    <t>Highlands and Islands Enterprise</t>
  </si>
  <si>
    <t>Highlands and Islands Enterprise (resource)</t>
  </si>
  <si>
    <t>Highlands and Islands Enterprise (capital)</t>
  </si>
  <si>
    <t>Highlands and Islands Enterprise FT's (Expenditure)</t>
  </si>
  <si>
    <t>Highlands and Islands Enterprise FT's (Income)</t>
  </si>
  <si>
    <t>Highlands and Islands Enterprise (non-cash)</t>
  </si>
  <si>
    <t>Other</t>
  </si>
  <si>
    <t>Total - Highlands and Islands Enterprise</t>
  </si>
  <si>
    <t>South of Scotland Enterprise</t>
  </si>
  <si>
    <t>South of Scotland Enterprise FT income</t>
  </si>
  <si>
    <t>Total - South of Scotland Enterprise</t>
  </si>
  <si>
    <t>Enterprise</t>
  </si>
  <si>
    <t>Business Economic Network Support</t>
  </si>
  <si>
    <t>Manufacturing Opportunities</t>
  </si>
  <si>
    <t>ESF Programme Operation</t>
  </si>
  <si>
    <t>Self-Isolation Support Grants</t>
  </si>
  <si>
    <t>Total - Enterprise</t>
  </si>
  <si>
    <t>Innovation and Industries</t>
  </si>
  <si>
    <t>Low Carbon Economy</t>
  </si>
  <si>
    <t>International Trade and Investment</t>
  </si>
  <si>
    <t>Other Support Financial Transactions (Expenditure)</t>
  </si>
  <si>
    <t>Other Support Financial Transactions (Income)</t>
  </si>
  <si>
    <t>Total - Innovation and Industries</t>
  </si>
  <si>
    <t>Total - Enterprise, Trade and Investment</t>
  </si>
  <si>
    <t>Digital Strategy</t>
  </si>
  <si>
    <t>Total - Digital Strategy</t>
  </si>
  <si>
    <t>Digital Economy</t>
  </si>
  <si>
    <t>Digital Economy - Resource</t>
  </si>
  <si>
    <t>Digital Growth Fund Financial Transactions (Expenditure)</t>
  </si>
  <si>
    <t>Digital Growth Fund Financial Transactions (Income)</t>
  </si>
  <si>
    <t>Total - Digital Economy</t>
  </si>
  <si>
    <t>Scottish Public Pensions Agency</t>
  </si>
  <si>
    <t>Scottish Public Pensions Agency  Administration</t>
  </si>
  <si>
    <t>Salaries and Other Costs</t>
  </si>
  <si>
    <t xml:space="preserve">Depreciation </t>
  </si>
  <si>
    <t>Capital / IT provision</t>
  </si>
  <si>
    <t>Total - Scottish Public Pensions Agency  Administration</t>
  </si>
  <si>
    <t>Scottish Teachers Superannuation Scheme</t>
  </si>
  <si>
    <t>Teachers Pension Scheme</t>
  </si>
  <si>
    <t>Income from Employee and employer contributions and transfers received (Teachers)</t>
  </si>
  <si>
    <t>Total - Scottish Teachers Superannuation Scheme</t>
  </si>
  <si>
    <t>NHS Superannuation Scheme (Scotland)</t>
  </si>
  <si>
    <t>NHS Pension Scheme</t>
  </si>
  <si>
    <t>Income from employee and employer contributions and transfers received (NHS)</t>
  </si>
  <si>
    <t>Total - NHS Superannuation Scheme (Scotland)</t>
  </si>
  <si>
    <t>Total - Scottish Public Pensions Agency</t>
  </si>
  <si>
    <t>Revenue Scotland</t>
  </si>
  <si>
    <t>Salaries and other Costs</t>
  </si>
  <si>
    <t>Capital/ IT provision</t>
  </si>
  <si>
    <t>Total - Revenue Scotland</t>
  </si>
  <si>
    <t>Scottish Fiscal Commission</t>
  </si>
  <si>
    <t>Total - Scottish Fiscal Commission</t>
  </si>
  <si>
    <t>Finance</t>
  </si>
  <si>
    <t>Scotland Acts – Tax implementation and management</t>
  </si>
  <si>
    <t>Procurement Shared Services</t>
  </si>
  <si>
    <t>Scottish Futures Trust</t>
  </si>
  <si>
    <t>Exchequer and Finance</t>
  </si>
  <si>
    <t>Scottish Government Capital Projects</t>
  </si>
  <si>
    <t>Finance - Financial Transactions (Expenditure)</t>
  </si>
  <si>
    <t>Public Information and Engagement</t>
  </si>
  <si>
    <t>Growth Accelerators</t>
  </si>
  <si>
    <t>Growth Accelerator</t>
  </si>
  <si>
    <t>Green Growth Accelerator</t>
  </si>
  <si>
    <t>Total - Finance</t>
  </si>
  <si>
    <t>Scottish National Investment Bank</t>
  </si>
  <si>
    <t>Scottish National Investment Bank Financial Transactions (Expenditure)</t>
  </si>
  <si>
    <t>SNIB Financial Transactions (Income)</t>
  </si>
  <si>
    <t>Total - Scottish National Investment Bank</t>
  </si>
  <si>
    <t>Accountant in Bankruptcy</t>
  </si>
  <si>
    <t>Accountant in Bankruptcy Resource</t>
  </si>
  <si>
    <t>Accountant in Bankruptcy Capital</t>
  </si>
  <si>
    <t>Total - Accountant in Bankruptcy</t>
  </si>
  <si>
    <t>Ferguson Marine</t>
  </si>
  <si>
    <t>Total - Ferguson Marine</t>
  </si>
  <si>
    <t>Registers of Scotland</t>
  </si>
  <si>
    <t>Total - Registers of Scotland</t>
  </si>
  <si>
    <t>TOTAL Finance and Economy</t>
  </si>
  <si>
    <t>COVID Funding</t>
  </si>
  <si>
    <t>Allocation of COVID consequentials</t>
  </si>
  <si>
    <t>Total COVID Funding</t>
  </si>
  <si>
    <t>The Cities Investment &amp; Strategy budget funds current activity related to City Region and Growth Deals that have been agreed and makes provision for future deals. This continues the 20 year Scottish Government commitment to the extensive infrastructure investment programme that aims to drive economic growth across the regions and secure benefits for all in Scotland.  The budget also funds a contribution to the Scottish Cities Alliance and other regional investment.</t>
  </si>
  <si>
    <t>Reduction in 2023-24 due to changing spend profiles of programmes/projects, however, this allocation meets values committed to in each Deal Tripartite agreement and the total Government Investment in each Deal remains unchanged.</t>
  </si>
  <si>
    <t>Continued delivery of our Place Based  Investment Programme (PBIP) including: the Regeneration Capital Grant Fund (RCGF) and PBIP capital agreed to be allocated to local government; sponsorship of Clyde Gateway; demonstrator projects and RCGF contingency.    Continued delivery of the low carbon Vacant &amp; Derelict Land Investment Programme. 
Continued delivery of the Empowering Communities Programme including the Investing in Communities Fund  - supporting core funding to community/third sector building community capacity, resilience and sustainability, funding staff posts and the delivery of services for communities addressing the challenges of poverty, child poverty, disadvantage and inequality, heightened by the pandemic.</t>
  </si>
  <si>
    <t>Reduction due to changing spend profiles of programmes/projects.</t>
  </si>
  <si>
    <t xml:space="preserve">Capital income related to the Scottish Partnership for Regeneration in Urban Centres (SPRUCE). SPRUCE is a regulated investments fund and can provide loans, mezzanine debt and equity investments to revenue generating, infrastructure and energy efficient projects supporting regeneration in Scotland </t>
  </si>
  <si>
    <t>To reflect expected income.</t>
  </si>
  <si>
    <t>This forms part of a £600 million+ public investment in the R100 broadband programme - encompassing three contracts with BT and a demand-led voucher scheme, all of which are now in deployment, delivering Gigabit capable fibre across Scotland.   Connectivity Capital budget also pays for other connectivity programmes - notably the Scottish 4G Infill Programme (S4GI), which is deploying new mobile masts in selected rural hotspots.</t>
  </si>
  <si>
    <t>Realignment to agreed build plans resulting in new spend profiles over the life of the programme.</t>
  </si>
  <si>
    <t xml:space="preserve">This budget supports delivery of Ministers' digital connectivity policy priorities covering staff and support costs – those developing and delivering policy and supporting the delivery of flagship digital infrastructure projects such as R100 - and will be used in conjunction with capital funds. </t>
  </si>
  <si>
    <t>This budget supports the delivery of statutory functions for Ministerial oversight of the Planning system and international environmental obligations together with a wide package of reforms including Scotland’s Fourth National Planning Framework to help build sustainable, livable, productive and distinctive places and achieve a net zero, sustainable Scotland by 2045.  It also supports the investment in transforming digital planning services making better use of digital tools and technologies.</t>
  </si>
  <si>
    <t>Reduction due to changing capital spend profiles of programme.</t>
  </si>
  <si>
    <t xml:space="preserve">The Planning and Environmental Appeals Division (DPEA) is the decision making body for planning and environmental appeals and also carry out local development plan and other examinations on behalf of Scottish Ministers.  </t>
  </si>
  <si>
    <t>Minor movement</t>
  </si>
  <si>
    <t>To deliver tourism marketing campaigns and a portfolio of national events that continue to grow a responsible and sustainable Scottish tourism offer, domestically and internationally.</t>
  </si>
  <si>
    <t xml:space="preserve">Increase relfects revised level of investment. </t>
  </si>
  <si>
    <t>For refurbishments to VisitScotland's estate, investment in VisitScotland's digital strategy and ICT resources and providing for the Rural Tourism Infrastructure Fund.  </t>
  </si>
  <si>
    <t>For depreciation of VisitScotland's assets, including its estate.</t>
  </si>
  <si>
    <t>There is no allocation for Tourism special projects. Ministers and officials will continue to work with partners through the newly formed Tourism and Hospitality Industry Leadership Group (ILG) to drive forward the priorities of our national tourism strategy, Scotland Outlook 2030, ensuring it aligns with the ambitions of NSET as well as regional and sectoral strategies.</t>
  </si>
  <si>
    <t>This budget represents a continuation of investment in a wide range of employability and training services  as we work to tackle child poverty and prioritise support for those who face complex barriers to accessing the labour market.</t>
  </si>
  <si>
    <t xml:space="preserve">Increased support to Fair Work, Employability and related contributions to Child Poverty agenda. </t>
  </si>
  <si>
    <t>This budget represents the continuation of our investment in our statutory employability service</t>
  </si>
  <si>
    <t xml:space="preserve">Continued support to Fair Work, Employability and related contributions to Child Poverty agenda. </t>
  </si>
  <si>
    <t>This budget represents our continuing investment in support the delivery of a wide range of actions to support our fair work agenda.</t>
  </si>
  <si>
    <t>This budget represents a continuation of investment in a wide range of employability and training services targeted at young people aged 16-24.</t>
  </si>
  <si>
    <t>Continued support to Fair Work, Employability and related contributions to Child Poverty agenda.</t>
  </si>
  <si>
    <t xml:space="preserve">Economic advice from the Office of the Chief Economic Adviser supports the procurement of economic data and specific economic advice to strengthen understanding of key developments in the economy and public finances and support statutory functions around the publication of official statistics.  The budget helps maintain an analytical infrastructure to enable data collection, monitoring, analysis and reporting on the Scottish economy. </t>
  </si>
  <si>
    <t>Increase reflects re-profiling of staff costs across the DG Economy as part of an on-going staff transformation programme.</t>
  </si>
  <si>
    <t>Consumer Scotland is an independent body established to ensure consumer interests are at the heart of a fair, transparent and sustainable Scottish marketplace. Consumer Scotland’s budget will support its work in providing advocacy and advice on matters including reducing harm to consumers, increasing confidence among consumers and working with existing consumer organisations in conducting investigations into the most serious issues of consumer harm in Scotland.</t>
  </si>
  <si>
    <t>Reduction due to changing spend profiles.</t>
  </si>
  <si>
    <t>Scottish Enterprise is Scotland’s national economic development agency. Scottish Enterprise’s budget will support its work to improve business and community resilience, protect and create jobs and help deliver an economic recovery that is fair, sustainable and green. It will also support its work to increase the value of Scottish exports and attract new international investment to Scotland. A key focus for Scottish Enterprise will be delivery of the new National Strategy for Economic Transformation, in collaboration with partners.</t>
  </si>
  <si>
    <t>Increase from prior year is the net impact of reduction in spend from reform activities and efficiencies in spending more effectively, offset by additional budget provided to support cost of credit risk in SE's investments (change in budget presentation to reflect cost of investment making where decision making sits).</t>
  </si>
  <si>
    <t xml:space="preserve">The capital budget will support relevant elements of the activities described above. </t>
  </si>
  <si>
    <t>Reduction due to changing spend profiles of programme/projects.</t>
  </si>
  <si>
    <t>For depreciation of Scottish Enterprise’s assets, including its estate.</t>
  </si>
  <si>
    <t>No change.</t>
  </si>
  <si>
    <t>Financial transactions funding can be used for loans and equity investment to the general public, third sector or private sector organisations that are not in the public sector. The expenditure reflects the gross FT spending power of Scottish Enterprise.</t>
  </si>
  <si>
    <t xml:space="preserve">Increase in FT allocation providing spending power of £48.890 as SE are allowed to retain their FT income. </t>
  </si>
  <si>
    <t>Income in relation to loan repayments and investment realisations.</t>
  </si>
  <si>
    <t>Reflects updated income forecasts from investment activity.</t>
  </si>
  <si>
    <t>Highlands and Islands Enterprise (HIE) is the Scottish Government's economic development agency for the Highlands and Islands. HIE’s budget will support its work to improve business and community resilience, protect and create jobs and help deliver an economic recovery that is fair, sustainable and green. A key focus for HIE will be delivery of the new National Strategy for Economic Transformation, in collaboration with partners.</t>
  </si>
  <si>
    <t xml:space="preserve">Small increase relfects continued level of investment. </t>
  </si>
  <si>
    <t xml:space="preserve">The capital budget will support relevant elements of the activities described above, including capital projects. </t>
  </si>
  <si>
    <t>The reduction to HIE's Capital budget reflects the reduced funding requirement for the reinstatement of the Cairngorm funicular per the multiyear spend profile</t>
  </si>
  <si>
    <t>Financial transactions funding can be used for loans and equity investment to the general public, third sector or private sector organisations that are not in the public sector.</t>
  </si>
  <si>
    <t>For depreciation of Highlands and Islands Enterprise’s assets, including its estate.</t>
  </si>
  <si>
    <t>For other expenditure on activities relating to Highlands and Islands Area including Convention of the Highlands and Islands (COHI).</t>
  </si>
  <si>
    <t>This supported Scottish Government spend and was not part of HIE's budget.</t>
  </si>
  <si>
    <t>South of Scotland Enterprise (SOSE) is the Scottish Government's economic development agency for the South of Scotland. SOSE’s budget will support its work to improve business and community resilience, protect and create jobs and help deliver an economic recovery that is fair, sustainable and green. A key focus for SOSE will be delivery of the new National Strategy for Economic Transformation, in collaboration with partners.</t>
  </si>
  <si>
    <t>Resource budget maintained. The overall budget has reduced primarily due to change to Financial Transaction allocation.</t>
  </si>
  <si>
    <t>New income line added to reflect expected income.</t>
  </si>
  <si>
    <t>Supports costs associated with key stakeholder events such as the national economic forum and the Convention of the Highlands and Islands.</t>
  </si>
  <si>
    <t xml:space="preserve">Fund reallocated across mainstream programmes. </t>
  </si>
  <si>
    <t>Support for the manufacturing sector and continued business engagement, it includes funding to progress the new National Manufacturing Institute Scotland (NMIS)  with the aim to develop and enhance skills, accelerate innovation and improve productivity.  It also supports delivery of the Advancing Manufacturing Challenge Fund to spread the reach and benefits of advanced manufacturing.</t>
  </si>
  <si>
    <t xml:space="preserve">Reflects the long-standing funding profile for the construction of the National Manufacturing Institute Scotland (NMIS).  Handover of the building to its operators, the University of Strathclyde, is now complete and fit out of this world class facility will complete prior to the official opening early in the Financial Year.   </t>
  </si>
  <si>
    <t>This funding is used for various administration costs involved in running the European Structural Funds (ESF) programmes.  It covers staff costs, programme evaluations and the building and maintenance of bespoke IT systems.  Over the current EU seven-year budget cycle, 2014-20, Scotland has been allocated ESF funding of around £736m depending on €/£ exchange rate variations.</t>
  </si>
  <si>
    <t>Increase primarily relates to an accounting provision if the amount we are able to reclaim on a unit cost basis is short of the amount paid out by the Scottish Government.</t>
  </si>
  <si>
    <t>The Self-Isolation Support Grant is a £500 payment to low income workers who are required to self-isolate due to COVID-19.</t>
  </si>
  <si>
    <t>The Self Isolation Support Grant will close on 5 January 2023.</t>
  </si>
  <si>
    <t xml:space="preserve">This programme flows from the outcome of the Capital Spending Review with a focus on supporting our low carbon economy ambitions.  It includes Green Jobs Fund (Supply Chain Development) (£30m over 5 years), Low Carbon Manufacturing Fund (£26m over 5 years) and Clyde Mission Low Carbon Heating (£25m over 5 years).  </t>
  </si>
  <si>
    <t>Reflects profile of programmes and increased expenditure as the projects develop.</t>
  </si>
  <si>
    <t xml:space="preserve">This budget will contribute towards the Scottish Government’s growth ambitions for Scotland by cultivating a culture of innovation, entrepreneurship and global ambition amongst Scotland's innovators and early stage businesses including Techscalers. 
</t>
  </si>
  <si>
    <t>Includes £6.5 million increase to support Techscalers - to continue building a world class entrepreneurial infrastructure; growing our national network of physical hubs across the country, and creating an online community offering mentorship and world-class education to support founders to start and scale their businesses.  This is partially offset by a £2m reduction in capital as the funding for Space programmes covered 2021-23 only plus reduced resource funding.</t>
  </si>
  <si>
    <t>The Budget reflects Scottish Government’s increased ambition for internationalisation of the economy and will support delivery of the actions outlined in our three international economy plans for Inward Investment, Trade and Capital - all underpinned by a values led Vision for Trade. Actions in our plans are targeted towards growing Scotland's economy through enhancing export performance, crowding-in private sector investment and creating jobs through inward investment, resulting in higher wages, enhanced productivity and higher levels of business innovation throughout the economy.</t>
  </si>
  <si>
    <t xml:space="preserve">Increase will support boosting exports, attracting investment and facilitating the transition to a net-zero economy. </t>
  </si>
  <si>
    <t>Includes funding for the Scottish Growth Scheme and the Building Scotland Fund.</t>
  </si>
  <si>
    <t>Reflects revised profile of investment activities</t>
  </si>
  <si>
    <t>Increase reflects updated income forecasts from investment activity for the new financial year.</t>
  </si>
  <si>
    <t>Digital infrastructure is part of Scotland’s critical national infrastructure, whilst the adoption of technology and the success of our tech sector is central to Scotland’s economic and societal resilience. This includes delivering on key programmes which will transform government, create a world class tech ecosystem and drive digital inclusion that will enable everybody to have the opportunity of benefiting from digital technology and ensure that investments are innovative, cost effective and integrated across the public sector.</t>
  </si>
  <si>
    <t>Increases relate to delivery of next development and operational phases of public sector transformation and delivery of key programmes supporting NSET.
Includes £389k transfer to Quality and Improvement to cover Office of the Chief Designer staff costs plus £50k to cover programme costs and intra Portfolio transfer of £112k for TOC from Digital to DED.</t>
  </si>
  <si>
    <t xml:space="preserve">Supports the growth of both the supply and demand sides of Scotland's digital economy - one of the economy's fastest growing sectors.  </t>
  </si>
  <si>
    <t xml:space="preserve">Re-purposed primarily to support delivery of Techscalers. </t>
  </si>
  <si>
    <t>The fund will provide loans to companies who wish to develop the digital skills of their staff in areas such as cyber security, data analytics and software engineering as part of the Scottish Government’s drive to improve economic productivity.</t>
  </si>
  <si>
    <t>The scheme completed in 2022-23.</t>
  </si>
  <si>
    <t xml:space="preserve">The Scottish Public Pension Agency provides pension administration services for and pays pensions to members of Scotland’s NHS, Teachers’, Police and Firefighters’ pension schemes. Its other administrative responsibilities include injury benefits schemes for the NHS, Police and Fire &amp; Rescue services in Scotland. It also administers a number of 'small schemes'. Its 500,000+ customers are all current or former public servants or their employers. </t>
  </si>
  <si>
    <t xml:space="preserve">Increase in budget will support the development of a new pensions platform and also support the progression of the McCloud Remedy work. </t>
  </si>
  <si>
    <t>The Agency operates out of its own premises at 7 Tweedside Park and runs IT systems that administer the pension schemes which fall under its remit. A provision for depreciation and indexation is made on these assets.</t>
  </si>
  <si>
    <t>The requirement reflects the phasing of spend on additional assets and the retirement of old assets.</t>
  </si>
  <si>
    <t>The Agency has a priority list of capital projects that is governed by the need to comply with the legal and regulatory framework in which public pensions and public bodies operate. It is governed primarily by reserved UK and delegated Scottish legislation, the UK Pension Regulator, procurement rules and the Agency's Framework Document with Scottish Ministers.</t>
  </si>
  <si>
    <t>Pensions accrued by today’s teaching staff in Scotland and interest on scheme liabilities.</t>
  </si>
  <si>
    <t xml:space="preserve">Increase reflects pay increases and decreases in discount rates applied.  </t>
  </si>
  <si>
    <t>Income received from employers and employees to meet the cost of future pension payments of today’s teaching staff in Scotland.</t>
  </si>
  <si>
    <t>Increase reflects pay increases.</t>
  </si>
  <si>
    <t>Pensions accrued by today’s NHS staff in Scotland and interest on scheme liabilities.</t>
  </si>
  <si>
    <t xml:space="preserve">Increase reflects pay increased and decreases in discount rates applied.  </t>
  </si>
  <si>
    <t>Income received from employers and employees to meet the cost of future pension payments of today’s NHS staff in Scotland</t>
  </si>
  <si>
    <t>Increases reflect pay increases</t>
  </si>
  <si>
    <t>Revenue Scotland is the Scottish tax authority responsible for the collection and management of the wholly devolved taxes - Land and Buildings Transaction Tax and Scottish Landfill Tax - as well as preparing for the delivery of Scotland's third devolved tax, Scottish Aggregates Tax.   It will continue to invest in processes, technology and staff to improve the organisation’s performance through operational efficiency and effectiveness.</t>
  </si>
  <si>
    <t>The budget includes funding to support work to deliver a devolved Scottish Aggregates tax as proposed in the Programme for Government launched in September 2022.</t>
  </si>
  <si>
    <t>Revenue Scotland is committed to continually improving its service through investing in digital delivery.</t>
  </si>
  <si>
    <t xml:space="preserve">The budget will enable the statutory Commission to fulfil its functions as they currently stand in the Scottish Fiscal Commission Act and amended regulations based on the current devolved powers. The Commission produces forecasts of revenue from fully devolved taxes and non-savings non-dividend income tax receipts, onshore GDP in Scotland, and devolved social security expenditure. </t>
  </si>
  <si>
    <t>Increase to reflect planned operating costs.</t>
  </si>
  <si>
    <t>Funds the implementation and on-going running costs of the devolved taxes as well as the development of tax and revenues in Scotland.</t>
  </si>
  <si>
    <t>Shared procurement contracting, ecommerce and policy services which, for the public sector advance delivery of key Ministerial commitments including economic recovery and growth, equality and diversity, sustainability and fair work whilst also delivering savings and reducing procurement and legal risks; for the private and third sectors, with a focus on Scottish business and Scottish SME’s, to improve access to public contracts and enable faster payment of invoices while reducing administration costs.</t>
  </si>
  <si>
    <t>Reduction reflects revised staffing budget.</t>
  </si>
  <si>
    <t>Scottish Futures Trust will continue to work to maximise the economic, social and environmental benefits from infrastructure investment across the public sector in Scotland.</t>
  </si>
  <si>
    <t>The Scottish Exchequer and Finance functions support and enable the whole of the Scottish Government and have responsibility for managing the public finances over the medium term including delivering the annual Medium Term Financial Strategy and Scottish Budget, fiscal policy, taxation and management of public spending.</t>
  </si>
  <si>
    <t>The budget reduction reflects restructuring within the organisation and the movement of the responsibility for the oversight of the NPF and performance outside of this portfolio.</t>
  </si>
  <si>
    <t xml:space="preserve">This budget includes funding for facilities and corporate transformation. The budget is to fund essential building work across the SG estate where running repairs are no longer viable. It also covers key corporate transformation programmes delivering more efficient and effective corporate services. </t>
  </si>
  <si>
    <t>Reduction due to changing spend profile of programme/projects.</t>
  </si>
  <si>
    <t>This budget is to support essential financial transaction budget funded projects across the Scottish Government and enables a quick response to emerging priorities.</t>
  </si>
  <si>
    <t>The budget enables effective engagement with the public, partners and stakeholders to explain government policy; and to raise awareness, shift attitudes and change behaviours to improve and save people's lives by helping them to make informed choices.</t>
  </si>
  <si>
    <t>Supports Growth Accelerators in Edinburgh City Centre, Dundee Waterfront and Stornoway Deep Water  - which combine public and private investment to transform cities and regions.</t>
  </si>
  <si>
    <t>Increase reflects expected payments to support Growth Accelerators</t>
  </si>
  <si>
    <t>Funding to support the development of business cases for the Green Growth Accelerator programme.  The Green Growth Accelerator will extend the current Growth Accelerator model to unlock additional investment for infrastructure projects which support our transition to a net zero emissions economy.</t>
  </si>
  <si>
    <t>This programme is currently not being funded.</t>
  </si>
  <si>
    <t>This budget reflects the amount of resource support that is required by the Scottish National Investment Bank which will be made available as part of grant-in-aid.</t>
  </si>
  <si>
    <t>Reduction reflects continued progress in achieving self-funded status</t>
  </si>
  <si>
    <t>This budget supports the Scottish National Investment Bank’s investment plans for the coming year.  It is part of the planned £2 billion capitalisation of the Bank.</t>
  </si>
  <si>
    <t>The changed budget provision reflects the Bank’s anticipated level of investment activity to enable it to continue to build its portfolio and make an impact in terms of the missions set for it.</t>
  </si>
  <si>
    <t>Income in relation to repayment of initial Scottish National Investment Bank investments.</t>
  </si>
  <si>
    <t xml:space="preserve">The budget reflects FTs to be returned to the Scottish National Investment Bank. </t>
  </si>
  <si>
    <t>The budget continues to allow Accountant in Bankruptcy to ensure access to fair and just processes of debt relief and debt management for the people of Scotland, which takes account of the rights and interests of those involved. Key functions include supporting Ministers to develop and refine policy, supervising the bankruptcy process, delivering, with stakeholders, a range of options for individuals seeking debt relief and debt management and ensuring best value services to our customers.</t>
  </si>
  <si>
    <t>Reduction reflects £333k transferred to Social Justice (SJHLG) from Accountant in Bankruptcy as Social Justice has taken over the responsibility for the MATRICS/Financial education funding and grant payments.</t>
  </si>
  <si>
    <t>AiB has a range of bespoke IT systems which enable the Agency to fulfil its statutory duties in relation to Bankruptcies, Trust Deeds and the Debt Arrangement Scheme. The capital budget enables the Agency to develop and enhance these systems to deliver our duties as set out in legislation and to deliver legislative changes as required. This expenditure contributes towards AiB meeting its digital agenda.</t>
  </si>
  <si>
    <t>Support for Ferguson Marine to complete the build out of Vessels 801 and 802.</t>
  </si>
  <si>
    <t>Increased funding to deliver Ferguson Marine vessels 801 and  802. The funding set out in this budget is the requirement set out by Ferguson Marine to Parliament on 28 September 2022 and we continue our due diligence on those figures and will update Parliament once concluded.</t>
  </si>
  <si>
    <t xml:space="preserve">Provision of registration and information services (wages, salaries, goods and services).  Registers of Scotland is the Non-Ministerial Office responsible for compiling and maintaining twenty one public registers relating to property and other legal documents in Scotland, to date broadly self-funded by fees they charge for their services.  </t>
  </si>
  <si>
    <t>Depreciation and amortisation of building and other assets.</t>
  </si>
  <si>
    <t>Additions to digital and estate assets</t>
  </si>
  <si>
    <t xml:space="preserve">Additional capital relates to Moveable Transactions Bill and developing the two registers that underpin it. </t>
  </si>
  <si>
    <t xml:space="preserve">This represents COVID-19 consequentials allocated in response to the 2021-22 costs of the pandemic. </t>
  </si>
  <si>
    <t xml:space="preserve">This was consequential funding allocated by the UK Government in 2021-22 in response to the COVID-19 outbreak. The UK Government has not continued specific COVID-19 consequential funding in 2022-23. </t>
  </si>
  <si>
    <t>Justice and Veterans</t>
  </si>
  <si>
    <t>Community Justice</t>
  </si>
  <si>
    <t>Offender Services</t>
  </si>
  <si>
    <t xml:space="preserve">Electronic Monitoring </t>
  </si>
  <si>
    <t>Intensive Support Packages</t>
  </si>
  <si>
    <t>Community Justice Scotland</t>
  </si>
  <si>
    <t>Risk Management Authority</t>
  </si>
  <si>
    <t>Nationally Commissioned Community Justice Services</t>
  </si>
  <si>
    <t xml:space="preserve">Community Justice Service and Programme costs </t>
  </si>
  <si>
    <t>Total - Offender Services</t>
  </si>
  <si>
    <t>Miscellaneous</t>
  </si>
  <si>
    <t>Section 10 Funding</t>
  </si>
  <si>
    <t>Total - Miscellaneous</t>
  </si>
  <si>
    <t>Total - Community Justice</t>
  </si>
  <si>
    <t xml:space="preserve">Judiciary </t>
  </si>
  <si>
    <t>Staff Costs</t>
  </si>
  <si>
    <t>Other Costs</t>
  </si>
  <si>
    <t>Court of Lord Lyon</t>
  </si>
  <si>
    <t>Lord Lyon Court Receipts</t>
  </si>
  <si>
    <t xml:space="preserve">Total - Judiciary </t>
  </si>
  <si>
    <t>Judicial Salaries</t>
  </si>
  <si>
    <t>Total - Judiciary</t>
  </si>
  <si>
    <t>Criminal Injuries Compensation</t>
  </si>
  <si>
    <t>CIC Scheme</t>
  </si>
  <si>
    <t>Administration Costs</t>
  </si>
  <si>
    <t>Total - Criminal Injuries Compensation</t>
  </si>
  <si>
    <t>Legal Aid</t>
  </si>
  <si>
    <t>Administration</t>
  </si>
  <si>
    <t>Fund</t>
  </si>
  <si>
    <t>Total - Legal Aid</t>
  </si>
  <si>
    <t>Safer and Stronger Communities</t>
  </si>
  <si>
    <t>Safer Communities</t>
  </si>
  <si>
    <t>Total Safer and Stronger Communities (Level 2)</t>
  </si>
  <si>
    <t>Police Central Government</t>
  </si>
  <si>
    <t>National Police Funding and Reform</t>
  </si>
  <si>
    <t>Other National Funding</t>
  </si>
  <si>
    <t>Total - National Police Funding and Reform</t>
  </si>
  <si>
    <t>Police Support Services</t>
  </si>
  <si>
    <t>Scottish Crime Campus (Gartcosh)</t>
  </si>
  <si>
    <t>Total - Police Support Services</t>
  </si>
  <si>
    <t>Total - Police Central Government</t>
  </si>
  <si>
    <t>Police and Fire Pensions</t>
  </si>
  <si>
    <t>Police Pensions</t>
  </si>
  <si>
    <t>Fire Pensions</t>
  </si>
  <si>
    <t>Total - Police and Fire Pensions</t>
  </si>
  <si>
    <t>Scottish Prison Service</t>
  </si>
  <si>
    <t>Operating Expenditure</t>
  </si>
  <si>
    <t>Capital Expenditure</t>
  </si>
  <si>
    <t>Total Scottish Prison Service (Level 2)</t>
  </si>
  <si>
    <t>Safe &amp; Secure Scotland</t>
  </si>
  <si>
    <t>Defence, Security &amp; Cyber Resilience</t>
  </si>
  <si>
    <t xml:space="preserve">HMICS </t>
  </si>
  <si>
    <t>HMFSI - Salaries and training</t>
  </si>
  <si>
    <t>Veterans</t>
  </si>
  <si>
    <t>Scottish Veterans Commissioner's Office</t>
  </si>
  <si>
    <t>Victim/Witness Support</t>
  </si>
  <si>
    <t>Support for Victims and Witnesses</t>
  </si>
  <si>
    <t>Other Miscellaneous</t>
  </si>
  <si>
    <t>Justice Analytical Work</t>
  </si>
  <si>
    <t>Parole Board</t>
  </si>
  <si>
    <t>Criminal Justice Reform</t>
  </si>
  <si>
    <t>HM Inspectorate of Prisons</t>
  </si>
  <si>
    <t>Scottish Criminal Cases Review Commission</t>
  </si>
  <si>
    <t>Justice Other</t>
  </si>
  <si>
    <t>Scottish Law Commission</t>
  </si>
  <si>
    <t>UK Supreme Court</t>
  </si>
  <si>
    <t>Ministerial Policy Development and Support</t>
  </si>
  <si>
    <t>COPFS Inspectorate</t>
  </si>
  <si>
    <t xml:space="preserve">Recovery, Renewal and Transformation Fund </t>
  </si>
  <si>
    <t>Total Miscellaneous</t>
  </si>
  <si>
    <t>Scottish Police Authority</t>
  </si>
  <si>
    <t>Resource</t>
  </si>
  <si>
    <t>Capital</t>
  </si>
  <si>
    <t>Total - Scottish Police Authority</t>
  </si>
  <si>
    <t>Scottish Fire and Rescue Service</t>
  </si>
  <si>
    <t xml:space="preserve">Resource  </t>
  </si>
  <si>
    <t xml:space="preserve">Capital  </t>
  </si>
  <si>
    <t>Total Scottish Fire and Rescue Service (Level 2)</t>
  </si>
  <si>
    <t>Scottish Courts and Tribunals Service</t>
  </si>
  <si>
    <t>Operating</t>
  </si>
  <si>
    <t xml:space="preserve">Capital </t>
  </si>
  <si>
    <t>Total Scottish Courts and Tribunals Service</t>
  </si>
  <si>
    <t>TOTAL - JUSTICE</t>
  </si>
  <si>
    <t>Central Government Grants to Local Authorities</t>
  </si>
  <si>
    <t>Criminal Justice Social Work</t>
  </si>
  <si>
    <t>Total Central Government Grants to Local Authorities</t>
  </si>
  <si>
    <t>2023-24
Scottish
Budget
£million</t>
  </si>
  <si>
    <t>This funding is for the provision of electronic monitoring services and development of the necessary integrated support structures.</t>
  </si>
  <si>
    <t>Reduction to reflect actual spend in recent years.  Budget is demand-led so actual costs will be met in full.</t>
  </si>
  <si>
    <t>This pays to support LAs for the provision of Intensive Support Packages for particular offenders.  This is a demand led budget and is by application.</t>
  </si>
  <si>
    <t>This funds the running costs of the national body, Community Justice Scotland, including funding for national training and to support Restorative Justice.</t>
  </si>
  <si>
    <t>Additional funding will support increased running costs.</t>
  </si>
  <si>
    <t>Funds the staffing and operations (promoting best practice in the risk assessment and management of offenders) of the RMA.</t>
  </si>
  <si>
    <t xml:space="preserve">This line includes funding for a range of nationally commissioned Community Justice Services aimed at reducing reoffending, such as: Specialist courts, Prison Visitor Centres, the previous reducing reoffending change fund  and programmes aimed at reducing reoffending. </t>
  </si>
  <si>
    <t>Increase reflects transfer from Electronic Monitoring line.</t>
  </si>
  <si>
    <t>This lines covers Community Justice Services and Programme costs including: statutory bail, diversion from prosecution, Home Detention Curfew, Arrest Referral, Caledonian programme etc.</t>
  </si>
  <si>
    <t>Provides funding to support the head office functions of Voluntary Organisations which support the delivery of community-based criminal justice services all of which offer specialist services for offenders and their families; includes organisations such as Apex, Families Outside, Sacro and others - funding is subject to grant allocation process.</t>
  </si>
  <si>
    <t xml:space="preserve">This covers costs associated with the Recruitment and Retention Allowance for judicial office holders. It also provides for the salary and superannuation costs of the Lord Lyon, the Lyon Clerk, the Auditor of the Court of Session and members of the Scottish Law Commission. </t>
  </si>
  <si>
    <t>This covers a variety of matters including the running costs for the Judicial Appointments Board, any legal costs associated with judicial office holders and other miscellaneous costs related to the judiciary.</t>
  </si>
  <si>
    <t>Additional funding will support increased judicial costs.</t>
  </si>
  <si>
    <t>This budget covers the running costs of the Court of the Lord Lyon.</t>
  </si>
  <si>
    <t>This represents income generated by the Court of the Lord Lyon</t>
  </si>
  <si>
    <t>This budget covers the salary costs and Service Awards for Judicial office holders in Scotland.  This function transferred to the SCTS from 1 April 2016 although the overall responsibility for the Consolidated Fund which is where Judicial Salaries are funded from still lies with the SG.</t>
  </si>
  <si>
    <t>CICS payments are the SG contribution to the payouts for claims to the Scheme.</t>
  </si>
  <si>
    <t>Payments to CICA are the SG contribution to the running and administration costs of the Authority.</t>
  </si>
  <si>
    <t>Additional funding reflects SG contribution to increased running costs.</t>
  </si>
  <si>
    <t>This budget covers the staffing, administration and capital costs of the Scottish Legal Aid Board, an executive NDPB.  It also covers costs relating to various matters including researching and analysing the operation of legal aid, as well as the trends and impact on the wider justice system. It also includes a budget allocation to meet the Boards' capital expenditure.</t>
  </si>
  <si>
    <t>Additional funding will support increased running costs and pension costs.</t>
  </si>
  <si>
    <t xml:space="preserve">This budget funds the provision of legal aid in Scotland.  It also enables the Board to: develop a network of Board employed solicitors including the Civil Legal Assistance Offices (CLAO) and the Public Defence Solicitors Office (PDSO) network and administer grant-funded services.  </t>
  </si>
  <si>
    <t>Additional funding reflects increase in legal aid fee rates.  Budget is demand led so actual costs will be met in full.</t>
  </si>
  <si>
    <t>Support to a range of projects and initiatives and grants to third sector organisations, PIRC and others, as well as staff costs, related to building safer and stronger communities and tackling sectarianism.</t>
  </si>
  <si>
    <t>Additional funding reflects increased running costs.</t>
  </si>
  <si>
    <t>This budget contributes towards a range of policing-related activities including the emergency services telecommunications systems and will support Lord Bracadale's  Public Inquiry.</t>
  </si>
  <si>
    <t>Change reflects  transfer of funds from the Police Reform and Change line and change in SG contribution towards the Emergency Services Mobile Communication programme. Prior years restated to reflect baseline transfer to Scottish Police Authority in 2023-24</t>
  </si>
  <si>
    <t xml:space="preserve">This covers the operating costs, depreciation costs and associated income for the Scottish Crime Campus at Gartcosh. </t>
  </si>
  <si>
    <t>Provides funding to the Scottish Police Authority to meet the pension costs of retired police officers.</t>
  </si>
  <si>
    <t>Additional funding reflects increased pension costs</t>
  </si>
  <si>
    <t>Provides funding to the Scottish Fire and Rescue Service s to meet the pension costs of retired fire officers.</t>
  </si>
  <si>
    <t>Provides funding to cover expenditure associated with operating the prison system (both publicly and privately managed prisons) and the provision of a Custody Court and Prisoner Escorting Service on behalf of Scottish Courts, Police Scotland and the wider justice systems.</t>
  </si>
  <si>
    <t>Additional funding reflects increased running costs, including inflation-linked contracts, and increase to non-cash.</t>
  </si>
  <si>
    <t>Provides funding to cover expenditure associated with managing the Scottish Prison Service’s capital programme.</t>
  </si>
  <si>
    <t>Additional funding reflects capital spending on prison estate modernisation.</t>
  </si>
  <si>
    <t>Contributing to a safe and secure Scotland by supporting effective government to ensure we have the capacity to tackle threats posed by EU exit, terrorism, organised crime and the developing cyber security threat.  Support for the Armed Forces and veterans community in Scotland.</t>
  </si>
  <si>
    <t>Operational costs for HM Inspectorate of Constabulary for Scotland.</t>
  </si>
  <si>
    <t>Operational costs for HM Chief Inspector of Fire and Rescue Services for Scotland</t>
  </si>
  <si>
    <t xml:space="preserve">Scottish Veterans Fund and the administration of the fund by Veterans Scotland, Capacity Building Grant for Veterans Scotland and supports Ministerial input to Commemorations. </t>
  </si>
  <si>
    <t>Costs for Scottish Veterans Commissioner's Office</t>
  </si>
  <si>
    <t>Funding to support a range of initiatives to better support victims and witnesses, including funding for the statutory Appropriate Adult scheme and delivery of the Restorative Justice Action Plan and the Trafficking and Exploitation Strategy. Also activity in support of justice elements of the Equally Safe strategy, to continue the First Minister's commitment to support violence against women justice priorities and work relating to support for children and vulnerable witnesses.</t>
  </si>
  <si>
    <t>Additional funding to support victims and witnesses initiatives.</t>
  </si>
  <si>
    <t xml:space="preserve">Justice Analytical Services annual programme of research and analysis including the flagship Scottish Crime and Justice Survey </t>
  </si>
  <si>
    <t>Additional funding will support increased running costs and analytical activity.</t>
  </si>
  <si>
    <t>Staffing and operations of the Parole Board and the delivery of reform in terms of Parole Board itself.</t>
  </si>
  <si>
    <t xml:space="preserve">Funds cross-justice IT projects and a variety of justice change programmes, </t>
  </si>
  <si>
    <t>The operational costs of HM Inspectorate of Prisons for Scotland including costs relating to the arrangements for Independent Prison Monitoring.</t>
  </si>
  <si>
    <t>Funds the Scottish Criminal Cases Review Commission - an independent public body which reviews cases where it is alleged that a miscarriage of justice in relation to either conviction or sentence has occurred.</t>
  </si>
  <si>
    <t>This budget covers a range of miscellaneous activity across the justice portfolio</t>
  </si>
  <si>
    <t>Additional funding will support a range of work to support access to justice.</t>
  </si>
  <si>
    <t>Funds the Scottish Law Commission. The Commission recommends reforms to improve, simplify and update the law of Scotland</t>
  </si>
  <si>
    <t>This budget covers the SG contribution towards the costs of the UK Supreme Court.</t>
  </si>
  <si>
    <t xml:space="preserve">Operational costs relating to Ministerial policy development and support. </t>
  </si>
  <si>
    <t xml:space="preserve">Change reflects reduction in running costs. </t>
  </si>
  <si>
    <t>Operational Costs for the Inspectorate of Prosecution in Scotland.</t>
  </si>
  <si>
    <t>Additional resources allocated to recovery, renewal and transforamation activity across the jusitce system as we emrge from the pandemic.</t>
  </si>
  <si>
    <t>Adjustment reflects the end of no longer required funding, e.g. for loss of Police income, additional COVID measures, etc. Funding for COVID Court recovery and community justice are retained in full.</t>
  </si>
  <si>
    <t>This budget funds the resource elements of the Scottish Police Authority and through it, Police Scotland.</t>
  </si>
  <si>
    <t>Additional funding will support increased running costs and transfer of the police reform and transformation budget from the Police Central Government to the SPA budget line. Prior years restated to reflect baseline transfer to Scottish Police Authority in 2023-24</t>
  </si>
  <si>
    <t>This budget funds the capital elements of the Scottish Police Authority and through it, Police Scotland.</t>
  </si>
  <si>
    <t>This budget funds the resource element of the Scottish Fire and Rescue Service.</t>
  </si>
  <si>
    <t xml:space="preserve">This budget funds the capital element of the Scottish Fire and Rescue Service. </t>
  </si>
  <si>
    <t xml:space="preserve">General running costs including staffing; fees for Tribunal Members; Judicial costs; accommodation and maintenance; other operational costs. </t>
  </si>
  <si>
    <t>Additional funding will support increased running costs and non-cash costs.</t>
  </si>
  <si>
    <t>Maintain the estate to a standard sufficient to meet service level requirements and all other statutory requirements. Provide the necessary IT infrastructure.</t>
  </si>
  <si>
    <t>Additional capital for one-off costs in 2023-24.</t>
  </si>
  <si>
    <t>Constitution, External Affairs  and Culture</t>
  </si>
  <si>
    <t>Culture and Major Events</t>
  </si>
  <si>
    <t>Royal and Ceremonial</t>
  </si>
  <si>
    <t>Total - Royal and Ceremonial</t>
  </si>
  <si>
    <t>Architecture and Place</t>
  </si>
  <si>
    <t>Architecture and Design Scotland</t>
  </si>
  <si>
    <t>Total - Architecture and Place</t>
  </si>
  <si>
    <t>Creative Scotland and Other Arts</t>
  </si>
  <si>
    <t>Creative Scotland (CS)</t>
  </si>
  <si>
    <t>Cultural Project Financial Transactions (Expenditure)</t>
  </si>
  <si>
    <t>Cultural Project Financial Transactions (Income)</t>
  </si>
  <si>
    <t>CS Depreciation</t>
  </si>
  <si>
    <t>Other Arts</t>
  </si>
  <si>
    <t>Total - Creative Scotland and Other Arts</t>
  </si>
  <si>
    <t>Cultural Collections</t>
  </si>
  <si>
    <t>National Museums of Scotland (NMS)</t>
  </si>
  <si>
    <t>NMS Capital</t>
  </si>
  <si>
    <t>NMS Depreciation</t>
  </si>
  <si>
    <t>National Galleries of Scotland (NGS)</t>
  </si>
  <si>
    <t>NGS Capital</t>
  </si>
  <si>
    <t>NGS Depreciation</t>
  </si>
  <si>
    <t>National Library of Scotland (NLS)</t>
  </si>
  <si>
    <t>NLS Capital</t>
  </si>
  <si>
    <t>NLS Depreciation</t>
  </si>
  <si>
    <t>Non National Museums</t>
  </si>
  <si>
    <t>Non National Libraries</t>
  </si>
  <si>
    <t>Other Cultural Capital</t>
  </si>
  <si>
    <t>Total - Cultural Collections</t>
  </si>
  <si>
    <t xml:space="preserve">Major Events </t>
  </si>
  <si>
    <t xml:space="preserve">Total - Major Events </t>
  </si>
  <si>
    <t>Culture and Major Events - Advice and Policy</t>
  </si>
  <si>
    <t>Total - Culture and Major Events - Advice and Policy</t>
  </si>
  <si>
    <t>National Performing Companies</t>
  </si>
  <si>
    <t>National Performing Companies - Current</t>
  </si>
  <si>
    <t>Total - National Performing Companies</t>
  </si>
  <si>
    <t>Total - Culture and Major Events</t>
  </si>
  <si>
    <t>Historic Environment Scotland</t>
  </si>
  <si>
    <t>HES-Running Costs</t>
  </si>
  <si>
    <t>HES Depreciation and Impairment</t>
  </si>
  <si>
    <t>Total Level 3</t>
  </si>
  <si>
    <t>HES Direct Capital</t>
  </si>
  <si>
    <t>Less Income</t>
  </si>
  <si>
    <t>Total - Historic Environment Scotland</t>
  </si>
  <si>
    <t>National Records of Scotland</t>
  </si>
  <si>
    <t>Operational Costs</t>
  </si>
  <si>
    <t>Other Running Costs</t>
  </si>
  <si>
    <t>Depreciation Capital Charge</t>
  </si>
  <si>
    <t>Total - National Records of Scotland</t>
  </si>
  <si>
    <t>External Affairs</t>
  </si>
  <si>
    <t>International and European Relations</t>
  </si>
  <si>
    <t xml:space="preserve">External Affairs Advice and Policy (Scotland) </t>
  </si>
  <si>
    <t>International Development Administration</t>
  </si>
  <si>
    <t>Scottish Affairs Office China</t>
  </si>
  <si>
    <t>Scottish Affairs Office United States</t>
  </si>
  <si>
    <t>Scottish Affairs Office Canada</t>
  </si>
  <si>
    <t>International Development Fund</t>
  </si>
  <si>
    <t>International Relations</t>
  </si>
  <si>
    <t>Humanitarian Aid</t>
  </si>
  <si>
    <t>Brand Scotland Policy and Co-ordination</t>
  </si>
  <si>
    <t>European Strategy</t>
  </si>
  <si>
    <t>Migration Strategy</t>
  </si>
  <si>
    <t>Scottish Government Office Paris</t>
  </si>
  <si>
    <t>Scottish Government Office Copenhagen</t>
  </si>
  <si>
    <t>Brussels Office</t>
  </si>
  <si>
    <t>Scotland House: London</t>
  </si>
  <si>
    <t>Scottish Government Office Dublin</t>
  </si>
  <si>
    <t>Scottish Government Office Berlin</t>
  </si>
  <si>
    <t>Total - International and European Relations</t>
  </si>
  <si>
    <t xml:space="preserve">British Irish Council </t>
  </si>
  <si>
    <t xml:space="preserve">Total - British Irish Council </t>
  </si>
  <si>
    <t>Total - External Affairs</t>
  </si>
  <si>
    <t>TOTAL Constitution, External Affairs and Culture</t>
  </si>
  <si>
    <t>To support Royal and Ceremonial activity within Scotland</t>
  </si>
  <si>
    <t>This sustains the statutory body covering A&amp;DS who support the practical promotion of good design in place-making and good architecture with the aim of achieving better outcomes in new development in Scotland.</t>
  </si>
  <si>
    <t>Core funding for Creative Scotland which covers its operational costs and various grants schemes</t>
  </si>
  <si>
    <t xml:space="preserve">Increase for 2022-23 public sector pay policy. </t>
  </si>
  <si>
    <t xml:space="preserve">Provision of loans within the culture sector. </t>
  </si>
  <si>
    <t>No FT requirement.</t>
  </si>
  <si>
    <t xml:space="preserve">Non-cash budget to cover loss in value of fixed assets over the accounting period. </t>
  </si>
  <si>
    <t xml:space="preserve">Provides ring fenced funding for Creative Scotland including Screen Scotland, Youth Music Initiative, and Festivals. Also provides for revenue funding for V&amp;A Dundee, Sistema Scotland and other smaller cultural opportunities and priorities. </t>
  </si>
  <si>
    <t>Adjustment in funding for Creative Scotland to reflect arts lottery income and reserves</t>
  </si>
  <si>
    <t xml:space="preserve">Provides for the general operational costs of the NMS. </t>
  </si>
  <si>
    <t>Increased funding for 2022/23 public sector pay policy and other rising costs.</t>
  </si>
  <si>
    <t>Capital projects for redevelopment, repairs, maintenance and IT upgrade. Funding for the National Fund for Acquisitions for non-national museums.</t>
  </si>
  <si>
    <t>Decreases reflect changing profiles of capital projects</t>
  </si>
  <si>
    <t>For depreciation of NMS assets, including its estate.</t>
  </si>
  <si>
    <t xml:space="preserve">Provides for the general operational costs of the NGS. </t>
  </si>
  <si>
    <t>Capital projects for redevelopment, repairs, maintenance and IT upgrade. Capital funding for acquisition of objects to enhance the collections</t>
  </si>
  <si>
    <t>For depreciation of NGS assets, including its estate.</t>
  </si>
  <si>
    <t xml:space="preserve">Provides for the general operational costs of the NLS. </t>
  </si>
  <si>
    <t>Capital projects for redevelopment, repairs, maintenance and IT upgrade. Capital funding for acquisition of new material to enhance the collections.</t>
  </si>
  <si>
    <t>Increase to reflect changing profiles of capital projects</t>
  </si>
  <si>
    <t>For depreciation of NLS assets, including its estate.</t>
  </si>
  <si>
    <t xml:space="preserve">Provides funding for museums and galleries across Scotland via Museums Galleries Scotland, and direct funding for the Scottish Maritime, Mining and Fisheries Museums.  </t>
  </si>
  <si>
    <t>Increase to support work on Empire, Slavery and Scotland's Museums. Additional capital to provide increased maintenance and capital support for non-national museums.</t>
  </si>
  <si>
    <t xml:space="preserve">Provides funding for non-national library improvement across Scotland via the Scottish Library and Information Council. </t>
  </si>
  <si>
    <t xml:space="preserve">Funding for capital projects not undertaken by NDPBs. </t>
  </si>
  <si>
    <t>Reflects changing spend profiles for other cultural capital projects.</t>
  </si>
  <si>
    <t>The budget supports a range of major events including the Scottish Open and Women’s Scottish Open, the 2023 UCI Cycling World Championships and the 2024 World Athletics Indoor Championships.</t>
  </si>
  <si>
    <t xml:space="preserve">This budget has increased due to spend profile of 2023 UCI Cycling World Championships and the 2024 World Athletics Indoor Championships. </t>
  </si>
  <si>
    <t>Support operational delivery for Culture, Tourism and Major Events teams.</t>
  </si>
  <si>
    <t>Changes reflect staffing requirements.</t>
  </si>
  <si>
    <t>Provides for the general operational costs of the National Performing Companies and £420k for the International Touring Fund.</t>
  </si>
  <si>
    <t>Increase to the International Touring Fund</t>
  </si>
  <si>
    <t xml:space="preserve">Staff and operating costs including conservation of estate to protect and promote Scotland's historic environment. HES is the largest operator of paid visitor attractions in Scotland as well as the lead body for enabling and delivering Scotland's Historic Environment Strategy, Our Place in Time and providing advice on the management of Scotland's wider historic environment. Building, Archaeology and Voluntary Sector grants to third parties plus goods and services not included in administration and operating costs.    </t>
  </si>
  <si>
    <t>Increased funding for public sector pay and other rising costs, further investment in the estate, and grants to the heritage sector.</t>
  </si>
  <si>
    <t>For depreciation of HES assets, including its estate.</t>
  </si>
  <si>
    <t>Investment towards restoring, enhancing and conserving our HES Properties in Care and associated visitor facing facilities across Scotland. Capital funding for corporate infrastructure.</t>
  </si>
  <si>
    <t xml:space="preserve">Uplift to support an increase in essential maintenance. </t>
  </si>
  <si>
    <t>Supports HES operational expenditure.</t>
  </si>
  <si>
    <t xml:space="preserve">Change in forecast income levels as a result of recovery from Covid-19 pandemic. </t>
  </si>
  <si>
    <t>Budget for staff costs, goods and services and grants provided. Support for Census.</t>
  </si>
  <si>
    <t xml:space="preserve">Reduction reflects lower requirement Census in 2023/24 </t>
  </si>
  <si>
    <t>For depreciation of NRS assets, including its estate.</t>
  </si>
  <si>
    <t>Capital projects for redevelopment, repairs, maintenance, IT upgrade, census and digital preservation of records.</t>
  </si>
  <si>
    <t>Revenue raised through fees and charges, contract and rental income.</t>
  </si>
  <si>
    <t>Supports the External Affairs aspects of the portfolio</t>
  </si>
  <si>
    <t>Minor changes</t>
  </si>
  <si>
    <t>Supports the costs of implementing our International Development Programme</t>
  </si>
  <si>
    <t>Supports the running of the Scottish Government Office in Beijing and associated activities aligned with the National Performance Framework</t>
  </si>
  <si>
    <t>Reflects reduced operating costs for the office in 23/24</t>
  </si>
  <si>
    <t>Supports the running of the Scottish Government Office in Washington and associated activities aligned with the National Performance Framework</t>
  </si>
  <si>
    <t>Supports the running of the Scottish Government Office in Ottawa and associated activities aligned with the National Performance Framework</t>
  </si>
  <si>
    <t>Supports Development Programmes delivered by a range of organisations working with partners overseas, focussed on the achievement of the UN Sustainable Development Goals</t>
  </si>
  <si>
    <t>Supports the delivery of Scottish Government international engagement</t>
  </si>
  <si>
    <t>Provides immediate and effective assistance to reduce the threat to life and wellbeing of a large number of a population caused by disasters, disease and conflict</t>
  </si>
  <si>
    <t xml:space="preserve">Supports a range of activity aimed at enhancing Scotland’s global reputation through continuing commitment to the Brand Scotland collaboration, including the maintenance of a cross-partner, multi-disciplinary, team, creation of marketing collateral for use across the wider public sector and in support of our single nation brand, and the resourcing of www.scotland.org our international facing website, and its supporting network of social media channels.  </t>
  </si>
  <si>
    <t>The budget supports the delivery of Scottish Government European engagement</t>
  </si>
  <si>
    <t>The provision of immigration advice and support on policy, and the delivery of PfG commitments associated with Population and Migration including the new Talent Attraction and Migration Service.</t>
  </si>
  <si>
    <t>Budget increased to fund population and migration commitments, such as the new Talent Attraction and Migration Service and visa pilot schemes</t>
  </si>
  <si>
    <t>Supports the running of the Scottish Government Office in Paris and associated activities aligned with the National Performance Framework</t>
  </si>
  <si>
    <t>Supports the running of the Scottish Government Office in Copenhagen and associated activities aligned with the National Performance Framework</t>
  </si>
  <si>
    <t>Reflects full year costs of running the office now it is operational</t>
  </si>
  <si>
    <t>Supports the running of the Scottish Government Office in Brussels and associated activities aligned with the National Performance Framework</t>
  </si>
  <si>
    <t>Supports the running of the Scottish Government Office in London and associated activities aligned with the National Performance Framework</t>
  </si>
  <si>
    <t>Supports the running of the Scottish Government Office in Dublin and associated activities aligned with the National Performance Framework</t>
  </si>
  <si>
    <t>Supports the running of the Scottish Government Office in Berlin and associated activities aligned with the National Performance Framework</t>
  </si>
  <si>
    <t>The BIC budget covers the Scottish Government’s participation in British Irish Council activities including the SG contribution to the running costs of the BIC Standing Secretariat in Edinburgh.</t>
  </si>
  <si>
    <t>No changes</t>
  </si>
  <si>
    <t>Deputy First Minister and Covid Recovery</t>
  </si>
  <si>
    <t>Governance and Reform</t>
  </si>
  <si>
    <t>Public Service Reform and Community Empowerment</t>
  </si>
  <si>
    <t>Covid Recovery</t>
  </si>
  <si>
    <t>Total - Governance and Reform</t>
  </si>
  <si>
    <t>Organisational Readiness</t>
  </si>
  <si>
    <t>Office of the Chief Researcher</t>
  </si>
  <si>
    <t xml:space="preserve">Resilience </t>
  </si>
  <si>
    <t>Response and Readiness</t>
  </si>
  <si>
    <t>Total - Organisational Readiness</t>
  </si>
  <si>
    <t>Government Business and Constitutional Relations</t>
  </si>
  <si>
    <t>Local Government Elections</t>
  </si>
  <si>
    <t>Boundaries Scotland</t>
  </si>
  <si>
    <t>Scottish Parliamentary Elections</t>
  </si>
  <si>
    <t xml:space="preserve">Extension of Freedom of Information Coverage </t>
  </si>
  <si>
    <t>Government Business and Constitutional Relations Policy and Coordination</t>
  </si>
  <si>
    <t>Total Government Business and Constitutional Relations</t>
  </si>
  <si>
    <t>Total - DFM and Cabinet Secretary for Covid Response</t>
  </si>
  <si>
    <t>To support the operational and delivery costs of the SG’s cross-cutting readiness function, including oversight of concurrent risk.</t>
  </si>
  <si>
    <t>To support the social research profession within the Scottish Government. The budget supports research capacity-building via the SG research internship scheme – jointly funded via the Scottish Graduate School for Social Sciences, and other strategic investments in skills development.  It pays for SG to access key data/evidence to inform policy development. It is also used for research and evaluation of policy effectiveness in cross-cutting and high priority areas.</t>
  </si>
  <si>
    <t xml:space="preserve">Contributing to a safe and secure Scotland by supporting effective government, demand led multi-agency and community preparedness for and response to emergencies and other incidents.  </t>
  </si>
  <si>
    <t>To support organisational response, including analysis to inform cross-government priorities, and the establishment and operation of, and response to, COVID-19 public inquiries.</t>
  </si>
  <si>
    <t>Supports the delivery of preparation for the local government elections in 2027 and the running costs of the Electoral Management Board.</t>
  </si>
  <si>
    <t xml:space="preserve">Supports independent review of electoral and administrative boundaries for local government in Scotland and of Scottish Parliament constituency boundaries.          </t>
  </si>
  <si>
    <t>To support delivery of Scottish Parliament electoral reform and policy developments.</t>
  </si>
  <si>
    <t>Provision for extension of the coverage of the Freedom of Information (Scotland) Act 2002</t>
  </si>
  <si>
    <t>To support the operational and delivery costs of the strategic coordination, government business and constitution relations aspects of the portfolio.</t>
  </si>
  <si>
    <t>Investment to transform public services with a focus on prevention, place based approaches and community empowerment.</t>
  </si>
  <si>
    <t>To support the delivery of the Covid Recovery Strategy and contribute to strategic oversight and coordination of Covid Recovery activity across the SG.</t>
  </si>
  <si>
    <t xml:space="preserve">Next local government election is 2027. </t>
  </si>
  <si>
    <t xml:space="preserve">Restructured budget. </t>
  </si>
  <si>
    <t>Level 4 Data</t>
  </si>
  <si>
    <t>Scottish Budget: 2023-24</t>
  </si>
  <si>
    <t>Health and Social Care</t>
  </si>
  <si>
    <t>Education and Skills</t>
  </si>
  <si>
    <t>Net Zero, Energy and Transprot</t>
  </si>
  <si>
    <t>Rural Affairs and Islands</t>
  </si>
  <si>
    <t>Constituion, External Affairs and Culture</t>
  </si>
  <si>
    <t>Learning</t>
  </si>
  <si>
    <t>Workforce and Infrastructure</t>
  </si>
  <si>
    <t>Teacher Training</t>
  </si>
  <si>
    <t>School Estate</t>
  </si>
  <si>
    <t>Technologies for Learning</t>
  </si>
  <si>
    <t>Schools for the Future Unitary Charges</t>
  </si>
  <si>
    <t>Jordanhill School</t>
  </si>
  <si>
    <t>Jordanhill School Indirect Capital</t>
  </si>
  <si>
    <t>St Mary's Music School Grant Payments</t>
  </si>
  <si>
    <t>Learning and Support -Advice and Policy</t>
  </si>
  <si>
    <t>Total - Workforce and Infrastructure</t>
  </si>
  <si>
    <t>Education Analytical Services</t>
  </si>
  <si>
    <t>Children and Families Analysis</t>
  </si>
  <si>
    <t>Learning Analysis</t>
  </si>
  <si>
    <t>Advanced Learning and Science Analysis</t>
  </si>
  <si>
    <t>Information Management, Improvement and Evidence</t>
  </si>
  <si>
    <t>Total - Education Analytical Services</t>
  </si>
  <si>
    <t>Improvement, Attainment and Wellbeing</t>
  </si>
  <si>
    <t>Communication Teams (Schools)</t>
  </si>
  <si>
    <t>Raising Attainment</t>
  </si>
  <si>
    <t>Grant Aided Special Schools Indirect Capital</t>
  </si>
  <si>
    <t>Compensation Payments (SPPA)</t>
  </si>
  <si>
    <t>Equalities, Inclusion and Additional Support for Learning</t>
  </si>
  <si>
    <t xml:space="preserve">Health and Wellbeing </t>
  </si>
  <si>
    <t>Total - Improvement, Attainment and Wellbeing</t>
  </si>
  <si>
    <t>Total - Learning</t>
  </si>
  <si>
    <t>Education Reform</t>
  </si>
  <si>
    <t>Gaelic</t>
  </si>
  <si>
    <t>Bòrd na Gàidhlig (Alba)</t>
  </si>
  <si>
    <t>Gaelic Indirect Capital</t>
  </si>
  <si>
    <t>Gaelic Schools</t>
  </si>
  <si>
    <t>Gaelic Broadcasting</t>
  </si>
  <si>
    <t>Gaelic Education, Culture and Arts</t>
  </si>
  <si>
    <t>Scots Language Development</t>
  </si>
  <si>
    <t>Gaelic Development</t>
  </si>
  <si>
    <t>Total - Gaelic</t>
  </si>
  <si>
    <t>Curriculum</t>
  </si>
  <si>
    <t xml:space="preserve">General Curriculum </t>
  </si>
  <si>
    <t>Total - Curriculum</t>
  </si>
  <si>
    <t>SQA Development /Accommodation Costs</t>
  </si>
  <si>
    <t>Qualifications, Assessment &amp; Skills</t>
  </si>
  <si>
    <t xml:space="preserve">Scottish Qualifications Authority </t>
  </si>
  <si>
    <t>Scottish Qualifications Authority - Capital</t>
  </si>
  <si>
    <t>Total - Education Reform</t>
  </si>
  <si>
    <t>Education Scotland</t>
  </si>
  <si>
    <t>Receipts</t>
  </si>
  <si>
    <t>Pay</t>
  </si>
  <si>
    <t xml:space="preserve">Other </t>
  </si>
  <si>
    <t>Depreciation</t>
  </si>
  <si>
    <t>Total - Education Scotland</t>
  </si>
  <si>
    <t>Children and Families</t>
  </si>
  <si>
    <t>Children's Rights, Protection and Justice</t>
  </si>
  <si>
    <t>SCRA - Resource</t>
  </si>
  <si>
    <t>SCRA - Indirect Capital</t>
  </si>
  <si>
    <t>Children's Hearings Scotland (CHS) - Resource</t>
  </si>
  <si>
    <t>Children's Hearings Scotland (CHS) - Indirect Capital</t>
  </si>
  <si>
    <t>Children's Hearings work</t>
  </si>
  <si>
    <t>Preventing Offending by Young People/Whole Systems Approach</t>
  </si>
  <si>
    <t>UNCRC Incorporation and Children and Young People's Rights Implementation</t>
  </si>
  <si>
    <t>Child Protection</t>
  </si>
  <si>
    <t>Total - Children's Rights, Protection and Justice</t>
  </si>
  <si>
    <t>Strategy GIRFEC and The Promise</t>
  </si>
  <si>
    <t>Improving Lives for People with Care Experience</t>
  </si>
  <si>
    <t>Getting it Right for Every Child</t>
  </si>
  <si>
    <t>The Promise</t>
  </si>
  <si>
    <t>Whole Family Wellbeing Funding</t>
  </si>
  <si>
    <t>Total - Strategy GIRFEC and The Promise</t>
  </si>
  <si>
    <t>Redress, Relations and Response</t>
  </si>
  <si>
    <t>Scottish Child Abuse Inquiry</t>
  </si>
  <si>
    <t>Redress Advanced Payments</t>
  </si>
  <si>
    <t>Redress Statutory Scheme Payments</t>
  </si>
  <si>
    <t>Redress Statutory Scheme Delivery</t>
  </si>
  <si>
    <t>Redress Scotland</t>
  </si>
  <si>
    <t>Total - Redress, Relations and Response</t>
  </si>
  <si>
    <t>Disclosure Scotland</t>
  </si>
  <si>
    <t>Disclosure Scotland Operational Costs</t>
  </si>
  <si>
    <t>Total - Disclosure Scotland</t>
  </si>
  <si>
    <t>Office of Chief Social Work Adviser</t>
  </si>
  <si>
    <t>Scottish Social Services Council Resource</t>
  </si>
  <si>
    <t>Workforce Development</t>
  </si>
  <si>
    <t>Total - Office of Chief Social Work Adviser</t>
  </si>
  <si>
    <t>Creating Positive Futures</t>
  </si>
  <si>
    <t>Parenting, Play &amp; Family Support</t>
  </si>
  <si>
    <t>Capital Grants</t>
  </si>
  <si>
    <t>Children Young People and Families Early Intervention Fund (CYPFEIF)</t>
  </si>
  <si>
    <t>Children &amp; Young People Improvement Collaborative</t>
  </si>
  <si>
    <t>Supporting Families with Disabled Children</t>
  </si>
  <si>
    <t>Children and Families-Advice and Policy</t>
  </si>
  <si>
    <t>Total - Creating Positive Futures</t>
  </si>
  <si>
    <t>Total - Children and Families</t>
  </si>
  <si>
    <t>Early Learning and Childcare Programme</t>
  </si>
  <si>
    <t>Early Learning and Childcare</t>
  </si>
  <si>
    <t>ELC Expansion</t>
  </si>
  <si>
    <t>School Age Childcare</t>
  </si>
  <si>
    <t xml:space="preserve">Total - Early Learning and Childcare </t>
  </si>
  <si>
    <t>Total - Early Learning and Childcare Programme</t>
  </si>
  <si>
    <t>Advanced Learning and Science</t>
  </si>
  <si>
    <t>Higher Education</t>
  </si>
  <si>
    <t>University and College International Activity</t>
  </si>
  <si>
    <t>Student Support</t>
  </si>
  <si>
    <t>Higher Education-Advice and Policy</t>
  </si>
  <si>
    <t>Total - Higher Education</t>
  </si>
  <si>
    <t>Qualifications and Accreditation</t>
  </si>
  <si>
    <t>FAE General</t>
  </si>
  <si>
    <t>Skills for Business Network</t>
  </si>
  <si>
    <t xml:space="preserve">SQA, Vocational Qualifications and Skills </t>
  </si>
  <si>
    <t>Scottish Credit and Qualifications Framework</t>
  </si>
  <si>
    <t>Community Learning &amp; Development</t>
  </si>
  <si>
    <t>Total - Qualifications and Accreditation</t>
  </si>
  <si>
    <t>Science Engagement and Advice</t>
  </si>
  <si>
    <t>Science &amp; Society</t>
  </si>
  <si>
    <t>Total - Science Engagement and Advice</t>
  </si>
  <si>
    <t>Total Lifelong Learning (level 2)</t>
  </si>
  <si>
    <t>Scottish Funding Council</t>
  </si>
  <si>
    <t>Scottish Funding Council Administration</t>
  </si>
  <si>
    <t>College Operational Expenditure</t>
  </si>
  <si>
    <t>College Operational Income</t>
  </si>
  <si>
    <t>Net College Resource</t>
  </si>
  <si>
    <t>College NPD Expenditure</t>
  </si>
  <si>
    <t>College Depreciation Costs</t>
  </si>
  <si>
    <t>College Capital Expenditure</t>
  </si>
  <si>
    <t>College Capital Receipts</t>
  </si>
  <si>
    <t>Net College Capital</t>
  </si>
  <si>
    <t>Higher Education Resource</t>
  </si>
  <si>
    <t>Higher Education Capital</t>
  </si>
  <si>
    <t>Higher Education Financial Transactions (Expenditure)</t>
  </si>
  <si>
    <t>Higher Education Financial Transactions (Income)</t>
  </si>
  <si>
    <t>Total - Scottish Funding Council</t>
  </si>
  <si>
    <t>Higher Education Student Support</t>
  </si>
  <si>
    <t>DEL</t>
  </si>
  <si>
    <t>Student Support and Tuition Fee Payments</t>
  </si>
  <si>
    <t>Student Loan Company Administration Costs</t>
  </si>
  <si>
    <t>Student Loan Interest Subsidy to Bank</t>
  </si>
  <si>
    <t>Cost of Providing Student Loans (RAB charge - Non Cash)</t>
  </si>
  <si>
    <t>Student Awards Agency for Scotland (SAAS) - Operating Costs - Resource</t>
  </si>
  <si>
    <t>Student Awards Agency for Scotland - Operating Costs - Capital</t>
  </si>
  <si>
    <t>HESS DEL Total</t>
  </si>
  <si>
    <t>AME</t>
  </si>
  <si>
    <t>Net Student Loans Advanced</t>
  </si>
  <si>
    <t>Capitalised Interest</t>
  </si>
  <si>
    <t>Student Loans Fair Value Adjustment</t>
  </si>
  <si>
    <t>Student Loan Sale Subsidy Impairment Adjustments</t>
  </si>
  <si>
    <t>HESS AME Total</t>
  </si>
  <si>
    <t>Total Higher Education Student Support</t>
  </si>
  <si>
    <t xml:space="preserve">Skills and Training </t>
  </si>
  <si>
    <t>Skills Development Scotland</t>
  </si>
  <si>
    <t>Total - Skills Development Scotland</t>
  </si>
  <si>
    <t xml:space="preserve">Employment and Training Interventions </t>
  </si>
  <si>
    <t xml:space="preserve">Education Maintenance Allowance </t>
  </si>
  <si>
    <t>Employability</t>
  </si>
  <si>
    <t>Skills</t>
  </si>
  <si>
    <t xml:space="preserve">Total - Employment and Training Interventions </t>
  </si>
  <si>
    <t>Total Skills and Training</t>
  </si>
  <si>
    <t>Total Education and Skills</t>
  </si>
  <si>
    <t>Local Government Gaelic Grant</t>
  </si>
  <si>
    <t>Gaelic (LA Resource Specific Grant)</t>
  </si>
  <si>
    <t xml:space="preserve">Local Government Gaelic Grant </t>
  </si>
  <si>
    <t>Total - Local Government Gaelic Grant</t>
  </si>
  <si>
    <t>Local Government Attainment Grant</t>
  </si>
  <si>
    <t>Raising Attainment (LA Resource Specific Grant)</t>
  </si>
  <si>
    <t xml:space="preserve">Local Government Attainment Grant </t>
  </si>
  <si>
    <t>Total - Local Government Attainment Grant</t>
  </si>
  <si>
    <t>Local Government ELC Grant</t>
  </si>
  <si>
    <t>Early Learning &amp; Childcare Expansion (LA Resource Specific Grant)</t>
  </si>
  <si>
    <t>Early Learning &amp; Childcare Expansion (LA Capital Specific Grant)</t>
  </si>
  <si>
    <t xml:space="preserve">Local Government ELC Grant </t>
  </si>
  <si>
    <t>Total - Local Government ELC Grant</t>
  </si>
  <si>
    <t>Funding to recruit, maintain and train student teachers, operate the teacher induction scheme and enable initiatives to support the structure of teachers’ professional learning in Scotland.</t>
  </si>
  <si>
    <t>Minor remodelling of corporate running charges and non-staff costs. Programme reource allocation remains unchanged from 22-23.</t>
  </si>
  <si>
    <t>Supports Scottish Futures Trust’s management of the Scottish Government's school building programme; Architecture &amp; Design Scotland’s delivery of the schools programme; and the Scottish Arbitration Centre who provide the support service to the School Closures Review Panel.</t>
  </si>
  <si>
    <t>Funds Glow, SWAN connectivity for education establishments, support for digital learning, teaching and improvements to school infrastructure and online services. Funding to support improvements to schools' digital infrastructure and online services.</t>
  </si>
  <si>
    <t>Reflects efficiencies made on service provision and phasing of digital device rollout. Capital allocation in 23-24 to support the commitment to ensure every school-aged child has access to a device to support their learning. May also support improvements to schools' digital infrastructure and online services.</t>
  </si>
  <si>
    <t>Covers the unitary charges from the Schools for the Future programme.</t>
  </si>
  <si>
    <t>Uplift to reflect actual unitary charges in 23-24 for Schools for the Future Projects.</t>
  </si>
  <si>
    <t xml:space="preserve">Grant-maintained school budget for all aspects of operating and staffing the school. </t>
  </si>
  <si>
    <t>Improvements to the school as part of a school maintenance programme.</t>
  </si>
  <si>
    <t>Funds aided places scheme which provides financial assistance for pupils attending St Mary’s Music School.</t>
  </si>
  <si>
    <t>Resource to support delivery of a range of work across the wider business area.</t>
  </si>
  <si>
    <t>Minor remodelling of corporate running charges and non-staff costs. This budget line previously sat under 'curriculum' but has been moved to reflect changes to SG's ogranisational structure.</t>
  </si>
  <si>
    <t>To support the provision of additional evidence to monitor, evaluate and develop policies to achieve National Outcomes relating to children.</t>
  </si>
  <si>
    <t>Reflects the capitalisation of some projects.
Minor remodelling of corporate running charges and non-staff costs. Project allocation remains unchanged from 22-23.</t>
  </si>
  <si>
    <t>To provide evidence and analysis on Learning and to support the Directorate for Learning in the achievement, measurement and monitoring of relevant National Outcomes and Indicators.</t>
  </si>
  <si>
    <t>To provide data, research and analysis to support the DG Education, Communities and Justice in the achievement, measurement and monitoring of relevant National Outcomes and Indicators.</t>
  </si>
  <si>
    <t>Develop electronic data exchanges between partners in the Scottish education system and beyond as well as promoting and supporting continuous improvement through the use, development and reporting of evidence and benchmarking information.</t>
  </si>
  <si>
    <t>Minor remodelling of corporate running charges and non-staff costs. Project reource allocation remains unchanged from 22-23.</t>
  </si>
  <si>
    <t xml:space="preserve">"Engage for Education" and related events. </t>
  </si>
  <si>
    <t>Budget for the Attainment Scotland Fund to support the Scottish Attainment Challenge and for the School Clothing Grant.</t>
  </si>
  <si>
    <t>Minor remodelling of corporate running charges and non-staff costs. Increase of £1.2m for School Clothing Grant to allow for uplifting in line with CPI, consistent with Scottish social security benefits</t>
  </si>
  <si>
    <t>Improvements to schools as part of a maintenance programme.</t>
  </si>
  <si>
    <t>Pension contributions for former List D school staff.</t>
  </si>
  <si>
    <t>Fewer recipients of the scheme.</t>
  </si>
  <si>
    <t>Includes funding to "Grant Aided Special Schools" and for the implementation of additional support for learning: Enquire, CALL Scotland, Let's talk ASN, Scottish Sensory Centre, Dyslexia Scotland, Scottish Network for Able Pupils, Scottish Traveller Education Project and contribution towards Membership of the European Agency for Special Educational Needs and training of independent adjudicators.</t>
  </si>
  <si>
    <t>Supports implementation of "Health and Wellbeing" across the curriculum -  food and health, relationships, sexual health and parenthood education. It also provides national support for a range of projects promoting positive relationships, behaviour, mental health and wellbeing and engagement in schools and the national anti-bullying service.</t>
  </si>
  <si>
    <t>Continued capital investment to support the expansion of provision of free school meals.</t>
  </si>
  <si>
    <t>Funding for Bòrd na Gàidhlig supports a wide range of Gaelic development activities including Early Years, Adult Learning, Gaelic arts and publishing. This funding also supports the implementation of Gaelic plans. Contributes to Education at all levels, involved in delivering 0-3 to adult in formal and informal settings.</t>
  </si>
  <si>
    <t xml:space="preserve">This budget assists local authorities with the expansion of Gaelic medium education by supporting small- or medium-sized projects where there is a demand for increased provision.  </t>
  </si>
  <si>
    <t>Capital to support the continued expansion of Gaelic medium education.</t>
  </si>
  <si>
    <t xml:space="preserve">This budget assists local authorities and Gaelic bodies with the expansion of Gaelic medium education by supporting small- or medium-sized projects where there is a demand for increased provision.  </t>
  </si>
  <si>
    <t>This budget goes to the company MG ALBA which is in partnership with the BBC to deliver the Gaelic television channel, BBC ALBA. The funding also covers radio, online and training initiatives.</t>
  </si>
  <si>
    <t>Minor remodelling of corporate running charges. Programme reource allocation remains unchanged from 22-23.</t>
  </si>
  <si>
    <t xml:space="preserve">This budget supports the Gaelic activities of Sabhal Mòr Ostaig and Storlann which is the national centre producing support for pupils, parents and teachers in Gaelic education.  </t>
  </si>
  <si>
    <t>No change to allocation. Name changed to better reflect the breadth of spend on this line.</t>
  </si>
  <si>
    <t xml:space="preserve">This budget is directed towards the activities of the Scots Language Centre and Scottish Language Dictionaries and their support of Scots language.  </t>
  </si>
  <si>
    <t>The budget will be allocated to support ministerial priorities that promote the learning, speaking and use of the Gaelic language in Scotland.</t>
  </si>
  <si>
    <t>The funding supports a range of work across the Curriculum for Excellence, and includes funding to remove core curriculum charges and charges related to music tuition.</t>
  </si>
  <si>
    <t>Budget reflects the consolidation of curriculum programmes and includes funding to support the e-sgoil element of the National e-Learning Offer.
Minor remodelling of corporate running charges and non-staff costs.</t>
  </si>
  <si>
    <t>Funding to implement a range of education reforms to empower our teachers, parents and communities to deliver excellence and equity for our children.</t>
  </si>
  <si>
    <t>Uplift to support the reform agenda, including funding for the National Discussion and to implement the reforms from the Hayward Review.</t>
  </si>
  <si>
    <t>Funds accommodation costs for SQA (including Education Scotland's share of the Optima Building, Glasgow).</t>
  </si>
  <si>
    <t>Funds support the implementation of Curriculum for Excellence and the new national qualifications.</t>
  </si>
  <si>
    <t>SG core grant-in-aid contribution towards operational costs and depreciation.</t>
  </si>
  <si>
    <t>Revised depreciation costs. Resource allocation remains unchanged from 22-23.</t>
  </si>
  <si>
    <t>SG core grant-in-aid contribution to capital activity.</t>
  </si>
  <si>
    <t>Salary costs for the national improvement agency for education in Scotland. Staff costs support the Government’s desire to ensure excellence and equity across the education system</t>
  </si>
  <si>
    <t>Activities to support the Government’s desire to ensure excellence and equity across the education system</t>
  </si>
  <si>
    <t>Depreciation of ES assets.</t>
  </si>
  <si>
    <t>Revised depreciation costs.</t>
  </si>
  <si>
    <t>Funds the running costs of Scottish Children's Reporter Administration (SCRA).</t>
  </si>
  <si>
    <t>Minor movement due to non cash adjustment.  Resource level remains the same</t>
  </si>
  <si>
    <t>Maintenance and improvement of hearings centres across Scotland.</t>
  </si>
  <si>
    <t>Small planned capital increase to support maintenance and improvement of hearings centres.</t>
  </si>
  <si>
    <t xml:space="preserve">Funds the running costs of Children's Hearings Scotland (CHS).  </t>
  </si>
  <si>
    <t>Maintenance and improvement of digital  hearings systems.</t>
  </si>
  <si>
    <t>Small capital increase to support maintenance and improvement of digital capability of hearings.</t>
  </si>
  <si>
    <t>Support to and administration of National Safeguarder Panel including training and performance management of safeguarders. Delivery of advocacy support for young people in the hearings system.</t>
  </si>
  <si>
    <t xml:space="preserve">Supports delivery of whole system approach / Youth Justice Strategy . Meets the costs of secure care accommodation placements for sentenced young people. Supports improvement work to divert high risk young people from offending behaviour, to provide alternatives to secure care and to provide custody and manage young people safely in their communities.  </t>
  </si>
  <si>
    <t>Minor remodelling of corporate running costs. programme resource remains unchanged.</t>
  </si>
  <si>
    <t>Preparation for implementation of the incorporation of the United Nations Convention on the Rights of the Child (UNCRC) into Scots law.  Core funding to key partners to support the children's rights agenda. Supports engagement with children and young people and promotion of children's rights under part 1 of the  Children and Young People (Scotland) Act 2014.</t>
  </si>
  <si>
    <t xml:space="preserve">Funding for core child protection and frontline support for projects that help vulnerable children and families such as the Partnership Drugs Initiative (PDI) which helps identify best practice for those working with families affected by substance misuse. Delivery of the Scottish Guardianship service , the new Independent Child Trafficking Guardianship Service and Joint investigative interviews.  </t>
  </si>
  <si>
    <t xml:space="preserve">Supports a range of on-going legislative commitments to support looked-after children, young people and care leavers.  This includes  delivery of Scotland's Adoption Register and support to deliver the Kinship Advice Service; funding support for Kinship and Foster Care allowances; funding for the Centre of Excellence for Looked After Children In Scotland (CELCIS); Mentoring support for vulnerable young people with looked after experience; and development of a Good Childhood. </t>
  </si>
  <si>
    <t xml:space="preserve">£3m of Whole family wellbeing funding previously resourced from this line now transfered into new WFWF line below.  </t>
  </si>
  <si>
    <t xml:space="preserve">Supports national implementation of GIRFEC approach and practice. </t>
  </si>
  <si>
    <t>Provision of the Promise Fund providing grants to local areas; cost of Promise Scotland; and delivery of Keeping the Promise.</t>
  </si>
  <si>
    <t>Increased budget to support our ongoing committment under our Keeping The Promise Implementation Plan</t>
  </si>
  <si>
    <t>Funding for local Children's Services Planning Partnerships to develop and scale up preventative holistic family support, and for national activity to support transformation, learning and sharing of good practice.</t>
  </si>
  <si>
    <t>Establishment of new level 4 budget line to reflect SG investment in whole family support and in line with our committments to keep The Promise.</t>
  </si>
  <si>
    <t>Supports the government's commitment to fully meet the costs of the Independent Scottish Child Abuse Inquiry.</t>
  </si>
  <si>
    <t>n/a</t>
  </si>
  <si>
    <t>Provides financial redress to survivors of historical in-care child abuse.</t>
  </si>
  <si>
    <t>Provides delivery of statutory payments and support for survivors during and after their application.</t>
  </si>
  <si>
    <t>Minor remodelling of corporate running costs. programme remains unchanged.</t>
  </si>
  <si>
    <t>Provides independent assessment of and final decision on applicants to the Redress Scheme.</t>
  </si>
  <si>
    <t>Disclosure Scotland (DS) provides a comprehensive and responsive disclosure service, enhancing public safety through enabling safer recruitment decisions and also delivers protection services through the Protection of Vulnerable Groups Scheme ("the PVG Scheme"); a membership scheme for those individuals in regulated work with children or vulnerable adults or those individuals volunteering in such a capacity.</t>
  </si>
  <si>
    <t>Planned reduced capital allocation and adjusted non-cash depreciation.</t>
  </si>
  <si>
    <t xml:space="preserve">This funds the SSSC (an SG NDPB) to deliver SG policy on upskilling and regulating the social services workforce. This underpins the prevention agenda by ensuring that people are supported and protected by a high quality and skilled workforce. It also funds postgraduate bursaries and practice learning placements  to support the supply of social workers in Scotland. </t>
  </si>
  <si>
    <t xml:space="preserve">This provides investment in development of the social services workforce in Scotland – in line with the public service reform focus on the workforce. </t>
  </si>
  <si>
    <t xml:space="preserve">Supports the delivery of parenting, play and family support, Bookbug book gifting programme for children in their early years and PlayTalkRead </t>
  </si>
  <si>
    <t>Provides funding during 2023-24 towards the refurbishment of play parks over the term of this parliament.</t>
  </si>
  <si>
    <t>Multi year planned increased allocation to local government.</t>
  </si>
  <si>
    <t>Children, Young People Families and Adult Learning Fund (CYPFAL)  provides core funding of third sector organisations across Scotland delivering early intervention and prevention work with children, adult learners and families. This replaces the previous CYPFEIF.</t>
  </si>
  <si>
    <t>The Children and Young People Improvement Collaborative (CYPIC) supports schools and services to be as good as they can be by using quality improvement to test, measure and implement better ways of working that are more effective and responsive to the needs of children, young people and families.</t>
  </si>
  <si>
    <t>Supports the Family Fund Trust which provides rapid response small grants to families with severely disabled children.  Progression of Transitions Strategy for disabled children and young people.</t>
  </si>
  <si>
    <t>Strategic Policy and business support across all of Children and Families directorate.</t>
  </si>
  <si>
    <t>Minor remodelling of corporate running costs.</t>
  </si>
  <si>
    <t>Supports the delivery of Early Learning and Childcare policy to continue implementation of 1140 hours, funding activity that directly support children and families as well as the supporting local authorities in delivery, supporting the training and upskilling of the workforce and supporting sector sustainability.</t>
  </si>
  <si>
    <t>Change reflects a transfer to consolidate School Age Childcare funding in the correct line and also a reduction related to a change in baseline as a result of changing demographics.</t>
  </si>
  <si>
    <t>Invests in the development of year-round school age childcare, targeted to low-income families and funds the provision of free school meals or alternatives for eligible families during the holidays.</t>
  </si>
  <si>
    <t>Change reflects a transfer from the ELC Expansion line which previously held some School Age Childcare funding - now consolidated in this line. Change also reflects £5m new capital funding to support the development of a school age childcare system</t>
  </si>
  <si>
    <t xml:space="preserve">Funds initiatives to support and promote tertiary education and research internationally. </t>
  </si>
  <si>
    <t xml:space="preserve">Includes funding to support the work of the Commissioner for Fair Access, the Student Support Review, Equally Safe and mental  health projects and research or legal costs relating to student support or widening access. </t>
  </si>
  <si>
    <t>Resource to support delivery of a range of advice and policy work in relation to tertiary education and science.</t>
  </si>
  <si>
    <t>Reduction reflects a change in central running costs.</t>
  </si>
  <si>
    <t>Funding to support sector development and stakeholder engagement in relation to various programmes including support for Covid recovery, Ministerial Leadership Group and Community Learning and Development.</t>
  </si>
  <si>
    <t>Funds the management fee for the vocational training theme of ERASMUS+.</t>
  </si>
  <si>
    <t>Grant funding to the SQA for its work to accredit and validate vocational qualifications.</t>
  </si>
  <si>
    <t xml:space="preserve">Promotion of the Scottish Credit and Qualifications Framework. </t>
  </si>
  <si>
    <t>Uplift reflects costs associated with enhancing Framework reach.</t>
  </si>
  <si>
    <t>Funding for YouthLink Scotland, including the National Voluntary Organisation Support Fund, Youth Scotland capacity building and implementation of the Adult Learning and Youth Work Strategies.</t>
  </si>
  <si>
    <t xml:space="preserve">This supports commitments within the STEM Strategy, including grant funding for Scotland's four science centres (including funds to support running costs and widening access), grants to science festivals and other public science engagement initiatives that support STEM learning and literacy for all ages, as well as running and project costs for the Scottish Science Advisory Council, which supports the Chief Scientific Adviser for Scotland in providing science advice across the Scottish Government. </t>
  </si>
  <si>
    <t xml:space="preserve">Funding for the staff and operating costs of the Scottish Funding Council (including depreciation). </t>
  </si>
  <si>
    <t>Reduction in non-cash requirement.</t>
  </si>
  <si>
    <t>This figure reflects the planned overall gross resource expenditure for the college sector.</t>
  </si>
  <si>
    <t>This figure has increased by £26 million to allow additional funding for the college sector.</t>
  </si>
  <si>
    <t xml:space="preserve">This is the estimated level of income expected to be generated from sources other than SG grant-in-aid. </t>
  </si>
  <si>
    <t>This represents funding being made available to cover 2023-24 unitary charge payments for college NPD projects.</t>
  </si>
  <si>
    <t xml:space="preserve">Non-cash budget to cover college depreciation charges. </t>
  </si>
  <si>
    <t>This figure reflects the estimated planned overall aggregate capital expenditure for the college sector and includes college estate maintenance costs as well as any new build or refurbishment capital costs.</t>
  </si>
  <si>
    <t>This figure has increased by £7.7 million to provide some additional funding for college estates maintenance and continue student digital support (digital funding will be split amongst colleges, universities and community learning and development sectors).</t>
  </si>
  <si>
    <t>Estimate of college capital receipts</t>
  </si>
  <si>
    <t>Grant-in-aid funding to the Scottish Funding Council for onward allocation to  Scotland’s Universities to support delivery of core teaching activities, including the sector's contribution to meeting Scotland's Young Person's Guarantee ambitions.</t>
  </si>
  <si>
    <t xml:space="preserve">Grant-in-aid funding to the Scottish Funding Council for onward allocation to Scotland's universities for research and innovation activity as well as contributory funding to capital maintenance. </t>
  </si>
  <si>
    <t>This figure represents a reduction in HE estates maintenance funding.  There is no change to the HE research capital.</t>
  </si>
  <si>
    <t xml:space="preserve">Financial transactions will provide additional funding to support projects in the higher education sector contributing to tackling the Climate Emergency and achieving Scotland's carbon reduction targets. </t>
  </si>
  <si>
    <t>This reflects changes to the overall Scottish Government Financial Transaction capital budget in 2023-24.</t>
  </si>
  <si>
    <t xml:space="preserve">Tuition fee payments to institutions, grants &amp; bursaries to students and funds to institutions to further support students.  Delivery of student support review commitments. </t>
  </si>
  <si>
    <t>Contribution to the Student Loans Company for the cost of administering Scottish students' loans.</t>
  </si>
  <si>
    <t>Cost of interest subsidy to banks for historic loan book.</t>
  </si>
  <si>
    <t>This is the cost of the interest rate subsidy and potential non-repayment of student loans.</t>
  </si>
  <si>
    <t>Based on current Economist estimations.</t>
  </si>
  <si>
    <t>Funding of the Student Awards Agency for Scotland including staff, accommodation, IT and administration costs.</t>
  </si>
  <si>
    <t>Small increase in Non-Cash requirement</t>
  </si>
  <si>
    <t>Funding of SAAS capital projects for administering student support.</t>
  </si>
  <si>
    <t>This figure has increased by £3 million to support digital transformation of SAAS operations.</t>
  </si>
  <si>
    <t>Student loan advances net of student loan repayments for Scottish domiciled students.  Covers maintenance loans, tuition fee loans for postgraduate students and tuition fee loans for students studying in the rest of the UK.</t>
  </si>
  <si>
    <t>Based on current projections and Bank of England base rate projections.</t>
  </si>
  <si>
    <t>Capitalised interest on student loans.</t>
  </si>
  <si>
    <t>Based on Bank of England base rate changes.</t>
  </si>
  <si>
    <t>Loan valuation adjustment.</t>
  </si>
  <si>
    <t>Sale subsidy adjustment.</t>
  </si>
  <si>
    <t xml:space="preserve">Grant-in-aid funding for SDS to deliver existing and emerging national training interventions, including apprenticeships, delivery of the Scottish Government’s national redundancy service (PACE) and local careers information advice and guidance services.  </t>
  </si>
  <si>
    <t>Maintains efficiency savings released within 2022/23</t>
  </si>
  <si>
    <t>EMA provides payments to 16-19 year olds from low-income households to overcome financial barriers to stay in school, college, or accessing employability support provided by their local authority.</t>
  </si>
  <si>
    <t>No change in budget allocation</t>
  </si>
  <si>
    <t>Grant funding to third sector organisations/ Scotland's charities, for the provision of services, supporting vulnerable young Scots, aged 14 to 19 years, to make a successful transition from school into employment, education or training - and the next stage of their lives. 
This budget line also supports locally delivered employability programmes through No One Left Behind, collaboratively managed between Scottish and Local Government.</t>
  </si>
  <si>
    <t>Minor change due to corporate running costs</t>
  </si>
  <si>
    <t>This budget focuses on improving the job prospects of young people facing barriers to employment and workforce development.
Through Developing the Young Workforce, we are committed to improving outcomes for those who experience difficulty engaging with education and with the labour market, such as those from care-experienced backgrounds and disabled young people. It also includes support for the Flexible Workforce Development Fund which provides opportunities for the upskilling and reskilling of employees of organisations across the private, public and third sectors.</t>
  </si>
  <si>
    <t xml:space="preserve">Provides support to 27 Local Authorities to deliver Gaelic education at all levels - from early years to adult learning. </t>
  </si>
  <si>
    <t>Pupil Equity Funding to be issued directly to headteachers</t>
  </si>
  <si>
    <t xml:space="preserve">This is the ringfenced portion of the funding to Local Government to deliver 1140 hours of funded ELC for eligbile children, inculding deferrals. </t>
  </si>
  <si>
    <t>Agricultural Support and Related Services</t>
  </si>
  <si>
    <t>Pillar 1 - Basic Payments</t>
  </si>
  <si>
    <t>Total - Pillar 1 - Basic Payments</t>
  </si>
  <si>
    <t>Pillar 1 - Greening Payments</t>
  </si>
  <si>
    <t>Total - Pillar 1 - Greening Payments</t>
  </si>
  <si>
    <t>Other Pillar 1 Payments</t>
  </si>
  <si>
    <t>Total - Other Pillar 1 Payments</t>
  </si>
  <si>
    <t>Convergence Funding</t>
  </si>
  <si>
    <t>Total - Convergence Funding</t>
  </si>
  <si>
    <t>Agricultural Transformation</t>
  </si>
  <si>
    <t>Agricultural Transformation Fund</t>
  </si>
  <si>
    <t>Total - Agricultural Transformation</t>
  </si>
  <si>
    <t>Technical Assistance</t>
  </si>
  <si>
    <t>Total - Technical Assistance</t>
  </si>
  <si>
    <t>Business Development</t>
  </si>
  <si>
    <t>Business Development Resource</t>
  </si>
  <si>
    <t>Business Development Capital</t>
  </si>
  <si>
    <t>Business Development - Financial Transactions (Expenditure)</t>
  </si>
  <si>
    <t>Business Development - Financial Transactions (Income)</t>
  </si>
  <si>
    <t>Total - Business Development</t>
  </si>
  <si>
    <t>Less Favoured Area Support Scheme</t>
  </si>
  <si>
    <t>Total - Less Favoured Area Support Scheme</t>
  </si>
  <si>
    <t>Agri Environmental Measures</t>
  </si>
  <si>
    <t>Agri Environmental Measures Resource</t>
  </si>
  <si>
    <t>Agri Environmental Measures Capital</t>
  </si>
  <si>
    <t>Total - Agri Environmental Measures</t>
  </si>
  <si>
    <t>Forestry</t>
  </si>
  <si>
    <t>Farm Woodland Schemes</t>
  </si>
  <si>
    <t>Farm Woodland Premium Scheme</t>
  </si>
  <si>
    <t>Farmland Premium Scheme</t>
  </si>
  <si>
    <t>Total - Forestry</t>
  </si>
  <si>
    <t>Science and Advice for Scottish Agriculture</t>
  </si>
  <si>
    <t>Potato Cyst Nematode (PCN) Improvement Strategy</t>
  </si>
  <si>
    <t>Total - Science and Advice for Scottish Agriculture</t>
  </si>
  <si>
    <t>Agricultural Reform Programme</t>
  </si>
  <si>
    <t>National Test Programme</t>
  </si>
  <si>
    <t>Development Support</t>
  </si>
  <si>
    <t>Delivery Costs - Resource</t>
  </si>
  <si>
    <t>Total - Agricultural Reform Programme</t>
  </si>
  <si>
    <t>Crofting Assistance</t>
  </si>
  <si>
    <t>Crofting Building Grants &amp; Loans Scheme Income</t>
  </si>
  <si>
    <t>Crofting Building Grants &amp; Loans Scheme Costs</t>
  </si>
  <si>
    <t>Interest received on Crofting Building Grants &amp; Loans Scheme</t>
  </si>
  <si>
    <t>Total - Crofting Assistance</t>
  </si>
  <si>
    <t>ARE Operations</t>
  </si>
  <si>
    <t>Resource Receipts</t>
  </si>
  <si>
    <t>Capital Receipts</t>
  </si>
  <si>
    <t>ARE Operations Total</t>
  </si>
  <si>
    <t xml:space="preserve">EU Income </t>
  </si>
  <si>
    <t>Market Support Receipts</t>
  </si>
  <si>
    <t>Other EU Income</t>
  </si>
  <si>
    <t xml:space="preserve">Total - EU Income </t>
  </si>
  <si>
    <t>Total - Agricultural Support and Related Services</t>
  </si>
  <si>
    <t>Rural Services</t>
  </si>
  <si>
    <t>Crofting Commission</t>
  </si>
  <si>
    <t>Crofting Commission - Depreciation</t>
  </si>
  <si>
    <t>Crofting Commission - Current</t>
  </si>
  <si>
    <t>Total - Crofting Commission</t>
  </si>
  <si>
    <t>Rural Economy and Communities</t>
  </si>
  <si>
    <t>Rural Cohesion</t>
  </si>
  <si>
    <t>Support for Agricultural Training (LANTRA)</t>
  </si>
  <si>
    <t>Total - Rural Economy and Communities</t>
  </si>
  <si>
    <t>Agricultural and Horticultural Advice and Support</t>
  </si>
  <si>
    <t>Public Good Advice</t>
  </si>
  <si>
    <t>Commodities &amp; Plant Health - Current</t>
  </si>
  <si>
    <t>Agricultural and Horticultural Advice and Support - Total</t>
  </si>
  <si>
    <t>Veterinary Surveillance</t>
  </si>
  <si>
    <t>Total - Veterinary Surveillance</t>
  </si>
  <si>
    <t>Animal Health</t>
  </si>
  <si>
    <t>Bee Health - Current (NAT)</t>
  </si>
  <si>
    <t>Bee Health - Current (EU)</t>
  </si>
  <si>
    <t>Veterinary Grants</t>
  </si>
  <si>
    <t>Animal Diseases</t>
  </si>
  <si>
    <t>Total - Animal Health</t>
  </si>
  <si>
    <t>Leader</t>
  </si>
  <si>
    <t>Total - Leader</t>
  </si>
  <si>
    <t>Food Industry Support</t>
  </si>
  <si>
    <t>Market Development Scheme</t>
  </si>
  <si>
    <t>Food Industry Misc. Expenses</t>
  </si>
  <si>
    <t>Total - Food Industry Support</t>
  </si>
  <si>
    <t>Total - Rural Services</t>
  </si>
  <si>
    <t>Marine Funding</t>
  </si>
  <si>
    <t>Marine Fund Scotland</t>
  </si>
  <si>
    <t>Total - Marine Fund Scotland</t>
  </si>
  <si>
    <t>EU Fisheries Grants</t>
  </si>
  <si>
    <t>EU Fisheries Grants Resource</t>
  </si>
  <si>
    <t>EU Fisheries Grants Capital</t>
  </si>
  <si>
    <t>Total - EU Fisheries Grants</t>
  </si>
  <si>
    <t>Fisheries Harbour Grants</t>
  </si>
  <si>
    <t>Total - Fisheries Harbour Grants</t>
  </si>
  <si>
    <t>Marine EU Income</t>
  </si>
  <si>
    <t>Total - Marine EU Income</t>
  </si>
  <si>
    <t>Total - Marine Funding</t>
  </si>
  <si>
    <t>Marine</t>
  </si>
  <si>
    <t>Marine Scotland</t>
  </si>
  <si>
    <t>Total - Marine</t>
  </si>
  <si>
    <t>Islands</t>
  </si>
  <si>
    <t>Carbon Neutral Islands</t>
  </si>
  <si>
    <t>Islands Bond</t>
  </si>
  <si>
    <t>Islands Plan</t>
  </si>
  <si>
    <t>Total - Islands</t>
  </si>
  <si>
    <t>TOTAL Rural Affairs and Islands</t>
  </si>
  <si>
    <t xml:space="preserve">Funding from the UK Government which is a direct replacement for former EU funds.
(EAGF).
This funding provides direct aid to farmers and crofters resulting in stability for farmers, enabling them to adapt to major changes, and leading to a sustainable agricultural sector.  
</t>
  </si>
  <si>
    <t>No Change.</t>
  </si>
  <si>
    <t xml:space="preserve">Funding from the UK Government which is a direct replacement for former EU funds.
(EAGF).
This funding (will be paid on top of the Basic Payment Scheme) and provides direct aid to farmers for agricultural practices beneficial for the climate and environment.  
</t>
  </si>
  <si>
    <t xml:space="preserve">Funding from the UK Government which is a direct replacement for former EU funds.
(EAGF).
This budget includes schemes such as Voluntary Coupled Support which provides support to specialist beef and sheep producers, and Common Market Organisation funding including support for the fruit and vegetables sector and apiculture.                                                                                                                                                                                                                                                                                                                                                                                                                                                                                                                                                                                                                                                                                                                                                                                                                                                                                                                                                                                                                                                                                                                                                                                                                                                                                                                                                                                                  </t>
  </si>
  <si>
    <t>This funding ensures a fairer allocation for Scotland's farmers, crofters and land managers following a review in 2019 of intra-UK funding allocations for agriculture.  It has now been included as part of the portfolio baseline funding.</t>
  </si>
  <si>
    <t>Convergence monies now included as part of baseline portfolio funding.</t>
  </si>
  <si>
    <t>Support for the agricultural sector in the delivery of Scotland’s statutory emissions reductions through a targeted approach to funding to complement wider measures being introduced to support the agricultural vision and modernisation.</t>
  </si>
  <si>
    <t>This budget supports transition costs associated with the new Rural Development programme and the Scottish National Rural Network. It also contributes towards audit, monitoring and evaluation costs of SRDP.</t>
  </si>
  <si>
    <t>Delivery support costs have moved from this line to ARP Delivery Costs - resource.  Budget is for SRN and evaluation.</t>
  </si>
  <si>
    <t xml:space="preserve">Budget provides support to keep Scottish Producers competitive and improve business practices within the industry.
</t>
  </si>
  <si>
    <t>Minor change</t>
  </si>
  <si>
    <t xml:space="preserve">Supports crofters in carrying out individual or collective investments that reduce production costs; improve quality; food production; preserve and improve the natural environment, and maintain animal welfare standards.
</t>
  </si>
  <si>
    <t>No budget allocated to FPMC in 23/24 to allow a review to ensure the scheme  addresses future sectoral challenges and better serves the needs of the industry.  Remaining budget is for Crofting Agricultural Grant Scheme.</t>
  </si>
  <si>
    <t xml:space="preserve">An area based scheme. The objectives are to: Ensure continued agricultural land use in order to contribute to the maintenance of a viable rural community; maintain the countryside; maintain and promote sustainable farming systems. </t>
  </si>
  <si>
    <t>Supports legacy payments under EC schemes and commitments under Land Managers Options and Rural Priorities and will support the Agri-environment and climate scheme.</t>
  </si>
  <si>
    <t>Promotes land management practices which protect and enhance Scotland’s natural heritage, improve water quality, manage flood risk and mitigate and adapt to climate change.</t>
  </si>
  <si>
    <t>This scheme closed in 1992 however there is an on-going commitment to fund 277 scheme participants.  The purpose of this scheme was to encourage farmers to convert agricultural land to woodlands with annual payments of up to 40 years to compensate for the loss of agricultural income. The last payment is due in 2031.</t>
  </si>
  <si>
    <t>This scheme closed in 2002 however there is an on-going commitment to fund 131 scheme participants.  The scheme was designed to encourage the creation of new woodlands on farms to enhance the environment and as a productive alternative land use. The last payment is due in 2022.</t>
  </si>
  <si>
    <t>This scheme closed in 2006 however there is an on-going commitment to fund 656 scheme participants.  The scheme was  designed to encourage the creation of new woodlands on farms to enhance the environment and as a productive alternative land use.  The last payment is due in 2023.</t>
  </si>
  <si>
    <t>Funds vital collaborative research to safeguard the longer-term viability of Scotland's potato and bulb industries from the devastating effect of Potato Cyst Nematode</t>
  </si>
  <si>
    <t>Support for farmers and crofters to commence activity in transforming Scottish Agriculture, supporting food production, climate change mitigation and biodiversity enhancement.</t>
  </si>
  <si>
    <t xml:space="preserve">This is year two of a three year package of £51m </t>
  </si>
  <si>
    <t>Funding to develop services to support wider modernisation costs.</t>
  </si>
  <si>
    <t>Funding to develop services to support agricultural transformation</t>
  </si>
  <si>
    <t>Increased budget to reflect programme requirements as the Agricultural Reform programme progresses.</t>
  </si>
  <si>
    <t>Receipts of principal loan repayments.</t>
  </si>
  <si>
    <t>Budget reduction to reflect reduced income received from grants and loans</t>
  </si>
  <si>
    <t>Funding for remaining CBGLS and new CHGS housing grant payments.</t>
  </si>
  <si>
    <t>Interest received from loans to crofters.</t>
  </si>
  <si>
    <t xml:space="preserve">This budget line provides funding for large items of equipment to support the on-going activities of the SASA and RPID divisions - such as scientific items to allow statutory work to continue efficiently and effectively. It also covers the ongoing costs of IT development,  business staff, and hardware and software purchases. </t>
  </si>
  <si>
    <t>Revised spending requirements for 2023-24</t>
  </si>
  <si>
    <t xml:space="preserve">This line covers the pay bill across the Directorate including Agricultural Officers and administrative staff in 17 Area Offices and SASA .  It also covers the revenue costs of managing and running IT systems that support a variety of rural support schemes. </t>
  </si>
  <si>
    <t xml:space="preserve">Increase to allow for pay inflation. </t>
  </si>
  <si>
    <t>Reflects slight increase in non-cash and asset depreciation including 2015 IT system investment.</t>
  </si>
  <si>
    <t xml:space="preserve">Income generated mainly by SASA Division, in relation to statutory fees and charges and chargeable scientific contracts.  </t>
  </si>
  <si>
    <t>Remaining EC funding supporting legacy projects under the European Agricultural Fund for Rural Development (EAFRD) for the co-financed Scottish Rural Development Programme (SRDP).</t>
  </si>
  <si>
    <t>Only few legacy schemes remaining in 2022/23.  No income anticipated in 23/24</t>
  </si>
  <si>
    <t>Depreciation of Capital assets</t>
  </si>
  <si>
    <t>The Crofting Commission regulates and promotes the interests of crofting in Scotland to secure the future of crofting. This budget is to ensure that crofting is regulated to deliver strong crofting communities, through tackling absenteeism and neglect, whilst delivering Scottish Government priorities including climate change mitigation, habitats and biodiversity</t>
  </si>
  <si>
    <t>Supports projects and programmes which address inequalities for those people living in rural Scotland, supporting strong resilient rural communities and economies.</t>
  </si>
  <si>
    <t>No Change</t>
  </si>
  <si>
    <t>Supports Lantra’s (the Sector Skills Council for Land-based industries) Scottish operation, involving a range of projects and initiatives to improve skills development and labour market information in the land-based sector.</t>
  </si>
  <si>
    <t>Supports a range of agricultural policy functions and initiatives designed to deliver agricultural policy aims and objectives.  This includes advisory functions and initiatives that support delivery of challenging Scottish Government climate change targets.</t>
  </si>
  <si>
    <t>Budget to support range of plant health activities, covering a range of activities: funds for contract to support aspects of UK (Seeds) National List and Scottish Recommended List</t>
  </si>
  <si>
    <t xml:space="preserve">Veterinary surveillance helps to ensure that Scotland’s livestock are healthy and productive.  This budget funds the collection of information on diseases and infections in animals from a variety of sources which include the diagnostic laboratory network operated by Scotland's Rural College (SRUC).  Routine information is also provided by the Moredun Research Institute, the Animal and Plant Health agency as well as the Meat Hygiene Service.  </t>
  </si>
  <si>
    <t>Supports apiculture specialist at SRUC to provide training and advice on bee health and husbandry to beekeepers and farmers.</t>
  </si>
  <si>
    <t>Allows crofters to access subsidised veterinary treatment for their livestock.</t>
  </si>
  <si>
    <t>This budget line primarily covers the delivery of animal health in Scotland through the Animal &amp; Plant Health Agency and on-going payment of compensation where animals have been compulsorily slaughtered for Bovine Tuberculosis under the Tuberculosis (Scotland) Order 2007 and associated payments for haulage and slaughter.</t>
  </si>
  <si>
    <t>Increased budget to increased APHA costs as well as funding for disease outbreak.</t>
  </si>
  <si>
    <t>This budget creates and preserves jobs in rural communities and supports economic, social and environmental well-being by supporting community projects. Projects funded will support local resilience in rural communities and promote economic development, whilst creating a refreshed network  that meets our wider SG commitments.</t>
  </si>
  <si>
    <t>Revised prioritisation across the portfolio, reduction in capital but increase in resource spend in 2023-24.</t>
  </si>
  <si>
    <t>Provides support for Scotland’s Food and Drink Policy and Ministerial priorities.</t>
  </si>
  <si>
    <t>Staffing costs now within ARE Operations</t>
  </si>
  <si>
    <t>Marine Fund Scotland (MFS) replaces the European Maritime and Fisheries Fund (EMFF) and  is focused on supporting projects that deliver outcomes relating to Scotland's Blue Economy Vision.</t>
  </si>
  <si>
    <t xml:space="preserve">The quantum is unchanged, there has though been a transfer of £10 million from resource to capital reflecting the estimated split in funding applications. </t>
  </si>
  <si>
    <t xml:space="preserve">The European Maritime and Fisheries Fund (EMFF) is designed to secure sustainable fishing, aquaculture and processing sectors, to implement CFP reform and promote and protect the marine environment and empower local fishery and rural communities to deliver their local strategies through Community Led Local Development.  The programme whilst ending for applications on 31 December 2020 runs for a further three years of which 2023 is the final year.   </t>
  </si>
  <si>
    <t xml:space="preserve">Reduction reflects the balance of awards outstanding </t>
  </si>
  <si>
    <t>As above.</t>
  </si>
  <si>
    <t>Scottish Government grant scheme to aid emergency repair works at fishery harbours.</t>
  </si>
  <si>
    <t xml:space="preserve">The EU income element received through the European Maritime and Fisheries Fund (EMFF). The programme whilst ending for applications on 31 December 2020 runs for a further three years and claims / reimbursements can be made within that period.   </t>
  </si>
  <si>
    <t xml:space="preserve"> Reduction reflects the balance of reimbursements relating to the awards outstanding </t>
  </si>
  <si>
    <t xml:space="preserve">The Marine budget covers the net resource and capital requirements of Marine Scotland. Marine Scotland is the primary body responsible for the integrated management of Scotland’s seas, with a responsibility for marine planning and the licensing of activities in the marine environment - crucially marine renewables, sea fisheries, aquaculture, wild freshwater fisheries and the scientific evidence base and compliance and enforcement capability required to support these sectors.   
</t>
  </si>
  <si>
    <t xml:space="preserve"> The Carbon Neutral Islands project provides the perfect opportunity to demonstrate the low carbon energy potential of islands as hubs of innovation in relation to renewable energy and climate change resilience, whilst positively impacting on the island economy, facilities and general wellbeing by allowing for reinvestment in the community.</t>
  </si>
  <si>
    <t>Funding to support young people and families to stay in or move to Islands currently threatened by depopulation.</t>
  </si>
  <si>
    <t>Following consultation the Bond will no longer progress and therefore funding is not required.</t>
  </si>
  <si>
    <t xml:space="preserve">Resource to support delivery of the National Islands Plan as required by the Islands (Scotland) Act 2018. </t>
  </si>
  <si>
    <t>Net Zero, Energy &amp; Transport</t>
  </si>
  <si>
    <t>Energy</t>
  </si>
  <si>
    <t>Energy - Energy Industries</t>
  </si>
  <si>
    <t>Energy Operating Costs</t>
  </si>
  <si>
    <t>Energy Heat in Buildings and Low Carbon</t>
  </si>
  <si>
    <t>Onshore Electricity, Strategy and Consents</t>
  </si>
  <si>
    <t>Energy Heat in Buildings and Low Carbon Financial Transactions</t>
  </si>
  <si>
    <t>Energy Heat in Buildings and Low Carbon Financial Transactions (Income)</t>
  </si>
  <si>
    <t>Total - Energy</t>
  </si>
  <si>
    <t>Fuel Poverty/Energy Efficiency</t>
  </si>
  <si>
    <t>Fuel Poverty/Energy Efficiency Financial Transactions</t>
  </si>
  <si>
    <t>Fuel Poverty/Energy Efficiency Financial Transactions (Income)</t>
  </si>
  <si>
    <t>Total - Fuel Poverty/Energy Efficiency</t>
  </si>
  <si>
    <t>Rail Services</t>
  </si>
  <si>
    <t>Major Public Transport Projects</t>
  </si>
  <si>
    <t>Rail Development</t>
  </si>
  <si>
    <t>Rail Franchise</t>
  </si>
  <si>
    <t>Rail Infrastructure</t>
  </si>
  <si>
    <t>Total - Rail Services</t>
  </si>
  <si>
    <t>Concessionary Fares and Bus Services</t>
  </si>
  <si>
    <t>Concessionary Fares</t>
  </si>
  <si>
    <t>Smartcard Programme</t>
  </si>
  <si>
    <t>Support for Bus Services</t>
  </si>
  <si>
    <t>Total - Concessionary Fares and Bus Services</t>
  </si>
  <si>
    <t>Active Travel, Low Carbon and Other Transport</t>
  </si>
  <si>
    <t>Agency Administration Costs</t>
  </si>
  <si>
    <t>Transport Agency – Wages and Salaries</t>
  </si>
  <si>
    <t>Transport Agency – Goods and Services</t>
  </si>
  <si>
    <t>National Infrastructure Commission</t>
  </si>
  <si>
    <t>Total - Agency Administration Costs</t>
  </si>
  <si>
    <t>Scottish Canals</t>
  </si>
  <si>
    <t>Scottish Canals – resource</t>
  </si>
  <si>
    <t>Scottish Canals – capital</t>
  </si>
  <si>
    <t>Total - Scottish Canals</t>
  </si>
  <si>
    <t>Strategic Transport Projects Review</t>
  </si>
  <si>
    <t>Support for Active Travel</t>
  </si>
  <si>
    <t>Support for Active Travel - capital</t>
  </si>
  <si>
    <t>Support for Active Travel – current grant</t>
  </si>
  <si>
    <t>Total - Support for Active Travel</t>
  </si>
  <si>
    <t>Support for Sustainable Travel</t>
  </si>
  <si>
    <t>Support for Sustainable Travel - Financial Transactions (Expenditure)</t>
  </si>
  <si>
    <t>Support for Sustainable Travel - Financial Transactions (Income)</t>
  </si>
  <si>
    <t>Support for Sustainable Travel – current grant</t>
  </si>
  <si>
    <t>Total - Support for Sustainable Travel</t>
  </si>
  <si>
    <t>Support for Freight Industry</t>
  </si>
  <si>
    <t>Future Transport Fund - Low Carbon</t>
  </si>
  <si>
    <t>Edinburgh Tram Inquiry</t>
  </si>
  <si>
    <t>Travel Strategy and Innovation</t>
  </si>
  <si>
    <t>Total - Active Travel, Low Carbon and Other Transport</t>
  </si>
  <si>
    <t>Motorways and Trunk Roads</t>
  </si>
  <si>
    <t>Capital Land and Works</t>
  </si>
  <si>
    <t>Tay Road Bridge Authorities</t>
  </si>
  <si>
    <t>Tay Road Bridge Capital Grant</t>
  </si>
  <si>
    <t>Tay Road Bridge Resource Grant</t>
  </si>
  <si>
    <t>Total - Tay Road Bridge Authorities</t>
  </si>
  <si>
    <t>Queensferry Crossing</t>
  </si>
  <si>
    <t>Other Expenditure</t>
  </si>
  <si>
    <t>Safety Cameras</t>
  </si>
  <si>
    <t>Total - Other Expenditure</t>
  </si>
  <si>
    <t>Network Strengthening</t>
  </si>
  <si>
    <t>Roads Depreciation</t>
  </si>
  <si>
    <t>Roads Improvements</t>
  </si>
  <si>
    <t>Routine and Winter Maintenance</t>
  </si>
  <si>
    <t>Structural Repairs</t>
  </si>
  <si>
    <t>Road Safety</t>
  </si>
  <si>
    <t>Transport Information</t>
  </si>
  <si>
    <t>PPP Payments</t>
  </si>
  <si>
    <t>Transport PPP Finance Charge/ Capital</t>
  </si>
  <si>
    <t>Transport PPP Unitary Charge – Service Element</t>
  </si>
  <si>
    <t>Transport PPP Unitary Charge – Finance Charge/Interest Payable</t>
  </si>
  <si>
    <t>Total - PPP Payments</t>
  </si>
  <si>
    <t>Total - Motorways and Trunk Roads</t>
  </si>
  <si>
    <t>Ferry Services</t>
  </si>
  <si>
    <t>Support for Ferry Services</t>
  </si>
  <si>
    <t>Clyde and Hebrides Ferry Services</t>
  </si>
  <si>
    <t>Northern Isles Ferry Services</t>
  </si>
  <si>
    <t>Loan Interest</t>
  </si>
  <si>
    <t>Total - Support for Ferry Services</t>
  </si>
  <si>
    <t>Vessels and Piers</t>
  </si>
  <si>
    <t>Piers and Harbours Grants</t>
  </si>
  <si>
    <t>CMAL - Voted Loans</t>
  </si>
  <si>
    <t>CMAL – Capital Receipts</t>
  </si>
  <si>
    <t>Total - Vessels and Piers</t>
  </si>
  <si>
    <t>Total - Ferry Services</t>
  </si>
  <si>
    <t>Air Services</t>
  </si>
  <si>
    <t>Highlands and Islands Airports Ltd</t>
  </si>
  <si>
    <t>Highlands and Islands Airports Ltd – Resource Grant</t>
  </si>
  <si>
    <t>Highlands and Islands Airports Ltd – Capital Grant</t>
  </si>
  <si>
    <t>Highlands and Islands Airports Ltd – Depreciation Charge</t>
  </si>
  <si>
    <t>Total - Highlands and Islands Airports Ltd</t>
  </si>
  <si>
    <t>Other Air Services</t>
  </si>
  <si>
    <t>Total - Air Services</t>
  </si>
  <si>
    <t>Scottish Forestry</t>
  </si>
  <si>
    <t>Program and Running Costs</t>
  </si>
  <si>
    <t>Woodland Grants</t>
  </si>
  <si>
    <t>Forest Research (Cross Border Services)</t>
  </si>
  <si>
    <t>EC Receipts</t>
  </si>
  <si>
    <t>Total - Scottish Forestry</t>
  </si>
  <si>
    <t>Forestry and Land Scotland</t>
  </si>
  <si>
    <t>Total - Forestry and Land Scotland</t>
  </si>
  <si>
    <t>Research, Analysis and Other Services</t>
  </si>
  <si>
    <t xml:space="preserve">Strategic Policy, Research and Sponsorship </t>
  </si>
  <si>
    <t>Contract Research Fund</t>
  </si>
  <si>
    <t>Strategic Policy and Sponsorship</t>
  </si>
  <si>
    <t xml:space="preserve">Total - Strategic Policy, Research and Sponsorship </t>
  </si>
  <si>
    <t>Economic and Other Surveys</t>
  </si>
  <si>
    <t xml:space="preserve">Economic and Other Surveys </t>
  </si>
  <si>
    <t>Total - Economic and Other Surveys</t>
  </si>
  <si>
    <t>Programmes of Research</t>
  </si>
  <si>
    <t>Programmes of Research – Resource</t>
  </si>
  <si>
    <t>Programmes of Research – Capital</t>
  </si>
  <si>
    <t>Programmes of Research – Depreciation</t>
  </si>
  <si>
    <t>Programmes of Research (Income)</t>
  </si>
  <si>
    <t>Total - Programmes of Research</t>
  </si>
  <si>
    <t>Royal Botanic Garden Edinburgh (RBGE)</t>
  </si>
  <si>
    <t>RBGE Resource - Staff Costs</t>
  </si>
  <si>
    <t>RBGE Resource - Other</t>
  </si>
  <si>
    <t>RBGE Resource - Income</t>
  </si>
  <si>
    <t>RBGE Capital</t>
  </si>
  <si>
    <t>RBGE Depreciation</t>
  </si>
  <si>
    <t>Total - Royal Botanic Garden Edinburgh (RBGE)</t>
  </si>
  <si>
    <t>Total - Research, Analysis and Other Services</t>
  </si>
  <si>
    <t>Environmental Standards Scotland</t>
  </si>
  <si>
    <t>Total - Environmental Standards Scotland</t>
  </si>
  <si>
    <t>Environmental Services</t>
  </si>
  <si>
    <t>National Parks</t>
  </si>
  <si>
    <t>LL&amp;TT  NPA  Capital</t>
  </si>
  <si>
    <t>LL&amp;TT NPA Resource - Staff Costs</t>
  </si>
  <si>
    <t>LL&amp;TT NPA Resource - Depreciation</t>
  </si>
  <si>
    <t>LL&amp;TT NPA Resource - Other</t>
  </si>
  <si>
    <t>Cairngorms NPA Capital</t>
  </si>
  <si>
    <t>Cairngorms NPA Resource - Staff Costs</t>
  </si>
  <si>
    <t>Cairngorms NPA Resource -Depreciation</t>
  </si>
  <si>
    <t>Cairngorms NPA Resource - Other</t>
  </si>
  <si>
    <t>Total - National Parks</t>
  </si>
  <si>
    <t>Environmental Quality</t>
  </si>
  <si>
    <t xml:space="preserve">Noise and Air Quality Action </t>
  </si>
  <si>
    <t>Water Environment</t>
  </si>
  <si>
    <t>Flood Risk Management</t>
  </si>
  <si>
    <t>Total - Environmental Quality</t>
  </si>
  <si>
    <t>Natural Resources and Peatland</t>
  </si>
  <si>
    <t>Natural Resources</t>
  </si>
  <si>
    <t>Peatlands</t>
  </si>
  <si>
    <t>Total - Natural Resources and Peatland</t>
  </si>
  <si>
    <t>Scottish Environment Protection Agency</t>
  </si>
  <si>
    <t>SEPA Capital</t>
  </si>
  <si>
    <t>SEPA Resource - Staff Costs</t>
  </si>
  <si>
    <t>SEPA Resource - Depreciation</t>
  </si>
  <si>
    <t>SEPA Resource - Other</t>
  </si>
  <si>
    <t>SEPA Income</t>
  </si>
  <si>
    <t>Total - Scottish Environment Protection Agency</t>
  </si>
  <si>
    <t>NatureScot</t>
  </si>
  <si>
    <t>NatureScot Resource - Staff costs</t>
  </si>
  <si>
    <t>NatureScot Resource Consumption - Depreciation</t>
  </si>
  <si>
    <t>NatureScot Resource - other</t>
  </si>
  <si>
    <t>NatureScot capital</t>
  </si>
  <si>
    <t>Total - NatureScot</t>
  </si>
  <si>
    <t>Zero Waste</t>
  </si>
  <si>
    <t>Total - Zero Waste</t>
  </si>
  <si>
    <t>Zero Waste - Financial Transactions (Income)</t>
  </si>
  <si>
    <t>Total - Zero Waste FT Repayments</t>
  </si>
  <si>
    <t>Total - Environmental Services</t>
  </si>
  <si>
    <t>Land Reform</t>
  </si>
  <si>
    <t>Scottish Land Commission</t>
  </si>
  <si>
    <t>Total - Land Reform</t>
  </si>
  <si>
    <t>Climate Change</t>
  </si>
  <si>
    <t>Climate Change Policy</t>
  </si>
  <si>
    <t>Land Managers' Renewables Fund</t>
  </si>
  <si>
    <t>Climate Action and Just Transition Fund</t>
  </si>
  <si>
    <t>Total - Climate Change</t>
  </si>
  <si>
    <t>Offshore Wind</t>
  </si>
  <si>
    <t>Total - Offshore Wind</t>
  </si>
  <si>
    <t>Scottish Water</t>
  </si>
  <si>
    <t>Interest On Voted Loans</t>
  </si>
  <si>
    <t>Voted Loans</t>
  </si>
  <si>
    <t>Hydro Nation</t>
  </si>
  <si>
    <t>Drinking Water Quality Regulator</t>
  </si>
  <si>
    <t>Private Water</t>
  </si>
  <si>
    <t>Total - Scottish Water</t>
  </si>
  <si>
    <t>TOTAL Net Zero, Energy &amp; Transport</t>
  </si>
  <si>
    <t>Cycling, Walking &amp; Safer Routes</t>
  </si>
  <si>
    <t>Support for Inter Island Ferries</t>
  </si>
  <si>
    <t>Regional Transport Partnership</t>
  </si>
  <si>
    <t>Central Government Grants to Local Authorities Level 2 Total</t>
  </si>
  <si>
    <t>.</t>
  </si>
  <si>
    <t>The energy industries budgets will maximise the economic and social outcomes of the transition to a net zero Scotland and continues our commitment to: invest in hydrogen, carbon capture, utilisation and storage (CCUS) and negative emissions technologies (NETs) via the Emerging Energy Technologies Fund; support businesses in the North East of Scotland grow and diversify via the Energy Transition Fund; invest with energy-intensive manufacturing industries to reduce energy costs and emissions via the Scottish Industrial Energy Transformation Fund; ensure successful execution of commercial projects; deliver offshore wind supply chain and marine energy opportunities and consider a strategic approach to supporting infrastructure and its place in the energy transition.</t>
  </si>
  <si>
    <t xml:space="preserve">Increase relates to additional capital allocations made from the Low Carbon Fund </t>
  </si>
  <si>
    <t>This spend relates to staff costs</t>
  </si>
  <si>
    <t>No significant movement</t>
  </si>
  <si>
    <t xml:space="preserve">This budget supports the promotion of energy efficiency, the continual development of Energy Efficient Scotland and supporting heat decarbonisation. It includes funding to support major capital funding programmes to decarbonise the buildings in the non-domestic and public sectors; projects supporting the transition phase of Energy Efficient Scotland; development of district heating regulations and legislation; provision of programmes of advice and support to encourage the continued uptake of home renewables and non-domestic energy efficiency measures.  The low carbon economy budget is aimed at supporting the development of low carbon infrastructure projects including heat networks and the development of innovative financial mechanisms to encourage investment in low carbon infrastructure. </t>
  </si>
  <si>
    <t>Increase relates to additional capital allocations made from the Low Carbon Fund to support the commitment to provide £1.8 billion of funding for Heat in Buildings.</t>
  </si>
  <si>
    <t xml:space="preserve">Energy Consents Unit processes applications for onshore wind farms, battery storage and other energy related projects. </t>
  </si>
  <si>
    <t>Movement relates to income stream relating from Consents applications being reflected in budget.</t>
  </si>
  <si>
    <t xml:space="preserve">The Scottish Government will look to maximise the opportunity for Financial Transactions for key energy loan and equity schemes including the District Heating Loan Scheme, the Resource Efficient Scotland SME and also the Energy Investment Fund. It will support Scottish Government's ambitions in the forthcoming Energy Strategy.  </t>
  </si>
  <si>
    <t>No Financial Transactions budget included in this line for 2023-24.</t>
  </si>
  <si>
    <t xml:space="preserve">To tackle fuel poverty and improve energy efficiency of Scotland's housing, which will also support our targets on climate change.  Funding primarily directed through Home Energy Efficiency Programmes for Scotland (HEEPS).  </t>
  </si>
  <si>
    <t>To support efforts to tackle fuel poverty and climate change, specifically funding for Home Energy Efficiency Programmes for Scotland (HEEPS): Loans and Help for Homes scheme.</t>
  </si>
  <si>
    <t xml:space="preserve">FT budgets have been consolidated into a single line across Fuel Poverty and Energy </t>
  </si>
  <si>
    <t>Repayment of loans including HEEPS loans and RSL Fire Safety loans.</t>
  </si>
  <si>
    <t>Funds Network Rail Enhancement grant for improvement to rail infrastructure and other network and associated rail improvements.</t>
  </si>
  <si>
    <t>Profile of annual expenditure changes in line with the level of committed Rail Enhancement projects.</t>
  </si>
  <si>
    <t>Covers costs to progress rail developments.</t>
  </si>
  <si>
    <t>This Budget line has been removed as it is no longer required after the move of Rail Franchise to an Operator of Last Resort.</t>
  </si>
  <si>
    <t>Supports the delivery of the ScotRail and Caledonian Sleeper passenger rail services as well as payment of Fixed Track Access Charges to Network Rail.</t>
  </si>
  <si>
    <t>Increase in requirement largely due to the impact of inflation on the cost base.</t>
  </si>
  <si>
    <t>Supports the costs of maintenance, safe operation and renewal of the Scottish rail network</t>
  </si>
  <si>
    <t>Profile of annual expenditure changes in line with the level of committed Network Rail expenditure on Operations, Maintenance and Renewals.</t>
  </si>
  <si>
    <t>Provides support for the delivery of the Older and Disabled Persons (ODP) and the Young Persons (YP) concessionary travel schemes.</t>
  </si>
  <si>
    <t xml:space="preserve">Reflects forecast demand for and costs of, the ODP and YP schemes. Final out-turn will be dependent upon demand. </t>
  </si>
  <si>
    <t>Provides funding for bus infrastructure systems to recognise Smartcards, essential to effective implementation of our Fraud Strategy. Supporting smart and digital travel improvements including providing all public and active travel information as open data, making Traveline Scotland fit for our future purposes, to encourage more sustainable travel.</t>
  </si>
  <si>
    <t>Funding for Network Support Grant provides support to the bus industry across Scotland to benefit passengers by helping operators to keep fares down and enabling them to run services that might not otherwise be commercially viable; helps sustain the economy reducing costs to local authorities of supporting non-commercial, socially necessary services. Provides support for LTAs to explore Transport Act 2019 powers and improve local services through the Community Bus Fund.</t>
  </si>
  <si>
    <t xml:space="preserve"> Covid support through Network Support Grant Plus ending</t>
  </si>
  <si>
    <t>Covers administration salaries and wages costs.</t>
  </si>
  <si>
    <t>Covers accommodation and other non-direct administration expenditure.</t>
  </si>
  <si>
    <t>Movement reflects profile and timing of office move</t>
  </si>
  <si>
    <t>Implementing the Infrastructure Commission for Scotland’s recommendations.</t>
  </si>
  <si>
    <t>No longer funded from this budget line</t>
  </si>
  <si>
    <t>Covers operational expenditure by Scottish Canals and non-cash budget cover for depreciation charges.</t>
  </si>
  <si>
    <t>Reflects an increase in operating costs associated with maintaining Scotland's canal network.</t>
  </si>
  <si>
    <t>Supports capital expenditure by Scottish canals.</t>
  </si>
  <si>
    <t>Provides funding to support transport investment decision making in Scotland, including transport research, strategy, planning, appraisal and business cases.</t>
  </si>
  <si>
    <t xml:space="preserve">Reduced budget requirement to reflect the publication of STPR2 document in 2022-23 </t>
  </si>
  <si>
    <t xml:space="preserve">Investment in the infrastructure programmes for Active Travel  across Scotland such as Places for Everyone, the National Cycling Network. </t>
  </si>
  <si>
    <t>Uplift reflects move towards 2024-25 Bute House Commitment</t>
  </si>
  <si>
    <t>Support for active travel programmes, promotion of active travel and supporting actions contained in the Cycling Action Plan.</t>
  </si>
  <si>
    <t>Loan support in the form of Financial Transactions for the Low Carbon Transport Loan Fund to provide loans for electric vehicles and e-bikes through the EST.</t>
  </si>
  <si>
    <t>Recycled loan funds will be utilised to maintain the Low Carbon Transport interest free loan scheme.</t>
  </si>
  <si>
    <t>Forecast level of loan repayments from EST.</t>
  </si>
  <si>
    <t xml:space="preserve">Investment in programmes for Sustainable Travel such as Smarter Choices, Smarter Places, fuel-efficient driving and car clubs, travel planning and other grant schemes. </t>
  </si>
  <si>
    <t>Supports measures which encourage the freight industry to reduce emissions by improving the efficiency of its operations and by transferring freight from road to rail and water.</t>
  </si>
  <si>
    <t>Reflects the profile of the anticipated demand for support from the freight industry in transferring freight from road to rail and water.</t>
  </si>
  <si>
    <t xml:space="preserve">Supports programmes to reduce the impact of transport on our environment to support low carbon, zero emission and climate change. Programmes have included Switched on Towns and Cities, ULEV Fleets, charging infrastructure, sector transition, freight facilities grant, the Timber Transport Fund, Bus Partnership Fund and zero-emission transport programmes.    </t>
  </si>
  <si>
    <t>Reduction in ScotZEB to align with expected profiling of Phase 2 which is launched in 2023 and a reduction in low carbon programmes to reflect revised profiling</t>
  </si>
  <si>
    <t>Used to fund the completion of the Edinburgh Tram Inquiry.</t>
  </si>
  <si>
    <t>Profile of costs</t>
  </si>
  <si>
    <t>Provides running cost support for Regional Transport Partnerships, the Mobility and Access Committee for Scotland the Scottish Roadworks Commissioner.  Funding for transport research, strategy, planning, appraisal and business cases.  Also, Capital grant support for the Glasgow subway modernisation programme.</t>
  </si>
  <si>
    <t>Transfer of budget in for LATIS and reduction in proposed Glasgow Subway Modernisation programme as set out in Capital Spending Review</t>
  </si>
  <si>
    <t>Provides for design and further development of road schemes including the upgrade to dual carriageway of the A9 and funding for progress with other schemes in the Motorway and Trunk Road Programme, including the A83. Includes Trunk Road Adaptation Schemes to improve the resilience of trunk roads to the effects of climate change and severe weather events.</t>
  </si>
  <si>
    <t xml:space="preserve">Reflects the profile of capital infrastructure projects including City Region Deal commitments. 
</t>
  </si>
  <si>
    <t>Funds capital grant expenditure on maintenance and operation of the Tay Road Bridge.</t>
  </si>
  <si>
    <t xml:space="preserve">Increase driven by spend profile of agreement to fund capital maintenance and operations. </t>
  </si>
  <si>
    <t>Funds resource grant expenditure on maintenance and operation of the Tay Road Bridge.</t>
  </si>
  <si>
    <t xml:space="preserve">No significant movement. Determined by spend profile of agreement to fund resource maintenance and operations. </t>
  </si>
  <si>
    <t>Provides for costs associated with the construction of the Queensferry Crossing.</t>
  </si>
  <si>
    <t xml:space="preserve">Budget no longer required. Any residual costs will be absorbed by capital land and works budget line. </t>
  </si>
  <si>
    <t>Provision of Road Safety Cameras in Scotland.</t>
  </si>
  <si>
    <t xml:space="preserve">No significant movement. </t>
  </si>
  <si>
    <t xml:space="preserve">Funds resource overheads related to road improvements and essential maintenance. Includes resilience and major events, asset management and procurement. </t>
  </si>
  <si>
    <t>Reduction due to seeking efficiencies and the prioritisation of essential and committed expenditure.</t>
  </si>
  <si>
    <t>Funds the highest priority repairs alongside safety critical work, inspections and essential bridge maintenance.</t>
  </si>
  <si>
    <t>Prioritisation of most safety critical works in line with our asset management strategy, predominantly bridges repairs and maintenance.</t>
  </si>
  <si>
    <t>Provides for depreciation of the motorways and trunk roads network.</t>
  </si>
  <si>
    <t xml:space="preserve">Roads depreciation charge is based on a range of factors, including road condition data, therefore will fluctuate year on year. </t>
  </si>
  <si>
    <t>Delivers funding of essential improvements, safety and congestion relief improvements, Trunk Road Casualty Reduction, Low Emission Zones capital funding and Traffic Scotland operational commitments.</t>
  </si>
  <si>
    <t xml:space="preserve">Prioritisation of most safety critical essential works, while seeking efficiencies. Slowing down all but essential work. </t>
  </si>
  <si>
    <t>Delivers routine, cyclical and winter maintenance to maintain safety, environment and amenity of trunk road network. Includes committed costs for Contract Price Fluctuation, audit services, trunk road electricity costs, asset management systems and other known demands.</t>
  </si>
  <si>
    <t xml:space="preserve">Reduction due to seeking efficiencies and the prioritisation of essential and committed expenditure. </t>
  </si>
  <si>
    <t>Funds the highest priority essential road carriageway repairs to maintain the safety of the trunk road network.</t>
  </si>
  <si>
    <t>Prioritisation of most safety critical essential works in line with our asset management strategy, while seeking efficiencies. Slowing down all but essential work.</t>
  </si>
  <si>
    <t>Provides capital funding for trunk road casualty reduction, the Road Safety Improvement Fund and the Speed Management Strategy to support the Road Safety Framework 2030. Includes resource funding for education and road safety publicity campaigns and support for partnership working under the Road Safety Framework to 2030.</t>
  </si>
  <si>
    <t>Commitment to reducing road casualties and fatalities, and investment in meeting targets set out in the Road Safety Framework 2030.</t>
  </si>
  <si>
    <t>Funds provision of impartial travel information services.</t>
  </si>
  <si>
    <t>Covers the repayment of the finance element of the Design and Build costs of sections of the M6/A74(M), M77, M80 and M8/73/74.</t>
  </si>
  <si>
    <t xml:space="preserve">PFI spend is determined by financial model for each scheme. Contractual spend in line with profile driven by model. </t>
  </si>
  <si>
    <t>Covers the service charges in respect of the operation of privately funded sections of the M6/A74(M), M77, M80 and M8/73/74 and AWPR/BT.</t>
  </si>
  <si>
    <t>Covers the interest charges in respect of the privately funded sections of the M6/A74(M), M77, M80 and M8/73/74 and AWPR/BT.</t>
  </si>
  <si>
    <t>This mainly covers the support provided for the Clyde and Hebrides ferry services, which includes connecting Scotland's islands, and ancillary costs relating to general ferry services.</t>
  </si>
  <si>
    <t>Reflects impact of increased operating costs (fuel, crew etc.) and the introduction of additional vessels to the fleet in 2023-24.</t>
  </si>
  <si>
    <t xml:space="preserve">This mainly covers the support provided for the Northern Isles ferry services, which includes connecting Scotland's islands, and ancillary costs relating to general ferry services. </t>
  </si>
  <si>
    <t>Reflects impact of increased operating costs , including fuel prices, on the Northern Isles ferry services network in 2023-24.</t>
  </si>
  <si>
    <t>Interest receivable on loans advanced to Caledonian Maritime Assets Ltd (CMAL).</t>
  </si>
  <si>
    <t>Reflects the profile of interest receivable in year on loans advanced to CMAL.</t>
  </si>
  <si>
    <t>Provides grants to port operators for improvement to piers and harbours, particularly to support ferry services to and from Scotland's islands.</t>
  </si>
  <si>
    <t>Increase due to a number of port investments projects progressing through construction stage in the coming year.</t>
  </si>
  <si>
    <t>Provides for loans to Caledonian Maritime Assets Ltd (CMAL) for procurement of vessels for operation on the Clyde and Hebrides Ferry Services and Northern Isles Ferry Services networks.</t>
  </si>
  <si>
    <t>Increase due to a number of vessel investment projects progressing through construction stage in the coming year.</t>
  </si>
  <si>
    <t>Repayment of loans by CMAL.</t>
  </si>
  <si>
    <t>Reflects the profile of loan repayments by CMAL</t>
  </si>
  <si>
    <t>Supports HIAL in maintaining and operating its airports, to facilitate essential connectivity to and from Scotland's islands and remote areas.</t>
  </si>
  <si>
    <t xml:space="preserve">Reflects an increase in operating costs </t>
  </si>
  <si>
    <t xml:space="preserve">Capital investment required to ensure airports operate safely and in accordance with regulatory requirements , supporting connectivity to remote rural areas and Scottish islands. </t>
  </si>
  <si>
    <t>Reflects the profile of HIAL's capital programme over the coming year.</t>
  </si>
  <si>
    <t>Non-cash budget cover for depreciation charges. (NDPB).</t>
  </si>
  <si>
    <t>Support growing Scotland’s direct international connectivity, for lifeline Public Service Obligation air services, and the Highlands and Islands Air Discount Scheme (ADS)</t>
  </si>
  <si>
    <t>Reflects the commitment to the lifeline Public Service Obligation air services for the remainder of their contract and a continuation of support for the  Highlands and Islands Air Discount Scheme (ADS)</t>
  </si>
  <si>
    <t>The budget will enable Scottish Forestry  to deliver Scottish Government's forestry strategy and functions, including forestry policy, the promotion of sustainable forest management, tree health, timber transport, and the delivery of the government's forestry targets and forestry regulation.</t>
  </si>
  <si>
    <t>Depreciation of inherited assets &amp; cross border charges also classified as depreciation.</t>
  </si>
  <si>
    <t>Forestry grants support delivery of SG's tree planting target and sustainable management of Scotland's woodlands and are part of the Scottish Rural Development Programme.</t>
  </si>
  <si>
    <t>Budget increase to facilitate increasing woodland maintenance commitments as a result of increased planting. Capital allocation also increased in line wtih increased planting for 2023-24 as we move towards a target of 18,000 hectares of new woodland creation in 2025.</t>
  </si>
  <si>
    <t>This funding supports the provision of cross border forestry functions and research as set out and agreed in the Tri-party MoU. The encompassed areas of shared interest include research commissioning and delivery (including inventory and statistics), Plant Health, UK Forestry Standard and Woodland Carbon Code, forestry economics advice and support for international forestry policy.</t>
  </si>
  <si>
    <t>No longer applicable - no further EU funding from 2023-24</t>
  </si>
  <si>
    <t>EU funding no longer available</t>
  </si>
  <si>
    <t>The resource budget will support the sustainable management of Scotland's national forests and land.</t>
  </si>
  <si>
    <t>Reduction due to efficiencies being made by FLS</t>
  </si>
  <si>
    <t>The capital budget will support the expansion of Scotland’s national forests and land, supporting landscape scale land use change, community and partnership working, woodland creation, biodiversity and peatland restoration, consistent with the Scottish Government’s climate objectives and in line with the Bute House Agreement.</t>
  </si>
  <si>
    <t>The budget reflects the profile of continued investment in Scotland's national forests and land</t>
  </si>
  <si>
    <t>Used to commission shorter term, policy led, pieces of scientific research.</t>
  </si>
  <si>
    <t xml:space="preserve">Adjustment reflects a re-distribution of research funding in the Strategic Research Programme. </t>
  </si>
  <si>
    <t>Funding for Environment Strategy and other strategic environmental policy development, sponsorship functions, and to stimulate responsible private investment in the restoration of nature and enhancement of Scotland’s natural capital.</t>
  </si>
  <si>
    <t>Establishing a new programme to stimulate responsible private investment in the restoration of nature and enhancement of Scotland’s natural capital</t>
  </si>
  <si>
    <t>Short term economic and social science research and statistics to inform policy development and complete statutory reporting.</t>
  </si>
  <si>
    <t>Adjustment to reflect planned efficiency savings and reprioritisation of expenditure</t>
  </si>
  <si>
    <t>Delivery of environment, natural resources and agriculture research: Strategy 2022-27 and funding for First Minister's Environmental Council.</t>
  </si>
  <si>
    <t xml:space="preserve">Delivery of environment, natural resources and agriculture research: Strategy 2022-27. </t>
  </si>
  <si>
    <t>Charges relating to depreciation of capital items.</t>
  </si>
  <si>
    <t>Rental receipts from Scottish Government land and buildings leased to Main Research Providers.</t>
  </si>
  <si>
    <t>Reduced forecast rental receipts</t>
  </si>
  <si>
    <t>Staff costs to deliver RBGE Corporate Plan.</t>
  </si>
  <si>
    <t>Operating expenditure to deliver RBGE Corporate Plan</t>
  </si>
  <si>
    <t>Funding from charitable status, commercial activity and other income</t>
  </si>
  <si>
    <t>For renewal of infrastructure at the RBGE, including delivery of the Edinburgh Biomes programme, and ongoing maintenance.</t>
  </si>
  <si>
    <t>Increased capital expenditure to reflect the scheduled phases of the Edinburgh Biomes programme during 2023-24.</t>
  </si>
  <si>
    <t>Technical accounting change</t>
  </si>
  <si>
    <t xml:space="preserve">Staff and operational costs for Environmental Standards Scotland, the new independent body set up to fill the potential gap in  environmental governance arising from Scotland's departure from the EU. </t>
  </si>
  <si>
    <t xml:space="preserve">Funding reflects budget requirement of the new independent body </t>
  </si>
  <si>
    <t>Capital expenditure on infrastructure assets.</t>
  </si>
  <si>
    <t>Increased investment to deliver the Park Strategic Plan</t>
  </si>
  <si>
    <t>Staff costs for Loch Lomond and The Trossachs National Park Authority.</t>
  </si>
  <si>
    <t>Increased capacity to deliver Loch Lomond and The Trossachs Naional Park Partnership Plan (NPPP) and to addresss the twin crises of climate change and biodiversity loss</t>
  </si>
  <si>
    <t>Programme and other Operating expenditure for delivery of  Loch Lomond and The Trossachs National Park Partnership Plan (NPPP).</t>
  </si>
  <si>
    <t>increased investment to continue to improve visitor experience and address twin crises of climate change and biodiversity loss</t>
  </si>
  <si>
    <t>Staff costs for Cairngorms National Park Authority</t>
  </si>
  <si>
    <t>Increased capacity to deliver Cairngorms National Park Partnership Plan 2022-27, maintain ranger provision and address the twin crises of climate change and biodiversity loss</t>
  </si>
  <si>
    <t>Programme and other operating expenditure for delivery of Cairngorms National Park Partnership Plan (NPPP).</t>
  </si>
  <si>
    <t>Budget to support air quality and noise mapping delivery. Delivering further improvements to Scotland’s air quality, supporting the vision for Scotland to have the cleanest air in Europe. Including funding support for local authorities to implement air quality action plan measures, maintain the monitoring network and operation of the Scottish air quality website and database. Delivery of noise mapping to comply with the Environmental Noise (Scotland) Regulations.</t>
  </si>
  <si>
    <t xml:space="preserve">Additional funding for action to comply with Environmental Noise (Scotland) Regulations </t>
  </si>
  <si>
    <t>Action to protect and improve Scotland’s water environment for the benefit of people, wildlife and the economy. Delivery of River Basin Management Plans to address specific pressures through, for example, river restoration, and fish barrier removal to enable fish migration, also contributing to biodiversity conservation, climate change adaptation, natural flood management, greenspace and well-being.</t>
  </si>
  <si>
    <t>Funding for River Basin Management Plans now recorded under the SEPA Level 4 budget as a baseline transfer</t>
  </si>
  <si>
    <t xml:space="preserve">Supports actions to raise awareness of flood risk and increase community and household resilience to the devastating impact of flooding.  It enables improvements to be made to the flood forecasting and warning systems that operate in Scotland and supports stakeholders in their work to reduce flood risk. </t>
  </si>
  <si>
    <t xml:space="preserve">Funding for delivery of flood forecasting and warning systems now recorded under the SEPA Level 4 budget as a baseline transfer  </t>
  </si>
  <si>
    <t>Policy development and implementation to manage and restore Scotland's wildlife, biodiversity and landscapes. For example, provision of the Nature Restoration Fund.</t>
  </si>
  <si>
    <t>Significant additional investment to tackle the biodiversity crisis and deliver the vision and outcomes set out in Scotland’s Biodiversity Strategy.</t>
  </si>
  <si>
    <t>Funding in response to the twin crises of climate change and the loss of biodiversity, to intensify our efforts to restore 250,000 hectares of degraded peatland by 2030 in order to help lock in carbon and reduce peatland emissions, and to deliver co-benefits for biodiversity, water quality, natural flood management and community amenity.</t>
  </si>
  <si>
    <t>Increased investment in peatland restoration in response to the twin crises of climate change and the loss of biodiversity.</t>
  </si>
  <si>
    <t xml:space="preserve">Investment in digital transformation </t>
  </si>
  <si>
    <t>For delivery of statutory functions: the regulation of activities or processes that may pollute water, air or land; the regulation of waste storage, transport, treatment and disposal; the regulation of keeping and disposing of radioactive materials; the management of radioactive waste and; running Scotland's flood warning systems.</t>
  </si>
  <si>
    <t>Programme and other Operating expenditure incurred by SEPA.</t>
  </si>
  <si>
    <t>INcreased funding to drive improvement in the quality of Scotland's environment. Includes baseline transfers from Environmental Quality budgets to deliver River Basin Management Plans and flood warning services.</t>
  </si>
  <si>
    <t>Charging schemes and other resource income</t>
  </si>
  <si>
    <t>Staff costs to undertake statutory functions and deliver NatureScot Corporate Plan.</t>
  </si>
  <si>
    <t>Programme and other Operating expenditure to deliver statutory functions and NatureScot Corporate Plan.</t>
  </si>
  <si>
    <t xml:space="preserve">Increased investment to protect, restore and value nature, and support seasonal ranger and visitor operations. </t>
  </si>
  <si>
    <t>Includes baseline transfers from Natural Resources budgets to deliver Nature Restoration Fund competitive streams</t>
  </si>
  <si>
    <t>Major circular economy delivery programmes linked to Bute House Agreement, PfG and CCP commitments, including Deposit Return Scheme, implementation of Circular Economy Bill and Waste Route Map, Extended Producer Responsibility, incineration research, landfill remediation, Recycling Improvement Fund, single-use plastics, litter and fly tipping. Funding for Zero Waste Scotland (ZWS) to support delivery of SG objectives.</t>
  </si>
  <si>
    <t>Increased investment to accelerate our transition to a circular economy and modernise Scotland’s waste and recycling services.</t>
  </si>
  <si>
    <t>Loan to ZWS in lieu of claims for European Regional Development Fund (ERDF) monies</t>
  </si>
  <si>
    <t>Ongoing implementation and development  of land reform policy, including: preparations for a new land Reform Bill; ongoing support for community ownership through the Scottish Land Fund (rising to £11m in 2023-24 as a step towards the commitment to double by 2026); handling of community right to buy casework;  sponsorship of the SLC; and support for Regional Land Use Partnership pilots and the 3rd Land Use Strategy.</t>
  </si>
  <si>
    <t>Increase in line with commitment to double the Scottish Land Fund by 2026.</t>
  </si>
  <si>
    <t>Funds the Scottish Land Commission to deliver statutory commitments and Ministerial priorities(budget primarily funds SLC staff) .</t>
  </si>
  <si>
    <t>Climate Change Policy line supports both the policy development and implementation work needed to take forward our statutory responsibilities under Scotland’s Climate Change Act.</t>
  </si>
  <si>
    <t>CARES (Communities and Renewable Energy Scheme) supports the development of community and locally-owned renewable energy projects which provide wider community benefits.  The LMRF is a component of CARES and aims to enable farmers and rural SMEs to benefit from the scheme, helping them to contribute to Scottish Government targets for renewable energy and climate change and diversify their business.</t>
  </si>
  <si>
    <t>Reduction in CARES funding for 2023-24 following reprioritisation</t>
  </si>
  <si>
    <t xml:space="preserve">This represents a wide range of activities to support the Scottish Government's ambitions to deliver a just transition to a net zero and climate reliant Scotland, including public and community engagement and the empowerment of local communities to lead action on climate change; Just Transition Planning; the Independent Just Transition Commission, and the delivery of the Just Transition Fund; and supporting climate change leadership in the public sector alongside  the implementation of the Public Bodies Duties provisions of the Climate Change Act.  The budget also funds our international contributions to the Climate Justice Fund,  our support on Loss and Damage and our work with the Under 2 Coalition. </t>
  </si>
  <si>
    <t>Increase relates to year-on-year increase in support to Just Transition initiatives, with the Just Transition Fund for the North East and Moray rising from £20m to £50m in 2023-24.</t>
  </si>
  <si>
    <t>Strengthened resources within the Scottish Government to fulfil our statutory obligations around planning, consenting and licencing of onshore infrastructure in a timely manner. Additional resources and a centralised Directorate structure to make Scottish Government and Team Scotland support more accessible to industry and stakeholders. Additional support for the Scottish Offshore Wind Energy Council (SOWEC) to cement its role in the heart of the Scottish public-private sector response.</t>
  </si>
  <si>
    <t>Not applicable, as this is a new line.</t>
  </si>
  <si>
    <t>This represents the interest payable to the Scottish Government in respect of loans issued to date.</t>
  </si>
  <si>
    <t xml:space="preserve">This represents the loans payable in 2023-24  in support of Scottish Water’s investment programme for the period 2021-27. </t>
  </si>
  <si>
    <t>This provides support for the Hydro Nation agenda</t>
  </si>
  <si>
    <t>Reduction in budget due to resource re-prioritisations</t>
  </si>
  <si>
    <t>This provision is to support the Drinking Water Quality Regulator for Scotland in carrying out its duties under the Water Industry (Scotland) Act 2002.</t>
  </si>
  <si>
    <t>Removal of funding following implementation of DWQR database</t>
  </si>
  <si>
    <t xml:space="preserve">The Private Water budget supports actions to sustain and improve the health of the people of Scotland through good safe drinking water.  </t>
  </si>
  <si>
    <t>This was consequential funding allocated by the UK Government in 2022-23 in response to the COVID-19 outbreak and is no longer required.</t>
  </si>
  <si>
    <t>Grants to local authorities to fund improvements to infrastructure to support cycling, walking and safer streets.</t>
  </si>
  <si>
    <t>Grant to support inter island ferry services.</t>
  </si>
  <si>
    <t>A general capital grant to SPT, for their transport investment programme.  This grant, combined with funding from their constituent local authorities, funds delivery of capital projects which contribute to the National Transport Strategy.</t>
  </si>
  <si>
    <t>Additional funding reflects capital spending on the Scottish Crime Campus</t>
  </si>
  <si>
    <t>This budget covers a range of smaller value budgets, including Calman 100, Professions regulation, revalidation, and portfolio operating costs</t>
  </si>
  <si>
    <t>The budget supports a range of measures to improve population health and initiatives, including Covid-19 related programmes that have been substantially concentrated since the heights of pandemic restrictions.</t>
  </si>
  <si>
    <t>This resource supports a small number of targeted, often demand-led, programmes</t>
  </si>
  <si>
    <t>Supports ongoing Covid-19 recovery costs and miscellaneous expenditure. Also, includes planned in-year transfers and income largely related to dental and ophthalmic services.</t>
  </si>
  <si>
    <t xml:space="preserve">The consumer policy and advice budget is to allow the delivery of advice to citizens across Scotland by the Citizens Advice Network on consumer matters and to ensure consumer interests are represented to government, regulators and decision-makers.  </t>
  </si>
  <si>
    <t xml:space="preserve">Reduction reflects one-off set-up costs incurred last year that are not required this year. </t>
  </si>
  <si>
    <t xml:space="preserve">Programme funding maintained. Reduction reflects savings made in staffing costs last year. </t>
  </si>
  <si>
    <t>NHS Territorial Boards will receive allocation increases of 5.4% for 2023-24 compared to the 2022-23 Scottish Budget. This includes funding for baseline uplifts (2%), NRAC funding (0.2%) and recurring allocations transferred to baseline funding (3.4%)</t>
  </si>
  <si>
    <t>All National Boards will receive a 2% uplift and 5.6% in respect of recurring allocations transferred to baseline funding.</t>
  </si>
  <si>
    <t xml:space="preserve">Increased investment to support new infrastructure projects such as Parkhead Health Centre. </t>
  </si>
  <si>
    <t xml:space="preserve">Budget increase to reflect contractor uplifts and population growth. </t>
  </si>
  <si>
    <t>Minor movement in primary care staff costs.</t>
  </si>
  <si>
    <t xml:space="preserve">Budget updated to reflect 2022-23 contractor uplift.  </t>
  </si>
  <si>
    <t>Includes new funding for medicines policy registries.</t>
  </si>
  <si>
    <t>Budget updated to reflect increased investment in NHS dental services and pay award for 2022-23.</t>
  </si>
  <si>
    <t>Minor movement.</t>
  </si>
  <si>
    <t xml:space="preserve">Reprofiling of budget to match anticipated expenditure. </t>
  </si>
  <si>
    <t>Budget has been reprofiled to reflect estimated expenditure.</t>
  </si>
  <si>
    <t xml:space="preserve">Reflects planned expenditure in year. </t>
  </si>
  <si>
    <t>Additional investment to support increase in district nurses.</t>
  </si>
  <si>
    <t>Additional funding to support increased student intake and retention levels.</t>
  </si>
  <si>
    <t xml:space="preserve">Additonal funding to support increased bursary costs </t>
  </si>
  <si>
    <t>Additional investment to support increased student intake and retention levels.</t>
  </si>
  <si>
    <t>Increased investment to support medical school undergraduate places, Widening Access Places and pre-medical entry courses.</t>
  </si>
  <si>
    <t xml:space="preserve">Minor movement. </t>
  </si>
  <si>
    <t>Funding is no longer required for four year training programmes which have been replaced with higher quality GP training programmes.</t>
  </si>
  <si>
    <t>The budget has increased in order to cover the costs associated with the 105 additional places.</t>
  </si>
  <si>
    <t>Increased level of investment to meet commitment.</t>
  </si>
  <si>
    <t xml:space="preserve">Reduction across various budget lines including portfolio operating costs and other education and training lines, to align budgets with anticipated expenditure. </t>
  </si>
  <si>
    <t>Increased funding for impact of new Shingles vaccination coming into use in 2023-24.</t>
  </si>
  <si>
    <t>Additional investment required in response to increase in number of people joining SIBSS and inflationary increases in financial support payments.</t>
  </si>
  <si>
    <t xml:space="preserve">Increased funding to relfect anticipated expenditure in tobacco control. </t>
  </si>
  <si>
    <t xml:space="preserve">Investment to continue support for research and innovation. </t>
  </si>
  <si>
    <t xml:space="preserve">Minor reduction across various budget lines including portfolio operating costs and other health improvement lines, to align budgets with anticipated expenditure. </t>
  </si>
  <si>
    <t>Additional £12 million to support cross government actions detailed in the Drug Deaths Taskforce final report.</t>
  </si>
  <si>
    <t>Reprofiling of investment alongside minor reductions across various budget lines.</t>
  </si>
  <si>
    <t>Budget updated to reflect increased investment in staffing costs including impact of pay award for 2022-23.</t>
  </si>
  <si>
    <t xml:space="preserve">Continued roll-out of FNP programme. </t>
  </si>
  <si>
    <t>Minor movement in other early years budget.</t>
  </si>
  <si>
    <t xml:space="preserve">Reprofiling  to align budget with anticipated expenditure. </t>
  </si>
  <si>
    <t>Budget provision is aligned with expected expenditure in 2023-24</t>
  </si>
  <si>
    <t>Minor movements including removal of funding for non recurring initiatives.</t>
  </si>
  <si>
    <t>Reprofiling of budget to align with anticipated  expenditure.</t>
  </si>
  <si>
    <t>Minor movement to align budget with anticpated spend.</t>
  </si>
  <si>
    <t xml:space="preserve">Minor movement to align budget with programme commitments. </t>
  </si>
  <si>
    <t xml:space="preserve">Minor reduction in Corporate Running Costs. </t>
  </si>
  <si>
    <t>Budget reprofiled to reflect anticipated ongoing costs for Covid-19 and other expenditure.</t>
  </si>
  <si>
    <t>Continued level of investment.</t>
  </si>
  <si>
    <t>Reflects funding required for GP loan scheme which supports GPs that own their own premises.</t>
  </si>
  <si>
    <t>This investment funding to meet the full year impact of the real living wage pay uplift for adult social care staff, and additional investment on Free Personal Nursing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</si>
</sst>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quot;-&quot;"/>
    <numFmt numFmtId="165" formatCode="0.000"/>
    <numFmt numFmtId="166" formatCode="#,##0;[Red]\(#,##0\)"/>
    <numFmt numFmtId="167" formatCode="#,##0.000;[Red]\(#,##0.000\);&quot;-&quot;"/>
    <numFmt numFmtId="168" formatCode="#,##0.0"/>
    <numFmt numFmtId="169" formatCode="#,##0.000;[Red]\(#,##0.000\);\-"/>
    <numFmt numFmtId="170" formatCode="#,##0.000"/>
    <numFmt numFmtId="171" formatCode="##,##0.000;\(##,##0.000\);\-"/>
    <numFmt numFmtId="172" formatCode="0.0%"/>
    <numFmt numFmtId="173" formatCode="#,##0.000000000000"/>
    <numFmt numFmtId="174" formatCode="#,##0.000;\(#,##0.000\);\-"/>
    <numFmt numFmtId="175" formatCode="#,##0;\(#,##0\)"/>
  </numFmts>
  <fonts count="40">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sz val="10"/>
      <color theme="1"/>
      <name val="Arial"/>
      <family val="2"/>
    </font>
    <font>
      <b/>
      <sz val="16"/>
      <color theme="0"/>
      <name val="Clan-News"/>
    </font>
    <font>
      <b/>
      <sz val="18"/>
      <color theme="0"/>
      <name val="Clan-News"/>
    </font>
    <font>
      <sz val="10"/>
      <name val="Verdana"/>
      <family val="2"/>
    </font>
    <font>
      <sz val="12"/>
      <name val="Clan-News"/>
    </font>
    <font>
      <sz val="12"/>
      <name val="Times New Roman"/>
      <family val="1"/>
    </font>
    <font>
      <b/>
      <sz val="12"/>
      <color indexed="9"/>
      <name val="Clan-News"/>
    </font>
    <font>
      <b/>
      <sz val="12"/>
      <name val="Clan-News"/>
    </font>
    <font>
      <sz val="12"/>
      <color indexed="17"/>
      <name val="Arial"/>
      <family val="2"/>
    </font>
    <font>
      <sz val="10"/>
      <color indexed="8"/>
      <name val="Arial"/>
      <family val="2"/>
    </font>
    <font>
      <sz val="12"/>
      <color indexed="8"/>
      <name val="Clan-News"/>
    </font>
    <font>
      <sz val="10"/>
      <name val="Arial"/>
      <family val="2"/>
    </font>
    <font>
      <b/>
      <sz val="12"/>
      <color theme="0"/>
      <name val="Clan-News"/>
    </font>
    <font>
      <sz val="12"/>
      <color theme="1"/>
      <name val="Arial"/>
      <family val="2"/>
    </font>
    <font>
      <sz val="12"/>
      <color theme="1"/>
      <name val="Clan-News"/>
    </font>
    <font>
      <sz val="10"/>
      <color rgb="FF006100"/>
      <name val="Arial"/>
      <family val="2"/>
    </font>
    <font>
      <sz val="12"/>
      <color indexed="9"/>
      <name val="Clan-News"/>
    </font>
    <font>
      <sz val="12"/>
      <color rgb="FF212121"/>
      <name val="Clan-News"/>
    </font>
    <font>
      <sz val="12"/>
      <color rgb="FF000000"/>
      <name val="Clan-News"/>
    </font>
    <font>
      <b/>
      <sz val="12"/>
      <color theme="1"/>
      <name val="Clan-News"/>
    </font>
    <font>
      <sz val="14"/>
      <color theme="1"/>
      <name val="Clan-News"/>
    </font>
    <font>
      <sz val="11"/>
      <color theme="1"/>
      <name val="Clan-News"/>
    </font>
    <font>
      <sz val="12"/>
      <color theme="0"/>
      <name val="Clan-News"/>
    </font>
    <font>
      <sz val="12"/>
      <color rgb="FF006100"/>
      <name val="Arial"/>
      <family val="2"/>
    </font>
    <font>
      <b/>
      <sz val="14"/>
      <color theme="1"/>
      <name val="Clan-News"/>
    </font>
    <font>
      <sz val="14"/>
      <name val="Clan-News"/>
    </font>
    <font>
      <b/>
      <sz val="12"/>
      <color rgb="FFFF0000"/>
      <name val="Clan-News"/>
    </font>
    <font>
      <sz val="12"/>
      <color rgb="FFFF0000"/>
      <name val="Clan-News"/>
    </font>
    <font>
      <b/>
      <sz val="20"/>
      <color theme="0"/>
      <name val="Clan-News"/>
    </font>
    <font>
      <u/>
      <sz val="11"/>
      <color theme="10"/>
      <name val="Calibri"/>
      <family val="2"/>
      <scheme val="minor"/>
    </font>
    <font>
      <u/>
      <sz val="16"/>
      <color theme="10"/>
      <name val="Clan-News"/>
    </font>
    <font>
      <sz val="16"/>
      <color theme="1"/>
      <name val="Clan-News"/>
    </font>
    <font>
      <b/>
      <sz val="14"/>
      <name val="Clan-News"/>
    </font>
    <font>
      <sz val="12"/>
      <name val="Arial"/>
      <family val="2"/>
    </font>
    <font>
      <b/>
      <sz val="10"/>
      <color theme="1"/>
      <name val="Clan-News"/>
    </font>
    <font>
      <sz val="12"/>
      <color rgb="FF000000"/>
      <name val="Calibri"/>
      <family val="2"/>
    </font>
  </fonts>
  <fills count="8">
    <fill>
      <patternFill patternType="none"/>
    </fill>
    <fill>
      <patternFill patternType="gray125"/>
    </fill>
    <fill>
      <patternFill patternType="solid">
        <fgColor rgb="FFC6EFCE"/>
      </patternFill>
    </fill>
    <fill>
      <patternFill patternType="solid">
        <fgColor rgb="FF000066"/>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499984740745262"/>
        <bgColor indexed="64"/>
      </patternFill>
    </fill>
  </fills>
  <borders count="28">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auto="1"/>
      </left>
      <right style="medium">
        <color auto="1"/>
      </right>
      <top/>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right style="thin">
        <color indexed="64"/>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indexed="64"/>
      </top>
      <bottom/>
      <diagonal/>
    </border>
    <border>
      <left/>
      <right/>
      <top/>
      <bottom style="thin">
        <color indexed="64"/>
      </bottom>
      <diagonal/>
    </border>
    <border>
      <left style="medium">
        <color auto="1"/>
      </left>
      <right style="medium">
        <color auto="1"/>
      </right>
      <top/>
      <bottom style="medium">
        <color auto="1"/>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theme="0"/>
      </left>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theme="0"/>
      </bottom>
      <diagonal/>
    </border>
  </borders>
  <cellStyleXfs count="24">
    <xf numFmtId="0" fontId="0" fillId="0" borderId="0"/>
    <xf numFmtId="9" fontId="1" fillId="0" borderId="0" applyFont="0" applyFill="0" applyBorder="0" applyAlignment="0" applyProtection="0"/>
    <xf numFmtId="0" fontId="4" fillId="0" borderId="0"/>
    <xf numFmtId="0" fontId="7" fillId="0" borderId="0"/>
    <xf numFmtId="0" fontId="9" fillId="0" borderId="0"/>
    <xf numFmtId="0" fontId="12" fillId="0" borderId="0" applyNumberFormat="0" applyBorder="0" applyAlignment="0" applyProtection="0"/>
    <xf numFmtId="0" fontId="13" fillId="0" borderId="0"/>
    <xf numFmtId="0" fontId="15" fillId="0" borderId="0"/>
    <xf numFmtId="0" fontId="17" fillId="0" borderId="0"/>
    <xf numFmtId="0" fontId="19" fillId="2" borderId="0" applyNumberFormat="0" applyBorder="0" applyAlignment="0" applyProtection="0"/>
    <xf numFmtId="0" fontId="9" fillId="0" borderId="0"/>
    <xf numFmtId="0" fontId="9" fillId="0" borderId="0"/>
    <xf numFmtId="0" fontId="9" fillId="0" borderId="0"/>
    <xf numFmtId="0" fontId="15" fillId="0" borderId="0"/>
    <xf numFmtId="0" fontId="17" fillId="0" borderId="0"/>
    <xf numFmtId="0" fontId="9" fillId="0" borderId="0"/>
    <xf numFmtId="43" fontId="15" fillId="0" borderId="0" applyFont="0" applyFill="0" applyBorder="0" applyAlignment="0" applyProtection="0"/>
    <xf numFmtId="43" fontId="9" fillId="0" borderId="0" applyFont="0" applyFill="0" applyBorder="0" applyAlignment="0" applyProtection="0"/>
    <xf numFmtId="0" fontId="27" fillId="2" borderId="0" applyNumberFormat="0" applyBorder="0" applyAlignment="0" applyProtection="0"/>
    <xf numFmtId="0" fontId="15" fillId="0" borderId="0"/>
    <xf numFmtId="0" fontId="9" fillId="0" borderId="0"/>
    <xf numFmtId="0" fontId="33" fillId="0" borderId="0" applyNumberFormat="0" applyFill="0" applyBorder="0" applyAlignment="0" applyProtection="0"/>
    <xf numFmtId="0" fontId="4" fillId="0" borderId="0"/>
    <xf numFmtId="0" fontId="15" fillId="0" borderId="0"/>
  </cellStyleXfs>
  <cellXfs count="998">
    <xf numFmtId="0" fontId="0" fillId="0" borderId="0" xfId="0"/>
    <xf numFmtId="0" fontId="3" fillId="0" borderId="0" xfId="0" applyFont="1" applyAlignment="1">
      <alignment wrapText="1"/>
    </xf>
    <xf numFmtId="0" fontId="0" fillId="0" borderId="0" xfId="0" applyAlignment="1">
      <alignment wrapText="1"/>
    </xf>
    <xf numFmtId="164" fontId="5" fillId="3" borderId="0" xfId="2" applyNumberFormat="1" applyFont="1" applyFill="1" applyAlignment="1">
      <alignment horizontal="center" vertical="center" wrapText="1"/>
    </xf>
    <xf numFmtId="164" fontId="6" fillId="3" borderId="1" xfId="2" applyNumberFormat="1" applyFont="1" applyFill="1" applyBorder="1" applyAlignment="1">
      <alignment horizontal="center" vertical="center" wrapText="1"/>
    </xf>
    <xf numFmtId="0" fontId="8" fillId="0" borderId="0" xfId="3" applyFont="1" applyAlignment="1">
      <alignment wrapText="1"/>
    </xf>
    <xf numFmtId="0" fontId="10" fillId="3" borderId="2" xfId="4" applyFont="1" applyFill="1" applyBorder="1" applyAlignment="1">
      <alignment horizontal="left" vertical="center" wrapText="1"/>
    </xf>
    <xf numFmtId="2" fontId="8" fillId="0" borderId="2" xfId="4" applyNumberFormat="1" applyFont="1" applyBorder="1" applyAlignment="1">
      <alignment horizontal="left" vertical="center" wrapText="1"/>
    </xf>
    <xf numFmtId="0" fontId="11" fillId="4" borderId="2" xfId="4" applyFont="1" applyFill="1" applyBorder="1" applyAlignment="1">
      <alignment horizontal="left" wrapText="1"/>
    </xf>
    <xf numFmtId="165" fontId="10" fillId="3" borderId="2" xfId="5" applyNumberFormat="1" applyFont="1" applyFill="1" applyBorder="1" applyAlignment="1" applyProtection="1">
      <alignment horizontal="left" vertical="top" wrapText="1"/>
    </xf>
    <xf numFmtId="0" fontId="8" fillId="0" borderId="2" xfId="4" applyFont="1" applyBorder="1" applyAlignment="1">
      <alignment horizontal="left" vertical="center" wrapText="1"/>
    </xf>
    <xf numFmtId="165" fontId="10" fillId="3" borderId="3" xfId="5" applyNumberFormat="1" applyFont="1" applyFill="1" applyBorder="1" applyAlignment="1" applyProtection="1">
      <alignment horizontal="left" vertical="top" wrapText="1"/>
    </xf>
    <xf numFmtId="0" fontId="10" fillId="3" borderId="4" xfId="4" applyFont="1" applyFill="1" applyBorder="1" applyAlignment="1">
      <alignment horizontal="left" vertical="center" wrapText="1"/>
    </xf>
    <xf numFmtId="0" fontId="8" fillId="0" borderId="2" xfId="6" applyFont="1" applyBorder="1" applyAlignment="1">
      <alignment horizontal="left" vertical="center" wrapText="1"/>
    </xf>
    <xf numFmtId="165" fontId="10" fillId="3" borderId="2" xfId="5" applyNumberFormat="1" applyFont="1" applyFill="1" applyBorder="1" applyAlignment="1" applyProtection="1">
      <alignment horizontal="right" vertical="top" wrapText="1"/>
    </xf>
    <xf numFmtId="0" fontId="8" fillId="0" borderId="5" xfId="6" applyFont="1" applyBorder="1" applyAlignment="1">
      <alignment vertical="center" wrapText="1"/>
    </xf>
    <xf numFmtId="0" fontId="8" fillId="0" borderId="2" xfId="6" applyFont="1" applyBorder="1" applyAlignment="1">
      <alignment vertical="center" wrapText="1"/>
    </xf>
    <xf numFmtId="165" fontId="10" fillId="3" borderId="3" xfId="5" applyNumberFormat="1" applyFont="1" applyFill="1" applyBorder="1" applyAlignment="1" applyProtection="1">
      <alignment horizontal="right" vertical="top" wrapText="1"/>
    </xf>
    <xf numFmtId="0" fontId="11" fillId="0" borderId="0" xfId="4" applyFont="1" applyAlignment="1">
      <alignment horizontal="left" vertical="center" wrapText="1"/>
    </xf>
    <xf numFmtId="0" fontId="8" fillId="0" borderId="6" xfId="6" applyFont="1" applyBorder="1" applyAlignment="1">
      <alignment horizontal="left" vertical="center" wrapText="1"/>
    </xf>
    <xf numFmtId="0" fontId="8" fillId="0" borderId="2" xfId="6" applyFont="1" applyBorder="1" applyAlignment="1">
      <alignment horizontal="left" vertical="center" wrapText="1" shrinkToFit="1"/>
    </xf>
    <xf numFmtId="0" fontId="11" fillId="0" borderId="0" xfId="4" applyFont="1" applyAlignment="1">
      <alignment horizontal="left" wrapText="1"/>
    </xf>
    <xf numFmtId="0" fontId="14" fillId="0" borderId="2" xfId="6" applyFont="1" applyBorder="1" applyAlignment="1">
      <alignment vertical="center" wrapText="1"/>
    </xf>
    <xf numFmtId="0" fontId="8" fillId="0" borderId="7" xfId="6" applyFont="1" applyBorder="1" applyAlignment="1">
      <alignment vertical="center" wrapText="1"/>
    </xf>
    <xf numFmtId="0" fontId="8" fillId="0" borderId="0" xfId="6" applyFont="1" applyAlignment="1">
      <alignment vertical="center" wrapText="1"/>
    </xf>
    <xf numFmtId="0" fontId="8" fillId="0" borderId="6" xfId="6" applyFont="1" applyBorder="1" applyAlignment="1">
      <alignment vertical="center" wrapText="1"/>
    </xf>
    <xf numFmtId="0" fontId="8" fillId="0" borderId="5" xfId="6" applyFont="1" applyBorder="1" applyAlignment="1">
      <alignment horizontal="left" vertical="center" wrapText="1"/>
    </xf>
    <xf numFmtId="165" fontId="10" fillId="0" borderId="0" xfId="5" applyNumberFormat="1" applyFont="1" applyBorder="1" applyAlignment="1" applyProtection="1">
      <alignment horizontal="right" vertical="top" wrapText="1"/>
    </xf>
    <xf numFmtId="166" fontId="8" fillId="0" borderId="2" xfId="7" applyNumberFormat="1" applyFont="1" applyBorder="1" applyAlignment="1">
      <alignment vertical="center" wrapText="1"/>
    </xf>
    <xf numFmtId="166" fontId="8" fillId="0" borderId="7" xfId="0" applyNumberFormat="1" applyFont="1" applyBorder="1" applyAlignment="1">
      <alignment vertical="center" wrapText="1"/>
    </xf>
    <xf numFmtId="0" fontId="8" fillId="0" borderId="8" xfId="4" applyFont="1" applyBorder="1" applyAlignment="1">
      <alignment vertical="center" wrapText="1"/>
    </xf>
    <xf numFmtId="0" fontId="8" fillId="0" borderId="9" xfId="4" applyFont="1" applyBorder="1" applyAlignment="1">
      <alignment vertical="center" wrapText="1"/>
    </xf>
    <xf numFmtId="0" fontId="8" fillId="0" borderId="2" xfId="4" applyFont="1" applyBorder="1" applyAlignment="1">
      <alignment vertical="center" wrapText="1"/>
    </xf>
    <xf numFmtId="0" fontId="11" fillId="0" borderId="6" xfId="4" applyFont="1" applyBorder="1" applyAlignment="1">
      <alignment horizontal="left" wrapText="1"/>
    </xf>
    <xf numFmtId="0" fontId="16" fillId="3" borderId="0" xfId="6" applyFont="1" applyFill="1" applyAlignment="1">
      <alignment horizontal="right" wrapText="1"/>
    </xf>
    <xf numFmtId="0" fontId="11" fillId="0" borderId="2" xfId="4" applyFont="1" applyBorder="1" applyAlignment="1">
      <alignment horizontal="left" vertical="center" wrapText="1"/>
    </xf>
    <xf numFmtId="0" fontId="18" fillId="0" borderId="0" xfId="8" applyFont="1" applyAlignment="1">
      <alignment wrapText="1"/>
    </xf>
    <xf numFmtId="0" fontId="3" fillId="0" borderId="0" xfId="0" applyFont="1"/>
    <xf numFmtId="167" fontId="16" fillId="3" borderId="0" xfId="9" applyNumberFormat="1" applyFont="1" applyFill="1" applyBorder="1" applyAlignment="1" applyProtection="1">
      <alignment horizontal="center" vertical="center" wrapText="1"/>
    </xf>
    <xf numFmtId="168" fontId="16" fillId="3" borderId="0" xfId="9" applyNumberFormat="1" applyFont="1" applyFill="1" applyBorder="1" applyAlignment="1" applyProtection="1">
      <alignment horizontal="center" vertical="center" wrapText="1"/>
    </xf>
    <xf numFmtId="0" fontId="16" fillId="3" borderId="0" xfId="2" applyFont="1" applyFill="1" applyAlignment="1">
      <alignment horizontal="center" vertical="center" wrapText="1"/>
    </xf>
    <xf numFmtId="0" fontId="16" fillId="3" borderId="10" xfId="2" applyFont="1" applyFill="1" applyBorder="1" applyAlignment="1">
      <alignment horizontal="center" vertical="center" wrapText="1"/>
    </xf>
    <xf numFmtId="167" fontId="16" fillId="3" borderId="1" xfId="9" applyNumberFormat="1" applyFont="1" applyFill="1" applyBorder="1" applyAlignment="1" applyProtection="1">
      <alignment horizontal="center" vertical="center" wrapText="1"/>
    </xf>
    <xf numFmtId="168" fontId="16" fillId="3" borderId="1" xfId="9" applyNumberFormat="1" applyFont="1" applyFill="1" applyBorder="1" applyAlignment="1" applyProtection="1">
      <alignment horizontal="center" vertical="center" wrapText="1"/>
    </xf>
    <xf numFmtId="0" fontId="5" fillId="3" borderId="1" xfId="2" applyFont="1" applyFill="1" applyBorder="1" applyAlignment="1">
      <alignment horizontal="center" vertical="center" wrapText="1"/>
    </xf>
    <xf numFmtId="0" fontId="5" fillId="3" borderId="11" xfId="2" applyFont="1" applyFill="1" applyBorder="1" applyAlignment="1">
      <alignment horizontal="center" vertical="center" wrapText="1"/>
    </xf>
    <xf numFmtId="169" fontId="8" fillId="0" borderId="0" xfId="3" applyNumberFormat="1" applyFont="1" applyAlignment="1">
      <alignment horizontal="right"/>
    </xf>
    <xf numFmtId="169" fontId="11" fillId="0" borderId="0" xfId="3" applyNumberFormat="1" applyFont="1" applyAlignment="1">
      <alignment horizontal="right"/>
    </xf>
    <xf numFmtId="10" fontId="8" fillId="0" borderId="0" xfId="3" applyNumberFormat="1" applyFont="1" applyAlignment="1">
      <alignment horizontal="right"/>
    </xf>
    <xf numFmtId="0" fontId="8" fillId="0" borderId="0" xfId="3" applyFont="1" applyAlignment="1">
      <alignment horizontal="left" vertical="top" wrapText="1"/>
    </xf>
    <xf numFmtId="0" fontId="8" fillId="0" borderId="10" xfId="3" applyFont="1" applyBorder="1" applyAlignment="1">
      <alignment horizontal="left" vertical="top" wrapText="1"/>
    </xf>
    <xf numFmtId="170" fontId="10" fillId="3" borderId="2" xfId="4" applyNumberFormat="1" applyFont="1" applyFill="1" applyBorder="1" applyAlignment="1">
      <alignment horizontal="right" vertical="center"/>
    </xf>
    <xf numFmtId="0" fontId="10" fillId="3" borderId="2" xfId="4" applyFont="1" applyFill="1" applyBorder="1" applyAlignment="1">
      <alignment horizontal="right" vertical="center"/>
    </xf>
    <xf numFmtId="0" fontId="10" fillId="3" borderId="2" xfId="4" applyFont="1" applyFill="1" applyBorder="1" applyAlignment="1">
      <alignment horizontal="left" vertical="top" wrapText="1"/>
    </xf>
    <xf numFmtId="171" fontId="8" fillId="0" borderId="2" xfId="4" applyNumberFormat="1" applyFont="1" applyBorder="1" applyAlignment="1">
      <alignment horizontal="right" vertical="center"/>
    </xf>
    <xf numFmtId="171" fontId="11" fillId="4" borderId="2" xfId="4" applyNumberFormat="1" applyFont="1" applyFill="1" applyBorder="1" applyAlignment="1">
      <alignment horizontal="right" vertical="center"/>
    </xf>
    <xf numFmtId="172" fontId="8" fillId="0" borderId="2" xfId="4" applyNumberFormat="1" applyFont="1" applyBorder="1" applyAlignment="1">
      <alignment horizontal="right" vertical="center"/>
    </xf>
    <xf numFmtId="0" fontId="8" fillId="0" borderId="2" xfId="6" applyFont="1" applyBorder="1" applyAlignment="1">
      <alignment horizontal="left" vertical="top" wrapText="1"/>
    </xf>
    <xf numFmtId="0" fontId="8" fillId="0" borderId="2" xfId="10" applyFont="1" applyBorder="1" applyAlignment="1">
      <alignment horizontal="left" vertical="top" wrapText="1"/>
    </xf>
    <xf numFmtId="171" fontId="11" fillId="4" borderId="2" xfId="4" applyNumberFormat="1" applyFont="1" applyFill="1" applyBorder="1" applyAlignment="1">
      <alignment horizontal="right"/>
    </xf>
    <xf numFmtId="172" fontId="11" fillId="4" borderId="2" xfId="4" applyNumberFormat="1" applyFont="1" applyFill="1" applyBorder="1" applyAlignment="1">
      <alignment horizontal="right" vertical="center"/>
    </xf>
    <xf numFmtId="0" fontId="11" fillId="4" borderId="2" xfId="11" applyFont="1" applyFill="1" applyBorder="1" applyAlignment="1">
      <alignment horizontal="left" vertical="top" wrapText="1"/>
    </xf>
    <xf numFmtId="0" fontId="14" fillId="0" borderId="2" xfId="6" applyFont="1" applyBorder="1" applyAlignment="1">
      <alignment horizontal="left" vertical="top" wrapText="1"/>
    </xf>
    <xf numFmtId="171" fontId="8" fillId="0" borderId="0" xfId="3" applyNumberFormat="1" applyFont="1" applyAlignment="1">
      <alignment horizontal="right"/>
    </xf>
    <xf numFmtId="171" fontId="11" fillId="0" borderId="0" xfId="3" applyNumberFormat="1" applyFont="1" applyAlignment="1">
      <alignment horizontal="right"/>
    </xf>
    <xf numFmtId="172" fontId="8" fillId="0" borderId="0" xfId="3" applyNumberFormat="1" applyFont="1" applyAlignment="1">
      <alignment horizontal="right"/>
    </xf>
    <xf numFmtId="171" fontId="20" fillId="3" borderId="2" xfId="5" applyNumberFormat="1" applyFont="1" applyFill="1" applyBorder="1" applyAlignment="1" applyProtection="1">
      <alignment horizontal="right" vertical="top"/>
    </xf>
    <xf numFmtId="171" fontId="10" fillId="3" borderId="2" xfId="5" applyNumberFormat="1" applyFont="1" applyFill="1" applyBorder="1" applyAlignment="1" applyProtection="1">
      <alignment horizontal="right" vertical="top"/>
    </xf>
    <xf numFmtId="172" fontId="10" fillId="3" borderId="2" xfId="5" applyNumberFormat="1" applyFont="1" applyFill="1" applyBorder="1" applyAlignment="1" applyProtection="1">
      <alignment horizontal="right" vertical="top"/>
    </xf>
    <xf numFmtId="171" fontId="10" fillId="3" borderId="2" xfId="4" applyNumberFormat="1" applyFont="1" applyFill="1" applyBorder="1" applyAlignment="1">
      <alignment horizontal="right" vertical="center"/>
    </xf>
    <xf numFmtId="172" fontId="10" fillId="3" borderId="2" xfId="4" applyNumberFormat="1" applyFont="1" applyFill="1" applyBorder="1" applyAlignment="1">
      <alignment horizontal="right" vertical="center"/>
    </xf>
    <xf numFmtId="0" fontId="8" fillId="0" borderId="8" xfId="4" applyFont="1" applyBorder="1" applyAlignment="1">
      <alignment horizontal="left" vertical="top" wrapText="1"/>
    </xf>
    <xf numFmtId="171" fontId="10" fillId="3" borderId="0" xfId="5" applyNumberFormat="1" applyFont="1" applyFill="1" applyBorder="1" applyAlignment="1" applyProtection="1">
      <alignment horizontal="right" vertical="top"/>
    </xf>
    <xf numFmtId="172" fontId="10" fillId="3" borderId="0" xfId="5" applyNumberFormat="1" applyFont="1" applyFill="1" applyBorder="1" applyAlignment="1" applyProtection="1">
      <alignment horizontal="right" vertical="top"/>
    </xf>
    <xf numFmtId="171" fontId="10" fillId="3" borderId="0" xfId="4" applyNumberFormat="1" applyFont="1" applyFill="1" applyAlignment="1">
      <alignment horizontal="right" vertical="center"/>
    </xf>
    <xf numFmtId="172" fontId="10" fillId="3" borderId="0" xfId="4" applyNumberFormat="1" applyFont="1" applyFill="1" applyAlignment="1">
      <alignment horizontal="right" vertical="center"/>
    </xf>
    <xf numFmtId="171" fontId="8" fillId="0" borderId="2" xfId="6" applyNumberFormat="1" applyFont="1" applyBorder="1" applyAlignment="1">
      <alignment horizontal="right" vertical="center"/>
    </xf>
    <xf numFmtId="0" fontId="8" fillId="0" borderId="2" xfId="4" applyFont="1" applyBorder="1" applyAlignment="1">
      <alignment horizontal="left" vertical="top" wrapText="1"/>
    </xf>
    <xf numFmtId="171" fontId="8" fillId="0" borderId="5" xfId="6" applyNumberFormat="1" applyFont="1" applyBorder="1" applyAlignment="1">
      <alignment horizontal="right" vertical="center"/>
    </xf>
    <xf numFmtId="171" fontId="8" fillId="0" borderId="0" xfId="4" applyNumberFormat="1" applyFont="1" applyAlignment="1">
      <alignment horizontal="right" vertical="center"/>
    </xf>
    <xf numFmtId="171" fontId="11" fillId="0" borderId="0" xfId="4" applyNumberFormat="1" applyFont="1" applyAlignment="1">
      <alignment horizontal="right" vertical="center"/>
    </xf>
    <xf numFmtId="172" fontId="11" fillId="0" borderId="0" xfId="4" applyNumberFormat="1" applyFont="1" applyAlignment="1">
      <alignment horizontal="right" vertical="center"/>
    </xf>
    <xf numFmtId="0" fontId="11" fillId="0" borderId="0" xfId="11" applyFont="1" applyAlignment="1">
      <alignment horizontal="left" vertical="top" wrapText="1"/>
    </xf>
    <xf numFmtId="171" fontId="8" fillId="0" borderId="5" xfId="6" applyNumberFormat="1" applyFont="1" applyBorder="1" applyAlignment="1">
      <alignment horizontal="right" vertical="center" shrinkToFit="1"/>
    </xf>
    <xf numFmtId="0" fontId="8" fillId="0" borderId="2" xfId="3" applyFont="1" applyBorder="1" applyAlignment="1">
      <alignment horizontal="left" vertical="top" wrapText="1"/>
    </xf>
    <xf numFmtId="171" fontId="8" fillId="0" borderId="2" xfId="6" applyNumberFormat="1" applyFont="1" applyBorder="1" applyAlignment="1">
      <alignment horizontal="right" vertical="center" shrinkToFit="1"/>
    </xf>
    <xf numFmtId="171" fontId="8" fillId="0" borderId="0" xfId="4" applyNumberFormat="1" applyFont="1" applyAlignment="1">
      <alignment horizontal="right"/>
    </xf>
    <xf numFmtId="171" fontId="11" fillId="0" borderId="0" xfId="4" applyNumberFormat="1" applyFont="1" applyAlignment="1">
      <alignment horizontal="right"/>
    </xf>
    <xf numFmtId="172" fontId="11" fillId="0" borderId="0" xfId="4" applyNumberFormat="1" applyFont="1" applyAlignment="1">
      <alignment horizontal="right"/>
    </xf>
    <xf numFmtId="0" fontId="11" fillId="0" borderId="10" xfId="11" applyFont="1" applyBorder="1" applyAlignment="1">
      <alignment horizontal="left" vertical="top" wrapText="1"/>
    </xf>
    <xf numFmtId="0" fontId="8" fillId="0" borderId="8" xfId="12" applyFont="1" applyBorder="1" applyAlignment="1">
      <alignment horizontal="left" vertical="top" wrapText="1"/>
    </xf>
    <xf numFmtId="0" fontId="10" fillId="3" borderId="12" xfId="4" applyFont="1" applyFill="1" applyBorder="1" applyAlignment="1">
      <alignment horizontal="left" vertical="top" wrapText="1"/>
    </xf>
    <xf numFmtId="0" fontId="8" fillId="5" borderId="2" xfId="4" applyFont="1" applyFill="1" applyBorder="1" applyAlignment="1">
      <alignment horizontal="left" vertical="top" wrapText="1"/>
    </xf>
    <xf numFmtId="171" fontId="14" fillId="0" borderId="2" xfId="6" applyNumberFormat="1" applyFont="1" applyBorder="1" applyAlignment="1">
      <alignment horizontal="right" vertical="center"/>
    </xf>
    <xf numFmtId="0" fontId="18" fillId="0" borderId="2" xfId="0" applyFont="1" applyBorder="1" applyAlignment="1">
      <alignment horizontal="left" vertical="top" wrapText="1"/>
    </xf>
    <xf numFmtId="172" fontId="8" fillId="0" borderId="0" xfId="4" applyNumberFormat="1" applyFont="1" applyAlignment="1">
      <alignment horizontal="right" vertical="center"/>
    </xf>
    <xf numFmtId="0" fontId="11" fillId="0" borderId="2" xfId="11" applyFont="1" applyBorder="1" applyAlignment="1">
      <alignment horizontal="left" vertical="top" wrapText="1"/>
    </xf>
    <xf numFmtId="0" fontId="8" fillId="0" borderId="8" xfId="6" applyFont="1" applyBorder="1" applyAlignment="1">
      <alignment horizontal="left" vertical="top" wrapText="1"/>
    </xf>
    <xf numFmtId="0" fontId="8" fillId="0" borderId="2" xfId="13" applyFont="1" applyBorder="1" applyAlignment="1">
      <alignment horizontal="left" vertical="top" wrapText="1"/>
    </xf>
    <xf numFmtId="165" fontId="10" fillId="3" borderId="8" xfId="5" applyNumberFormat="1" applyFont="1" applyFill="1" applyBorder="1" applyAlignment="1" applyProtection="1">
      <alignment horizontal="left" vertical="top" wrapText="1"/>
    </xf>
    <xf numFmtId="0" fontId="21" fillId="0" borderId="2" xfId="0" applyFont="1" applyBorder="1" applyAlignment="1">
      <alignment horizontal="left" vertical="top" wrapText="1"/>
    </xf>
    <xf numFmtId="0" fontId="8" fillId="0" borderId="2" xfId="0" applyFont="1" applyBorder="1" applyAlignment="1">
      <alignment horizontal="left" vertical="top" wrapText="1"/>
    </xf>
    <xf numFmtId="171" fontId="20" fillId="0" borderId="0" xfId="5" applyNumberFormat="1" applyFont="1" applyBorder="1" applyAlignment="1" applyProtection="1">
      <alignment horizontal="right" vertical="top"/>
    </xf>
    <xf numFmtId="171" fontId="10" fillId="0" borderId="0" xfId="5" applyNumberFormat="1" applyFont="1" applyBorder="1" applyAlignment="1" applyProtection="1">
      <alignment horizontal="right" vertical="top"/>
    </xf>
    <xf numFmtId="172" fontId="10" fillId="0" borderId="0" xfId="5" applyNumberFormat="1" applyFont="1" applyBorder="1" applyAlignment="1" applyProtection="1">
      <alignment horizontal="right" vertical="top"/>
    </xf>
    <xf numFmtId="165" fontId="10" fillId="0" borderId="13" xfId="5" applyNumberFormat="1" applyFont="1" applyBorder="1" applyAlignment="1" applyProtection="1">
      <alignment horizontal="left" vertical="top" wrapText="1"/>
    </xf>
    <xf numFmtId="165" fontId="10" fillId="0" borderId="5" xfId="5" applyNumberFormat="1" applyFont="1" applyBorder="1" applyAlignment="1" applyProtection="1">
      <alignment horizontal="left" vertical="top" wrapText="1"/>
    </xf>
    <xf numFmtId="0" fontId="8" fillId="5" borderId="8" xfId="4" applyFont="1" applyFill="1" applyBorder="1" applyAlignment="1">
      <alignment horizontal="left" vertical="top" wrapText="1"/>
    </xf>
    <xf numFmtId="0" fontId="22" fillId="0" borderId="2" xfId="0" applyFont="1" applyBorder="1" applyAlignment="1">
      <alignment horizontal="left" vertical="top" wrapText="1"/>
    </xf>
    <xf numFmtId="171" fontId="8" fillId="0" borderId="2" xfId="7" applyNumberFormat="1" applyFont="1" applyBorder="1" applyAlignment="1">
      <alignment horizontal="right" vertical="center"/>
    </xf>
    <xf numFmtId="0" fontId="11" fillId="4" borderId="2" xfId="4" applyFont="1" applyFill="1" applyBorder="1" applyAlignment="1">
      <alignment horizontal="left" vertical="top" wrapText="1"/>
    </xf>
    <xf numFmtId="0" fontId="11" fillId="0" borderId="13" xfId="11" applyFont="1" applyBorder="1" applyAlignment="1">
      <alignment horizontal="left" vertical="top" wrapText="1"/>
    </xf>
    <xf numFmtId="0" fontId="11" fillId="0" borderId="5" xfId="11" applyFont="1" applyBorder="1" applyAlignment="1">
      <alignment horizontal="left" vertical="top" wrapText="1"/>
    </xf>
    <xf numFmtId="171" fontId="8" fillId="0" borderId="8" xfId="4" applyNumberFormat="1" applyFont="1" applyBorder="1" applyAlignment="1">
      <alignment horizontal="right" vertical="center"/>
    </xf>
    <xf numFmtId="0" fontId="8" fillId="0" borderId="0" xfId="11" applyFont="1" applyAlignment="1">
      <alignment horizontal="left" vertical="top" wrapText="1"/>
    </xf>
    <xf numFmtId="0" fontId="8" fillId="0" borderId="10" xfId="11" applyFont="1" applyBorder="1" applyAlignment="1">
      <alignment horizontal="left" vertical="top" wrapText="1"/>
    </xf>
    <xf numFmtId="171" fontId="8" fillId="0" borderId="6" xfId="4" applyNumberFormat="1" applyFont="1" applyBorder="1" applyAlignment="1">
      <alignment horizontal="right"/>
    </xf>
    <xf numFmtId="171" fontId="11" fillId="0" borderId="6" xfId="4" applyNumberFormat="1" applyFont="1" applyBorder="1" applyAlignment="1">
      <alignment horizontal="right"/>
    </xf>
    <xf numFmtId="172" fontId="11" fillId="0" borderId="6" xfId="4" applyNumberFormat="1" applyFont="1" applyBorder="1" applyAlignment="1">
      <alignment horizontal="right" vertical="center"/>
    </xf>
    <xf numFmtId="0" fontId="8" fillId="0" borderId="6" xfId="11" applyFont="1" applyBorder="1" applyAlignment="1">
      <alignment horizontal="left" vertical="top" wrapText="1"/>
    </xf>
    <xf numFmtId="0" fontId="8" fillId="0" borderId="7" xfId="11" applyFont="1" applyBorder="1" applyAlignment="1">
      <alignment horizontal="left" vertical="top" wrapText="1"/>
    </xf>
    <xf numFmtId="171" fontId="16" fillId="3" borderId="0" xfId="6" applyNumberFormat="1" applyFont="1" applyFill="1" applyAlignment="1">
      <alignment horizontal="right"/>
    </xf>
    <xf numFmtId="172" fontId="16" fillId="3" borderId="0" xfId="6" applyNumberFormat="1" applyFont="1" applyFill="1" applyAlignment="1">
      <alignment horizontal="right"/>
    </xf>
    <xf numFmtId="0" fontId="11" fillId="0" borderId="0" xfId="3" applyFont="1" applyAlignment="1">
      <alignment horizontal="left" vertical="top" wrapText="1"/>
    </xf>
    <xf numFmtId="0" fontId="11" fillId="0" borderId="10" xfId="3" applyFont="1" applyBorder="1" applyAlignment="1">
      <alignment horizontal="left" vertical="top" wrapText="1"/>
    </xf>
    <xf numFmtId="171" fontId="11" fillId="0" borderId="2" xfId="4" applyNumberFormat="1" applyFont="1" applyBorder="1" applyAlignment="1">
      <alignment horizontal="right" vertical="center"/>
    </xf>
    <xf numFmtId="0" fontId="14" fillId="0" borderId="8" xfId="6" applyFont="1" applyBorder="1" applyAlignment="1">
      <alignment horizontal="left" vertical="top" wrapText="1"/>
    </xf>
    <xf numFmtId="0" fontId="18" fillId="0" borderId="0" xfId="8" applyFont="1"/>
    <xf numFmtId="0" fontId="23" fillId="0" borderId="0" xfId="8" applyFont="1"/>
    <xf numFmtId="172" fontId="18" fillId="0" borderId="0" xfId="8" applyNumberFormat="1" applyFont="1"/>
    <xf numFmtId="0" fontId="18" fillId="0" borderId="0" xfId="8" applyFont="1" applyAlignment="1">
      <alignment horizontal="left" vertical="top"/>
    </xf>
    <xf numFmtId="0" fontId="18" fillId="0" borderId="10" xfId="8" applyFont="1" applyBorder="1" applyAlignment="1">
      <alignment horizontal="left" vertical="top"/>
    </xf>
    <xf numFmtId="164" fontId="5" fillId="3" borderId="3" xfId="2" applyNumberFormat="1" applyFont="1" applyFill="1" applyBorder="1" applyAlignment="1">
      <alignment vertical="center" wrapText="1"/>
    </xf>
    <xf numFmtId="164" fontId="5" fillId="3" borderId="14" xfId="2" applyNumberFormat="1" applyFont="1" applyFill="1" applyBorder="1" applyAlignment="1">
      <alignment vertical="center" wrapText="1"/>
    </xf>
    <xf numFmtId="0" fontId="18" fillId="5" borderId="0" xfId="14" applyFont="1" applyFill="1" applyAlignment="1">
      <alignment wrapText="1"/>
    </xf>
    <xf numFmtId="164" fontId="16" fillId="3" borderId="15" xfId="12" applyNumberFormat="1" applyFont="1" applyFill="1" applyBorder="1" applyAlignment="1">
      <alignment vertical="top" wrapText="1"/>
    </xf>
    <xf numFmtId="164" fontId="8" fillId="0" borderId="2" xfId="12" applyNumberFormat="1" applyFont="1" applyBorder="1" applyAlignment="1">
      <alignment vertical="top" wrapText="1"/>
    </xf>
    <xf numFmtId="171" fontId="8" fillId="0" borderId="8" xfId="12" applyNumberFormat="1" applyFont="1" applyBorder="1" applyAlignment="1">
      <alignment vertical="top" wrapText="1"/>
    </xf>
    <xf numFmtId="164" fontId="16" fillId="3" borderId="2" xfId="12" applyNumberFormat="1" applyFont="1" applyFill="1" applyBorder="1" applyAlignment="1">
      <alignment vertical="top" wrapText="1"/>
    </xf>
    <xf numFmtId="0" fontId="8" fillId="0" borderId="0" xfId="12" applyFont="1" applyAlignment="1">
      <alignment wrapText="1"/>
    </xf>
    <xf numFmtId="0" fontId="16" fillId="3" borderId="15" xfId="12" applyFont="1" applyFill="1" applyBorder="1" applyAlignment="1">
      <alignment horizontal="left" vertical="center" wrapText="1"/>
    </xf>
    <xf numFmtId="4" fontId="8" fillId="0" borderId="2" xfId="12" applyNumberFormat="1" applyFont="1" applyBorder="1" applyAlignment="1">
      <alignment horizontal="left" vertical="top" wrapText="1"/>
    </xf>
    <xf numFmtId="0" fontId="16" fillId="3" borderId="2" xfId="12" applyFont="1" applyFill="1" applyBorder="1" applyAlignment="1">
      <alignment horizontal="left" vertical="top" wrapText="1"/>
    </xf>
    <xf numFmtId="4" fontId="8" fillId="0" borderId="0" xfId="12" applyNumberFormat="1" applyFont="1" applyAlignment="1">
      <alignment horizontal="left" vertical="top" wrapText="1"/>
    </xf>
    <xf numFmtId="0" fontId="16" fillId="3" borderId="15" xfId="12" applyFont="1" applyFill="1" applyBorder="1" applyAlignment="1">
      <alignment horizontal="left" vertical="top" wrapText="1"/>
    </xf>
    <xf numFmtId="171" fontId="18" fillId="6" borderId="0" xfId="14" applyNumberFormat="1" applyFont="1" applyFill="1" applyAlignment="1">
      <alignment wrapText="1"/>
    </xf>
    <xf numFmtId="171" fontId="16" fillId="3" borderId="15" xfId="12" applyNumberFormat="1" applyFont="1" applyFill="1" applyBorder="1" applyAlignment="1">
      <alignment horizontal="left" vertical="top" wrapText="1"/>
    </xf>
    <xf numFmtId="171" fontId="8" fillId="5" borderId="8" xfId="12" applyNumberFormat="1" applyFont="1" applyFill="1" applyBorder="1" applyAlignment="1">
      <alignment horizontal="left" vertical="top" wrapText="1"/>
    </xf>
    <xf numFmtId="171" fontId="16" fillId="3" borderId="2" xfId="12" applyNumberFormat="1" applyFont="1" applyFill="1" applyBorder="1" applyAlignment="1">
      <alignment horizontal="left" vertical="top" wrapText="1"/>
    </xf>
    <xf numFmtId="171" fontId="18" fillId="5" borderId="0" xfId="14" applyNumberFormat="1" applyFont="1" applyFill="1" applyAlignment="1">
      <alignment wrapText="1"/>
    </xf>
    <xf numFmtId="171" fontId="11" fillId="4" borderId="15" xfId="12" applyNumberFormat="1" applyFont="1" applyFill="1" applyBorder="1" applyAlignment="1">
      <alignment horizontal="left" vertical="top" wrapText="1"/>
    </xf>
    <xf numFmtId="171" fontId="8" fillId="5" borderId="2" xfId="12" applyNumberFormat="1" applyFont="1" applyFill="1" applyBorder="1" applyAlignment="1">
      <alignment horizontal="left" vertical="top" wrapText="1"/>
    </xf>
    <xf numFmtId="171" fontId="11" fillId="4" borderId="8" xfId="12" applyNumberFormat="1" applyFont="1" applyFill="1" applyBorder="1" applyAlignment="1">
      <alignment horizontal="left" vertical="top" wrapText="1"/>
    </xf>
    <xf numFmtId="171" fontId="11" fillId="4" borderId="15" xfId="12" quotePrefix="1" applyNumberFormat="1" applyFont="1" applyFill="1" applyBorder="1" applyAlignment="1">
      <alignment horizontal="left" vertical="top" wrapText="1"/>
    </xf>
    <xf numFmtId="171" fontId="8" fillId="0" borderId="8" xfId="12" quotePrefix="1" applyNumberFormat="1" applyFont="1" applyBorder="1" applyAlignment="1">
      <alignment horizontal="left" vertical="top" wrapText="1"/>
    </xf>
    <xf numFmtId="171" fontId="11" fillId="4" borderId="8" xfId="12" quotePrefix="1" applyNumberFormat="1" applyFont="1" applyFill="1" applyBorder="1" applyAlignment="1">
      <alignment horizontal="left" vertical="top" wrapText="1"/>
    </xf>
    <xf numFmtId="171" fontId="8" fillId="0" borderId="8" xfId="12" applyNumberFormat="1" applyFont="1" applyBorder="1" applyAlignment="1">
      <alignment horizontal="left" vertical="top" wrapText="1"/>
    </xf>
    <xf numFmtId="171" fontId="8" fillId="0" borderId="16" xfId="12" applyNumberFormat="1" applyFont="1" applyBorder="1" applyAlignment="1">
      <alignment horizontal="left" vertical="top" wrapText="1"/>
    </xf>
    <xf numFmtId="171" fontId="16" fillId="3" borderId="15" xfId="12" applyNumberFormat="1" applyFont="1" applyFill="1" applyBorder="1" applyAlignment="1">
      <alignment horizontal="left" vertical="center" wrapText="1"/>
    </xf>
    <xf numFmtId="171" fontId="8" fillId="0" borderId="2" xfId="12" applyNumberFormat="1" applyFont="1" applyBorder="1" applyAlignment="1">
      <alignment horizontal="left" vertical="top" wrapText="1"/>
    </xf>
    <xf numFmtId="171" fontId="11" fillId="4" borderId="15" xfId="12" quotePrefix="1" applyNumberFormat="1" applyFont="1" applyFill="1" applyBorder="1" applyAlignment="1">
      <alignment horizontal="left" vertical="top"/>
    </xf>
    <xf numFmtId="171" fontId="18" fillId="5" borderId="13" xfId="14" applyNumberFormat="1" applyFont="1" applyFill="1" applyBorder="1" applyAlignment="1">
      <alignment wrapText="1"/>
    </xf>
    <xf numFmtId="4" fontId="11" fillId="4" borderId="2" xfId="12" quotePrefix="1" applyNumberFormat="1" applyFont="1" applyFill="1" applyBorder="1" applyAlignment="1">
      <alignment horizontal="right" vertical="top" wrapText="1"/>
    </xf>
    <xf numFmtId="171" fontId="24" fillId="5" borderId="13" xfId="14" applyNumberFormat="1" applyFont="1" applyFill="1" applyBorder="1" applyAlignment="1">
      <alignment wrapText="1"/>
    </xf>
    <xf numFmtId="171" fontId="16" fillId="3" borderId="2" xfId="15" applyNumberFormat="1" applyFont="1" applyFill="1" applyBorder="1" applyAlignment="1">
      <alignment horizontal="left" vertical="top" wrapText="1"/>
    </xf>
    <xf numFmtId="171" fontId="18" fillId="0" borderId="0" xfId="14" applyNumberFormat="1" applyFont="1" applyAlignment="1">
      <alignment wrapText="1"/>
    </xf>
    <xf numFmtId="164" fontId="16" fillId="3" borderId="15" xfId="12" quotePrefix="1" applyNumberFormat="1" applyFont="1" applyFill="1" applyBorder="1" applyAlignment="1">
      <alignment horizontal="left" vertical="top" wrapText="1"/>
    </xf>
    <xf numFmtId="4" fontId="8" fillId="0" borderId="2" xfId="12" quotePrefix="1" applyNumberFormat="1" applyFont="1" applyBorder="1" applyAlignment="1">
      <alignment horizontal="left" vertical="top" wrapText="1"/>
    </xf>
    <xf numFmtId="164" fontId="16" fillId="3" borderId="2" xfId="12" quotePrefix="1" applyNumberFormat="1" applyFont="1" applyFill="1" applyBorder="1" applyAlignment="1">
      <alignment horizontal="left" vertical="top" wrapText="1"/>
    </xf>
    <xf numFmtId="171" fontId="11" fillId="0" borderId="16" xfId="14" applyNumberFormat="1" applyFont="1" applyBorder="1" applyAlignment="1">
      <alignment horizontal="left" vertical="center" wrapText="1"/>
    </xf>
    <xf numFmtId="171" fontId="8" fillId="0" borderId="2" xfId="2" applyNumberFormat="1" applyFont="1" applyBorder="1" applyAlignment="1">
      <alignment horizontal="left" vertical="top" wrapText="1"/>
    </xf>
    <xf numFmtId="171" fontId="8" fillId="0" borderId="8" xfId="14" applyNumberFormat="1" applyFont="1" applyBorder="1" applyAlignment="1">
      <alignment vertical="top" wrapText="1"/>
    </xf>
    <xf numFmtId="0" fontId="18" fillId="5" borderId="0" xfId="0" applyFont="1" applyFill="1" applyAlignment="1">
      <alignment wrapText="1"/>
    </xf>
    <xf numFmtId="9" fontId="0" fillId="0" borderId="0" xfId="1" applyFont="1" applyProtection="1"/>
    <xf numFmtId="0" fontId="16" fillId="3" borderId="17" xfId="0" applyFont="1" applyFill="1" applyBorder="1" applyAlignment="1">
      <alignment horizontal="center" vertical="center"/>
    </xf>
    <xf numFmtId="9" fontId="16" fillId="3" borderId="17" xfId="1" applyFont="1" applyFill="1" applyBorder="1" applyAlignment="1" applyProtection="1">
      <alignment horizontal="center" vertical="center"/>
    </xf>
    <xf numFmtId="0" fontId="25" fillId="3" borderId="0" xfId="0" applyFont="1" applyFill="1" applyAlignment="1">
      <alignment vertical="center"/>
    </xf>
    <xf numFmtId="9" fontId="16" fillId="3" borderId="1" xfId="1" applyFont="1" applyFill="1" applyBorder="1" applyAlignment="1" applyProtection="1">
      <alignment horizontal="center" vertical="center" wrapText="1"/>
    </xf>
    <xf numFmtId="0" fontId="5" fillId="3" borderId="18" xfId="2" applyFont="1" applyFill="1" applyBorder="1" applyAlignment="1">
      <alignment horizontal="center" vertical="center" wrapText="1"/>
    </xf>
    <xf numFmtId="0" fontId="16" fillId="3" borderId="8" xfId="0" applyFont="1" applyFill="1" applyBorder="1" applyAlignment="1">
      <alignment horizontal="center" vertical="center"/>
    </xf>
    <xf numFmtId="9" fontId="16" fillId="3" borderId="8" xfId="1" applyFont="1" applyFill="1" applyBorder="1" applyAlignment="1" applyProtection="1">
      <alignment horizontal="center" vertical="center"/>
    </xf>
    <xf numFmtId="0" fontId="25" fillId="3" borderId="13" xfId="0" applyFont="1" applyFill="1" applyBorder="1" applyAlignment="1">
      <alignment vertical="center"/>
    </xf>
    <xf numFmtId="167" fontId="18" fillId="5" borderId="0" xfId="14" applyNumberFormat="1" applyFont="1" applyFill="1"/>
    <xf numFmtId="9" fontId="18" fillId="5" borderId="0" xfId="1" applyFont="1" applyFill="1" applyProtection="1"/>
    <xf numFmtId="0" fontId="18" fillId="5" borderId="0" xfId="14" applyFont="1" applyFill="1"/>
    <xf numFmtId="167" fontId="26" fillId="3" borderId="6" xfId="12" applyNumberFormat="1" applyFont="1" applyFill="1" applyBorder="1" applyAlignment="1">
      <alignment vertical="top"/>
    </xf>
    <xf numFmtId="9" fontId="26" fillId="3" borderId="6" xfId="1" applyFont="1" applyFill="1" applyBorder="1" applyAlignment="1" applyProtection="1">
      <alignment vertical="top"/>
    </xf>
    <xf numFmtId="0" fontId="8" fillId="3" borderId="6" xfId="12" applyFont="1" applyFill="1" applyBorder="1" applyAlignment="1">
      <alignment horizontal="left" vertical="top" wrapText="1"/>
    </xf>
    <xf numFmtId="171" fontId="8" fillId="0" borderId="2" xfId="12" applyNumberFormat="1" applyFont="1" applyBorder="1" applyAlignment="1">
      <alignment horizontal="right" vertical="top" wrapText="1"/>
    </xf>
    <xf numFmtId="171" fontId="11" fillId="4" borderId="2" xfId="12" applyNumberFormat="1" applyFont="1" applyFill="1" applyBorder="1" applyAlignment="1">
      <alignment horizontal="right" vertical="top" wrapText="1"/>
    </xf>
    <xf numFmtId="9" fontId="8" fillId="0" borderId="2" xfId="1" applyFont="1" applyBorder="1" applyAlignment="1" applyProtection="1">
      <alignment horizontal="right" vertical="top" wrapText="1"/>
    </xf>
    <xf numFmtId="0" fontId="18" fillId="0" borderId="2" xfId="0" applyFont="1" applyBorder="1" applyAlignment="1">
      <alignment horizontal="justify" vertical="top"/>
    </xf>
    <xf numFmtId="0" fontId="8" fillId="0" borderId="15" xfId="12" applyFont="1" applyBorder="1" applyAlignment="1">
      <alignment horizontal="left" vertical="top" wrapText="1"/>
    </xf>
    <xf numFmtId="171" fontId="8" fillId="0" borderId="8" xfId="12" applyNumberFormat="1" applyFont="1" applyBorder="1" applyAlignment="1">
      <alignment horizontal="right" vertical="top" wrapText="1"/>
    </xf>
    <xf numFmtId="171" fontId="11" fillId="4" borderId="8" xfId="12" applyNumberFormat="1" applyFont="1" applyFill="1" applyBorder="1" applyAlignment="1">
      <alignment horizontal="right" vertical="top" wrapText="1"/>
    </xf>
    <xf numFmtId="171" fontId="16" fillId="3" borderId="2" xfId="12" applyNumberFormat="1" applyFont="1" applyFill="1" applyBorder="1" applyAlignment="1">
      <alignment vertical="top"/>
    </xf>
    <xf numFmtId="9" fontId="16" fillId="3" borderId="2" xfId="1" applyFont="1" applyFill="1" applyBorder="1" applyAlignment="1" applyProtection="1">
      <alignment vertical="top"/>
    </xf>
    <xf numFmtId="0" fontId="8" fillId="3" borderId="2" xfId="12" applyFont="1" applyFill="1" applyBorder="1" applyAlignment="1">
      <alignment vertical="top" wrapText="1"/>
    </xf>
    <xf numFmtId="0" fontId="8" fillId="3" borderId="15" xfId="12" applyFont="1" applyFill="1" applyBorder="1" applyAlignment="1">
      <alignment vertical="top" wrapText="1"/>
    </xf>
    <xf numFmtId="171" fontId="8" fillId="0" borderId="0" xfId="12" applyNumberFormat="1" applyFont="1" applyAlignment="1">
      <alignment horizontal="left" vertical="top" wrapText="1"/>
    </xf>
    <xf numFmtId="9" fontId="8" fillId="0" borderId="0" xfId="1" applyFont="1" applyBorder="1" applyAlignment="1" applyProtection="1">
      <alignment horizontal="left" vertical="top" wrapText="1"/>
    </xf>
    <xf numFmtId="0" fontId="8" fillId="5" borderId="0" xfId="12" applyFont="1" applyFill="1"/>
    <xf numFmtId="171" fontId="16" fillId="3" borderId="6" xfId="9" applyNumberFormat="1" applyFont="1" applyFill="1" applyBorder="1" applyAlignment="1" applyProtection="1">
      <alignment horizontal="center" vertical="center" wrapText="1"/>
    </xf>
    <xf numFmtId="9" fontId="16" fillId="3" borderId="6" xfId="1" applyFont="1" applyFill="1" applyBorder="1" applyAlignment="1" applyProtection="1">
      <alignment horizontal="center" vertical="center" wrapText="1"/>
    </xf>
    <xf numFmtId="0" fontId="8" fillId="0" borderId="15" xfId="10" applyFont="1" applyBorder="1" applyAlignment="1">
      <alignment horizontal="left" vertical="top" wrapText="1"/>
    </xf>
    <xf numFmtId="0" fontId="8" fillId="0" borderId="2" xfId="12" applyFont="1" applyBorder="1" applyAlignment="1">
      <alignment horizontal="left" vertical="top" wrapText="1"/>
    </xf>
    <xf numFmtId="0" fontId="8" fillId="3" borderId="2" xfId="12" applyFont="1" applyFill="1" applyBorder="1" applyAlignment="1">
      <alignment horizontal="left" vertical="top" wrapText="1"/>
    </xf>
    <xf numFmtId="0" fontId="8" fillId="3" borderId="15" xfId="12" applyFont="1" applyFill="1" applyBorder="1" applyAlignment="1">
      <alignment horizontal="left" vertical="top" wrapText="1"/>
    </xf>
    <xf numFmtId="171" fontId="8" fillId="0" borderId="0" xfId="12" applyNumberFormat="1" applyFont="1" applyAlignment="1">
      <alignment horizontal="right" vertical="top" wrapText="1"/>
    </xf>
    <xf numFmtId="9" fontId="8" fillId="0" borderId="0" xfId="1" applyFont="1" applyBorder="1" applyAlignment="1" applyProtection="1">
      <alignment horizontal="right" vertical="top" wrapText="1"/>
    </xf>
    <xf numFmtId="0" fontId="8" fillId="0" borderId="0" xfId="12" applyFont="1" applyAlignment="1">
      <alignment horizontal="left" vertical="top" wrapText="1"/>
    </xf>
    <xf numFmtId="171" fontId="16" fillId="3" borderId="6" xfId="12" applyNumberFormat="1" applyFont="1" applyFill="1" applyBorder="1" applyAlignment="1">
      <alignment vertical="top" wrapText="1"/>
    </xf>
    <xf numFmtId="9" fontId="16" fillId="3" borderId="6" xfId="1" applyFont="1" applyFill="1" applyBorder="1" applyAlignment="1" applyProtection="1">
      <alignment vertical="top" wrapText="1"/>
    </xf>
    <xf numFmtId="171" fontId="16" fillId="3" borderId="2" xfId="12" applyNumberFormat="1" applyFont="1" applyFill="1" applyBorder="1" applyAlignment="1">
      <alignment vertical="top" wrapText="1"/>
    </xf>
    <xf numFmtId="9" fontId="16" fillId="3" borderId="2" xfId="1" applyFont="1" applyFill="1" applyBorder="1" applyAlignment="1" applyProtection="1">
      <alignment vertical="top" wrapText="1"/>
    </xf>
    <xf numFmtId="171" fontId="18" fillId="6" borderId="0" xfId="14" applyNumberFormat="1" applyFont="1" applyFill="1"/>
    <xf numFmtId="9" fontId="18" fillId="6" borderId="0" xfId="1" applyFont="1" applyFill="1" applyProtection="1"/>
    <xf numFmtId="171" fontId="18" fillId="5" borderId="0" xfId="14" applyNumberFormat="1" applyFont="1" applyFill="1"/>
    <xf numFmtId="171" fontId="16" fillId="3" borderId="6" xfId="9" applyNumberFormat="1" applyFont="1" applyFill="1" applyBorder="1" applyAlignment="1" applyProtection="1">
      <alignment horizontal="right" vertical="top" wrapText="1"/>
    </xf>
    <xf numFmtId="9" fontId="16" fillId="3" borderId="6" xfId="1" applyFont="1" applyFill="1" applyBorder="1" applyAlignment="1" applyProtection="1">
      <alignment horizontal="right" vertical="top" wrapText="1"/>
    </xf>
    <xf numFmtId="171" fontId="18" fillId="3" borderId="6" xfId="14" applyNumberFormat="1" applyFont="1" applyFill="1" applyBorder="1"/>
    <xf numFmtId="171" fontId="16" fillId="3" borderId="2" xfId="12" applyNumberFormat="1" applyFont="1" applyFill="1" applyBorder="1" applyAlignment="1">
      <alignment horizontal="right" vertical="top" wrapText="1"/>
    </xf>
    <xf numFmtId="9" fontId="16" fillId="3" borderId="2" xfId="1" applyFont="1" applyFill="1" applyBorder="1" applyAlignment="1" applyProtection="1">
      <alignment horizontal="right" vertical="top" wrapText="1"/>
    </xf>
    <xf numFmtId="171" fontId="18" fillId="3" borderId="0" xfId="14" applyNumberFormat="1" applyFont="1" applyFill="1"/>
    <xf numFmtId="171" fontId="11" fillId="4" borderId="6" xfId="12" applyNumberFormat="1" applyFont="1" applyFill="1" applyBorder="1" applyAlignment="1">
      <alignment vertical="top" wrapText="1"/>
    </xf>
    <xf numFmtId="9" fontId="11" fillId="4" borderId="6" xfId="1" applyFont="1" applyFill="1" applyBorder="1" applyAlignment="1" applyProtection="1">
      <alignment vertical="top" wrapText="1"/>
    </xf>
    <xf numFmtId="171" fontId="16" fillId="4" borderId="6" xfId="12" applyNumberFormat="1" applyFont="1" applyFill="1" applyBorder="1" applyAlignment="1">
      <alignment vertical="top" wrapText="1"/>
    </xf>
    <xf numFmtId="171" fontId="8" fillId="0" borderId="15" xfId="12" applyNumberFormat="1" applyFont="1" applyBorder="1" applyAlignment="1">
      <alignment horizontal="left" vertical="top" wrapText="1"/>
    </xf>
    <xf numFmtId="171" fontId="11" fillId="4" borderId="8" xfId="12" applyNumberFormat="1" applyFont="1" applyFill="1" applyBorder="1" applyAlignment="1">
      <alignment vertical="top" wrapText="1"/>
    </xf>
    <xf numFmtId="9" fontId="11" fillId="4" borderId="8" xfId="1" applyFont="1" applyFill="1" applyBorder="1" applyAlignment="1" applyProtection="1">
      <alignment vertical="top" wrapText="1"/>
    </xf>
    <xf numFmtId="171" fontId="18" fillId="4" borderId="2" xfId="14" applyNumberFormat="1" applyFont="1" applyFill="1" applyBorder="1"/>
    <xf numFmtId="171" fontId="18" fillId="4" borderId="15" xfId="14" applyNumberFormat="1" applyFont="1" applyFill="1" applyBorder="1"/>
    <xf numFmtId="171" fontId="18" fillId="4" borderId="6" xfId="14" applyNumberFormat="1" applyFont="1" applyFill="1" applyBorder="1"/>
    <xf numFmtId="171" fontId="18" fillId="3" borderId="2" xfId="14" applyNumberFormat="1" applyFont="1" applyFill="1" applyBorder="1"/>
    <xf numFmtId="171" fontId="18" fillId="3" borderId="15" xfId="14" applyNumberFormat="1" applyFont="1" applyFill="1" applyBorder="1"/>
    <xf numFmtId="171" fontId="16" fillId="3" borderId="6" xfId="9" applyNumberFormat="1" applyFont="1" applyFill="1" applyBorder="1" applyAlignment="1" applyProtection="1">
      <alignment horizontal="center" vertical="center"/>
    </xf>
    <xf numFmtId="9" fontId="16" fillId="3" borderId="6" xfId="1" applyFont="1" applyFill="1" applyBorder="1" applyAlignment="1" applyProtection="1">
      <alignment horizontal="center" vertical="center"/>
    </xf>
    <xf numFmtId="171" fontId="8" fillId="0" borderId="13" xfId="12" applyNumberFormat="1" applyFont="1" applyBorder="1" applyAlignment="1">
      <alignment horizontal="right" vertical="top" wrapText="1"/>
    </xf>
    <xf numFmtId="171" fontId="11" fillId="4" borderId="13" xfId="12" applyNumberFormat="1" applyFont="1" applyFill="1" applyBorder="1" applyAlignment="1">
      <alignment horizontal="right" vertical="top" wrapText="1"/>
    </xf>
    <xf numFmtId="171" fontId="8" fillId="0" borderId="6" xfId="12" applyNumberFormat="1" applyFont="1" applyBorder="1" applyAlignment="1">
      <alignment horizontal="right" vertical="top" wrapText="1"/>
    </xf>
    <xf numFmtId="9" fontId="8" fillId="0" borderId="6" xfId="1" applyFont="1" applyBorder="1" applyAlignment="1" applyProtection="1">
      <alignment horizontal="right" vertical="top" wrapText="1"/>
    </xf>
    <xf numFmtId="171" fontId="8" fillId="0" borderId="13" xfId="12" applyNumberFormat="1" applyFont="1" applyBorder="1" applyAlignment="1">
      <alignment horizontal="left" vertical="top" wrapText="1"/>
    </xf>
    <xf numFmtId="171" fontId="8" fillId="5" borderId="16" xfId="12" applyNumberFormat="1" applyFont="1" applyFill="1" applyBorder="1" applyAlignment="1">
      <alignment horizontal="left" vertical="top" wrapText="1"/>
    </xf>
    <xf numFmtId="171" fontId="16" fillId="3" borderId="6" xfId="12" applyNumberFormat="1" applyFont="1" applyFill="1" applyBorder="1" applyAlignment="1">
      <alignment horizontal="center" vertical="center" wrapText="1"/>
    </xf>
    <xf numFmtId="171" fontId="18" fillId="5" borderId="13" xfId="14" applyNumberFormat="1" applyFont="1" applyFill="1" applyBorder="1"/>
    <xf numFmtId="9" fontId="18" fillId="5" borderId="13" xfId="1" applyFont="1" applyFill="1" applyBorder="1" applyProtection="1"/>
    <xf numFmtId="171" fontId="18" fillId="0" borderId="0" xfId="14" applyNumberFormat="1" applyFont="1"/>
    <xf numFmtId="171" fontId="11" fillId="0" borderId="2" xfId="12" applyNumberFormat="1" applyFont="1" applyBorder="1" applyAlignment="1">
      <alignment vertical="top" wrapText="1"/>
    </xf>
    <xf numFmtId="171" fontId="11" fillId="4" borderId="2" xfId="12" applyNumberFormat="1" applyFont="1" applyFill="1" applyBorder="1" applyAlignment="1">
      <alignment vertical="top" wrapText="1"/>
    </xf>
    <xf numFmtId="9" fontId="11" fillId="4" borderId="2" xfId="1" applyFont="1" applyFill="1" applyBorder="1" applyAlignment="1" applyProtection="1">
      <alignment vertical="top" wrapText="1"/>
    </xf>
    <xf numFmtId="171" fontId="24" fillId="5" borderId="13" xfId="14" applyNumberFormat="1" applyFont="1" applyFill="1" applyBorder="1"/>
    <xf numFmtId="9" fontId="24" fillId="5" borderId="13" xfId="1" applyFont="1" applyFill="1" applyBorder="1" applyProtection="1"/>
    <xf numFmtId="171" fontId="24" fillId="0" borderId="0" xfId="14" applyNumberFormat="1" applyFont="1"/>
    <xf numFmtId="171" fontId="16" fillId="3" borderId="2" xfId="16" applyNumberFormat="1" applyFont="1" applyFill="1" applyBorder="1" applyAlignment="1" applyProtection="1">
      <alignment horizontal="right" vertical="top"/>
    </xf>
    <xf numFmtId="9" fontId="16" fillId="3" borderId="2" xfId="1" applyFont="1" applyFill="1" applyBorder="1" applyAlignment="1" applyProtection="1">
      <alignment horizontal="right" vertical="top"/>
    </xf>
    <xf numFmtId="9" fontId="18" fillId="0" borderId="0" xfId="1" applyFont="1" applyFill="1" applyProtection="1"/>
    <xf numFmtId="171" fontId="11" fillId="0" borderId="13" xfId="9" applyNumberFormat="1" applyFont="1" applyFill="1" applyBorder="1" applyAlignment="1" applyProtection="1">
      <alignment horizontal="center" vertical="top" wrapText="1"/>
    </xf>
    <xf numFmtId="9" fontId="11" fillId="0" borderId="13" xfId="1" applyFont="1" applyFill="1" applyBorder="1" applyAlignment="1" applyProtection="1">
      <alignment horizontal="center" vertical="top" wrapText="1"/>
    </xf>
    <xf numFmtId="171" fontId="8" fillId="4" borderId="2" xfId="12" applyNumberFormat="1" applyFont="1" applyFill="1" applyBorder="1" applyAlignment="1">
      <alignment horizontal="right" vertical="top" wrapText="1"/>
    </xf>
    <xf numFmtId="171" fontId="8" fillId="0" borderId="8" xfId="14" applyNumberFormat="1" applyFont="1" applyBorder="1" applyAlignment="1">
      <alignment horizontal="right" vertical="top" wrapText="1"/>
    </xf>
    <xf numFmtId="9" fontId="8" fillId="0" borderId="8" xfId="1" applyFont="1" applyFill="1" applyBorder="1" applyAlignment="1" applyProtection="1">
      <alignment horizontal="right" vertical="top" wrapText="1"/>
    </xf>
    <xf numFmtId="167" fontId="18" fillId="5" borderId="0" xfId="0" applyNumberFormat="1" applyFont="1" applyFill="1"/>
    <xf numFmtId="173" fontId="0" fillId="0" borderId="0" xfId="0" applyNumberFormat="1"/>
    <xf numFmtId="2" fontId="0" fillId="0" borderId="0" xfId="0" applyNumberFormat="1" applyAlignment="1">
      <alignment wrapText="1"/>
    </xf>
    <xf numFmtId="2" fontId="5" fillId="3" borderId="4" xfId="2" applyNumberFormat="1" applyFont="1" applyFill="1" applyBorder="1" applyAlignment="1">
      <alignment vertical="center" wrapText="1"/>
    </xf>
    <xf numFmtId="2" fontId="6" fillId="3" borderId="1" xfId="2" applyNumberFormat="1" applyFont="1" applyFill="1" applyBorder="1" applyAlignment="1">
      <alignment horizontal="center" vertical="center" wrapText="1"/>
    </xf>
    <xf numFmtId="2" fontId="5" fillId="3" borderId="14" xfId="2" applyNumberFormat="1" applyFont="1" applyFill="1" applyBorder="1" applyAlignment="1">
      <alignment vertical="center" wrapText="1"/>
    </xf>
    <xf numFmtId="2" fontId="18" fillId="5" borderId="0" xfId="0" applyNumberFormat="1" applyFont="1" applyFill="1" applyAlignment="1">
      <alignment horizontal="left" vertical="top" wrapText="1"/>
    </xf>
    <xf numFmtId="2" fontId="16" fillId="3" borderId="15" xfId="2" applyNumberFormat="1" applyFont="1" applyFill="1" applyBorder="1" applyAlignment="1">
      <alignment horizontal="left" vertical="center" wrapText="1"/>
    </xf>
    <xf numFmtId="2" fontId="11" fillId="5" borderId="0" xfId="2" applyNumberFormat="1" applyFont="1" applyFill="1" applyAlignment="1">
      <alignment horizontal="left" vertical="top" wrapText="1"/>
    </xf>
    <xf numFmtId="2" fontId="11" fillId="4" borderId="15" xfId="12" quotePrefix="1" applyNumberFormat="1" applyFont="1" applyFill="1" applyBorder="1" applyAlignment="1">
      <alignment horizontal="left" vertical="top" wrapText="1"/>
    </xf>
    <xf numFmtId="2" fontId="8" fillId="0" borderId="2" xfId="2" applyNumberFormat="1" applyFont="1" applyBorder="1" applyAlignment="1">
      <alignment horizontal="left" vertical="top" wrapText="1"/>
    </xf>
    <xf numFmtId="2" fontId="11" fillId="4" borderId="8" xfId="12" quotePrefix="1" applyNumberFormat="1" applyFont="1" applyFill="1" applyBorder="1" applyAlignment="1">
      <alignment horizontal="left" vertical="top" wrapText="1"/>
    </xf>
    <xf numFmtId="2" fontId="8" fillId="0" borderId="8" xfId="12" applyNumberFormat="1" applyFont="1" applyBorder="1" applyAlignment="1">
      <alignment horizontal="left" vertical="top" wrapText="1"/>
    </xf>
    <xf numFmtId="2" fontId="18" fillId="5" borderId="0" xfId="14" applyNumberFormat="1" applyFont="1" applyFill="1" applyAlignment="1">
      <alignment wrapText="1"/>
    </xf>
    <xf numFmtId="2" fontId="16" fillId="3" borderId="2" xfId="2" applyNumberFormat="1" applyFont="1" applyFill="1" applyBorder="1" applyAlignment="1">
      <alignment horizontal="left" vertical="center" wrapText="1"/>
    </xf>
    <xf numFmtId="2" fontId="11" fillId="5" borderId="0" xfId="15" applyNumberFormat="1" applyFont="1" applyFill="1" applyAlignment="1">
      <alignment wrapText="1"/>
    </xf>
    <xf numFmtId="2" fontId="16" fillId="3" borderId="15" xfId="2" applyNumberFormat="1" applyFont="1" applyFill="1" applyBorder="1" applyAlignment="1">
      <alignment horizontal="left" vertical="top" wrapText="1"/>
    </xf>
    <xf numFmtId="2" fontId="8" fillId="0" borderId="8" xfId="15" applyNumberFormat="1" applyFont="1" applyBorder="1" applyAlignment="1">
      <alignment horizontal="left" vertical="top" wrapText="1"/>
    </xf>
    <xf numFmtId="2" fontId="18" fillId="0" borderId="2" xfId="15" applyNumberFormat="1" applyFont="1" applyBorder="1" applyAlignment="1">
      <alignment horizontal="left" vertical="top" wrapText="1"/>
    </xf>
    <xf numFmtId="2" fontId="16" fillId="3" borderId="2" xfId="15" applyNumberFormat="1" applyFont="1" applyFill="1" applyBorder="1" applyAlignment="1">
      <alignment horizontal="left" vertical="top" wrapText="1"/>
    </xf>
    <xf numFmtId="2" fontId="16" fillId="3" borderId="15" xfId="12" applyNumberFormat="1" applyFont="1" applyFill="1" applyBorder="1" applyAlignment="1">
      <alignment vertical="top" wrapText="1"/>
    </xf>
    <xf numFmtId="2" fontId="11" fillId="4" borderId="15" xfId="12" applyNumberFormat="1" applyFont="1" applyFill="1" applyBorder="1" applyAlignment="1">
      <alignment horizontal="left" vertical="top" wrapText="1"/>
    </xf>
    <xf numFmtId="2" fontId="11" fillId="4" borderId="8" xfId="12" applyNumberFormat="1" applyFont="1" applyFill="1" applyBorder="1" applyAlignment="1">
      <alignment horizontal="left" vertical="top" wrapText="1"/>
    </xf>
    <xf numFmtId="2" fontId="11" fillId="4" borderId="15" xfId="12" applyNumberFormat="1" applyFont="1" applyFill="1" applyBorder="1" applyAlignment="1">
      <alignment vertical="top" wrapText="1"/>
    </xf>
    <xf numFmtId="2" fontId="18" fillId="0" borderId="0" xfId="2" applyNumberFormat="1" applyFont="1" applyAlignment="1">
      <alignment wrapText="1"/>
    </xf>
    <xf numFmtId="2" fontId="8" fillId="0" borderId="0" xfId="2" applyNumberFormat="1" applyFont="1" applyAlignment="1">
      <alignment vertical="top" wrapText="1"/>
    </xf>
    <xf numFmtId="2" fontId="16" fillId="3" borderId="2" xfId="2" applyNumberFormat="1" applyFont="1" applyFill="1" applyBorder="1" applyAlignment="1">
      <alignment horizontal="left" vertical="top" wrapText="1"/>
    </xf>
    <xf numFmtId="2" fontId="8" fillId="0" borderId="8" xfId="11" applyNumberFormat="1" applyFont="1" applyBorder="1" applyAlignment="1">
      <alignment horizontal="left" vertical="top" wrapText="1"/>
    </xf>
    <xf numFmtId="2" fontId="8" fillId="0" borderId="2" xfId="11" applyNumberFormat="1" applyFont="1" applyBorder="1" applyAlignment="1">
      <alignment horizontal="left" vertical="top" wrapText="1"/>
    </xf>
    <xf numFmtId="2" fontId="11" fillId="4" borderId="2" xfId="12" applyNumberFormat="1" applyFont="1" applyFill="1" applyBorder="1" applyAlignment="1">
      <alignment horizontal="left" vertical="top" wrapText="1"/>
    </xf>
    <xf numFmtId="2" fontId="8" fillId="0" borderId="8" xfId="2" applyNumberFormat="1" applyFont="1" applyBorder="1" applyAlignment="1">
      <alignment horizontal="left" vertical="top" wrapText="1"/>
    </xf>
    <xf numFmtId="2" fontId="8" fillId="0" borderId="8" xfId="2" applyNumberFormat="1" applyFont="1" applyBorder="1" applyAlignment="1">
      <alignment vertical="top" wrapText="1"/>
    </xf>
    <xf numFmtId="2" fontId="8" fillId="0" borderId="2" xfId="2" applyNumberFormat="1" applyFont="1" applyBorder="1" applyAlignment="1">
      <alignment vertical="top" wrapText="1"/>
    </xf>
    <xf numFmtId="2" fontId="8" fillId="5" borderId="8" xfId="2" applyNumberFormat="1" applyFont="1" applyFill="1" applyBorder="1" applyAlignment="1">
      <alignment horizontal="left" vertical="top" wrapText="1"/>
    </xf>
    <xf numFmtId="2" fontId="8" fillId="0" borderId="0" xfId="2" applyNumberFormat="1" applyFont="1" applyAlignment="1">
      <alignment horizontal="left" vertical="top" wrapText="1"/>
    </xf>
    <xf numFmtId="2" fontId="16" fillId="3" borderId="15" xfId="15" applyNumberFormat="1" applyFont="1" applyFill="1" applyBorder="1" applyAlignment="1">
      <alignment horizontal="left" vertical="top" wrapText="1"/>
    </xf>
    <xf numFmtId="2" fontId="16" fillId="0" borderId="0" xfId="15" applyNumberFormat="1" applyFont="1" applyAlignment="1">
      <alignment horizontal="left" vertical="top" wrapText="1"/>
    </xf>
    <xf numFmtId="2" fontId="16" fillId="3" borderId="0" xfId="15" applyNumberFormat="1" applyFont="1" applyFill="1" applyAlignment="1">
      <alignment horizontal="left" vertical="top" wrapText="1"/>
    </xf>
    <xf numFmtId="2" fontId="18" fillId="5" borderId="0" xfId="0" applyNumberFormat="1" applyFont="1" applyFill="1" applyAlignment="1">
      <alignment wrapText="1"/>
    </xf>
    <xf numFmtId="2" fontId="18" fillId="5" borderId="8" xfId="0" applyNumberFormat="1" applyFont="1" applyFill="1" applyBorder="1" applyAlignment="1">
      <alignment vertical="top" wrapText="1"/>
    </xf>
    <xf numFmtId="2" fontId="8" fillId="0" borderId="0" xfId="0" applyNumberFormat="1" applyFont="1" applyAlignment="1">
      <alignment vertical="top" wrapText="1"/>
    </xf>
    <xf numFmtId="2" fontId="18" fillId="0" borderId="8" xfId="0" applyNumberFormat="1" applyFont="1" applyBorder="1" applyAlignment="1">
      <alignment vertical="top" wrapText="1"/>
    </xf>
    <xf numFmtId="2" fontId="16" fillId="0" borderId="0" xfId="12" applyNumberFormat="1" applyFont="1" applyAlignment="1">
      <alignment horizontal="left" vertical="top" wrapText="1"/>
    </xf>
    <xf numFmtId="2" fontId="16" fillId="3" borderId="2" xfId="15" applyNumberFormat="1" applyFont="1" applyFill="1" applyBorder="1" applyAlignment="1">
      <alignment horizontal="left" vertical="top"/>
    </xf>
    <xf numFmtId="2" fontId="18" fillId="5" borderId="2" xfId="0" applyNumberFormat="1" applyFont="1" applyFill="1" applyBorder="1" applyAlignment="1">
      <alignment vertical="top" wrapText="1"/>
    </xf>
    <xf numFmtId="2" fontId="18" fillId="5" borderId="12" xfId="0" applyNumberFormat="1" applyFont="1" applyFill="1" applyBorder="1" applyAlignment="1">
      <alignment vertical="top" wrapText="1"/>
    </xf>
    <xf numFmtId="2" fontId="11" fillId="4" borderId="2" xfId="12" quotePrefix="1" applyNumberFormat="1" applyFont="1" applyFill="1" applyBorder="1" applyAlignment="1">
      <alignment horizontal="right" vertical="top" wrapText="1"/>
    </xf>
    <xf numFmtId="2" fontId="24" fillId="5" borderId="0" xfId="0" applyNumberFormat="1" applyFont="1" applyFill="1" applyAlignment="1">
      <alignment horizontal="left" vertical="top" wrapText="1"/>
    </xf>
    <xf numFmtId="2" fontId="16" fillId="3" borderId="15" xfId="12" applyNumberFormat="1" applyFont="1" applyFill="1" applyBorder="1" applyAlignment="1">
      <alignment vertical="top"/>
    </xf>
    <xf numFmtId="2" fontId="8" fillId="0" borderId="2" xfId="12" applyNumberFormat="1" applyFont="1" applyBorder="1" applyAlignment="1">
      <alignment horizontal="left" vertical="top" wrapText="1"/>
    </xf>
    <xf numFmtId="2" fontId="16" fillId="3" borderId="2" xfId="12" applyNumberFormat="1" applyFont="1" applyFill="1" applyBorder="1" applyAlignment="1">
      <alignment vertical="top"/>
    </xf>
    <xf numFmtId="174" fontId="0" fillId="0" borderId="0" xfId="0" applyNumberFormat="1"/>
    <xf numFmtId="172" fontId="0" fillId="0" borderId="0" xfId="0" applyNumberFormat="1"/>
    <xf numFmtId="2" fontId="0" fillId="0" borderId="0" xfId="0" applyNumberFormat="1"/>
    <xf numFmtId="174" fontId="16" fillId="3" borderId="19" xfId="9" applyNumberFormat="1" applyFont="1" applyFill="1" applyBorder="1" applyAlignment="1" applyProtection="1">
      <alignment vertical="center" wrapText="1"/>
    </xf>
    <xf numFmtId="174" fontId="16" fillId="3" borderId="20" xfId="9" applyNumberFormat="1" applyFont="1" applyFill="1" applyBorder="1" applyAlignment="1" applyProtection="1">
      <alignment vertical="center" wrapText="1"/>
    </xf>
    <xf numFmtId="174" fontId="16" fillId="3" borderId="21" xfId="9" applyNumberFormat="1" applyFont="1" applyFill="1" applyBorder="1" applyAlignment="1" applyProtection="1">
      <alignment vertical="center" wrapText="1"/>
    </xf>
    <xf numFmtId="172" fontId="16" fillId="3" borderId="12" xfId="9" applyNumberFormat="1" applyFont="1" applyFill="1" applyBorder="1" applyAlignment="1" applyProtection="1">
      <alignment horizontal="center" vertical="center" wrapText="1"/>
    </xf>
    <xf numFmtId="2" fontId="16" fillId="3" borderId="12" xfId="2" applyNumberFormat="1" applyFont="1" applyFill="1" applyBorder="1" applyAlignment="1">
      <alignment horizontal="center" vertical="center" wrapText="1"/>
    </xf>
    <xf numFmtId="2" fontId="16" fillId="3" borderId="19" xfId="2" applyNumberFormat="1" applyFont="1" applyFill="1" applyBorder="1" applyAlignment="1">
      <alignment horizontal="center" vertical="center" wrapText="1"/>
    </xf>
    <xf numFmtId="174" fontId="16" fillId="3" borderId="1" xfId="9" applyNumberFormat="1" applyFont="1" applyFill="1" applyBorder="1" applyAlignment="1" applyProtection="1">
      <alignment horizontal="center" vertical="center" wrapText="1"/>
    </xf>
    <xf numFmtId="2" fontId="5" fillId="3" borderId="1" xfId="2" applyNumberFormat="1" applyFont="1" applyFill="1" applyBorder="1" applyAlignment="1">
      <alignment horizontal="center" vertical="center" wrapText="1"/>
    </xf>
    <xf numFmtId="2" fontId="5" fillId="3" borderId="18" xfId="2" applyNumberFormat="1" applyFont="1" applyFill="1" applyBorder="1" applyAlignment="1">
      <alignment horizontal="center" vertical="center" wrapText="1"/>
    </xf>
    <xf numFmtId="174" fontId="16" fillId="3" borderId="8" xfId="0" applyNumberFormat="1" applyFont="1" applyFill="1" applyBorder="1" applyAlignment="1">
      <alignment horizontal="center" vertical="center"/>
    </xf>
    <xf numFmtId="172" fontId="25" fillId="3" borderId="16" xfId="0" applyNumberFormat="1" applyFont="1" applyFill="1" applyBorder="1" applyAlignment="1">
      <alignment vertical="center"/>
    </xf>
    <xf numFmtId="2" fontId="25" fillId="3" borderId="13" xfId="0" applyNumberFormat="1" applyFont="1" applyFill="1" applyBorder="1" applyAlignment="1">
      <alignment vertical="center"/>
    </xf>
    <xf numFmtId="174" fontId="18" fillId="5" borderId="0" xfId="0" applyNumberFormat="1" applyFont="1" applyFill="1" applyAlignment="1">
      <alignment horizontal="right" vertical="top"/>
    </xf>
    <xf numFmtId="174" fontId="23" fillId="5" borderId="0" xfId="0" applyNumberFormat="1" applyFont="1" applyFill="1" applyAlignment="1">
      <alignment horizontal="right" vertical="top"/>
    </xf>
    <xf numFmtId="172" fontId="18" fillId="5" borderId="0" xfId="0" applyNumberFormat="1" applyFont="1" applyFill="1" applyAlignment="1">
      <alignment horizontal="right" vertical="top"/>
    </xf>
    <xf numFmtId="174" fontId="16" fillId="3" borderId="6" xfId="9" applyNumberFormat="1" applyFont="1" applyFill="1" applyBorder="1" applyAlignment="1" applyProtection="1">
      <alignment horizontal="center" vertical="center"/>
    </xf>
    <xf numFmtId="172" fontId="16" fillId="3" borderId="6" xfId="9" applyNumberFormat="1" applyFont="1" applyFill="1" applyBorder="1" applyAlignment="1" applyProtection="1">
      <alignment horizontal="right" vertical="center"/>
    </xf>
    <xf numFmtId="2" fontId="16" fillId="3" borderId="6" xfId="2" applyNumberFormat="1" applyFont="1" applyFill="1" applyBorder="1" applyAlignment="1">
      <alignment horizontal="center" vertical="center" wrapText="1"/>
    </xf>
    <xf numFmtId="174" fontId="11" fillId="5" borderId="0" xfId="2" applyNumberFormat="1" applyFont="1" applyFill="1" applyAlignment="1">
      <alignment vertical="top"/>
    </xf>
    <xf numFmtId="172" fontId="11" fillId="5" borderId="0" xfId="2" applyNumberFormat="1" applyFont="1" applyFill="1" applyAlignment="1">
      <alignment horizontal="right" vertical="top"/>
    </xf>
    <xf numFmtId="174" fontId="11" fillId="4" borderId="6" xfId="12" applyNumberFormat="1" applyFont="1" applyFill="1" applyBorder="1" applyAlignment="1">
      <alignment vertical="top" wrapText="1"/>
    </xf>
    <xf numFmtId="172" fontId="11" fillId="4" borderId="6" xfId="12" applyNumberFormat="1" applyFont="1" applyFill="1" applyBorder="1" applyAlignment="1">
      <alignment vertical="top"/>
    </xf>
    <xf numFmtId="2" fontId="18" fillId="4" borderId="6" xfId="14" applyNumberFormat="1" applyFont="1" applyFill="1" applyBorder="1"/>
    <xf numFmtId="174" fontId="8" fillId="5" borderId="2" xfId="17" applyNumberFormat="1" applyFont="1" applyFill="1" applyBorder="1" applyAlignment="1" applyProtection="1">
      <alignment horizontal="right" vertical="top"/>
    </xf>
    <xf numFmtId="174" fontId="11" fillId="4" borderId="2" xfId="17" applyNumberFormat="1" applyFont="1" applyFill="1" applyBorder="1" applyAlignment="1" applyProtection="1">
      <alignment horizontal="right" vertical="top"/>
    </xf>
    <xf numFmtId="174" fontId="8" fillId="0" borderId="8" xfId="18" applyNumberFormat="1" applyFont="1" applyFill="1" applyBorder="1" applyAlignment="1" applyProtection="1">
      <alignment horizontal="right" vertical="top"/>
    </xf>
    <xf numFmtId="172" fontId="8" fillId="0" borderId="2" xfId="17" applyNumberFormat="1" applyFont="1" applyFill="1" applyBorder="1" applyAlignment="1" applyProtection="1">
      <alignment horizontal="right" vertical="top"/>
    </xf>
    <xf numFmtId="2" fontId="8" fillId="0" borderId="2" xfId="10" applyNumberFormat="1" applyFont="1" applyBorder="1" applyAlignment="1">
      <alignment horizontal="left" vertical="top" wrapText="1"/>
    </xf>
    <xf numFmtId="2" fontId="8" fillId="0" borderId="15" xfId="12" applyNumberFormat="1" applyFont="1" applyBorder="1" applyAlignment="1">
      <alignment horizontal="left" vertical="top" wrapText="1"/>
    </xf>
    <xf numFmtId="174" fontId="11" fillId="4" borderId="8" xfId="12" applyNumberFormat="1" applyFont="1" applyFill="1" applyBorder="1" applyAlignment="1">
      <alignment vertical="top" wrapText="1"/>
    </xf>
    <xf numFmtId="172" fontId="11" fillId="4" borderId="8" xfId="12" applyNumberFormat="1" applyFont="1" applyFill="1" applyBorder="1" applyAlignment="1">
      <alignment vertical="top"/>
    </xf>
    <xf numFmtId="2" fontId="18" fillId="4" borderId="2" xfId="14" applyNumberFormat="1" applyFont="1" applyFill="1" applyBorder="1"/>
    <xf numFmtId="2" fontId="18" fillId="4" borderId="15" xfId="14" applyNumberFormat="1" applyFont="1" applyFill="1" applyBorder="1"/>
    <xf numFmtId="174" fontId="8" fillId="0" borderId="8" xfId="12" applyNumberFormat="1" applyFont="1" applyBorder="1" applyAlignment="1">
      <alignment horizontal="right" vertical="top" wrapText="1"/>
    </xf>
    <xf numFmtId="174" fontId="11" fillId="4" borderId="8" xfId="12" applyNumberFormat="1" applyFont="1" applyFill="1" applyBorder="1" applyAlignment="1">
      <alignment horizontal="right" vertical="top" wrapText="1"/>
    </xf>
    <xf numFmtId="172" fontId="8" fillId="0" borderId="8" xfId="12" applyNumberFormat="1" applyFont="1" applyBorder="1" applyAlignment="1">
      <alignment horizontal="right" vertical="top"/>
    </xf>
    <xf numFmtId="2" fontId="8" fillId="0" borderId="16" xfId="12" applyNumberFormat="1" applyFont="1" applyBorder="1" applyAlignment="1">
      <alignment horizontal="left" vertical="top" wrapText="1"/>
    </xf>
    <xf numFmtId="174" fontId="18" fillId="5" borderId="0" xfId="14" applyNumberFormat="1" applyFont="1" applyFill="1"/>
    <xf numFmtId="172" fontId="18" fillId="5" borderId="0" xfId="14" applyNumberFormat="1" applyFont="1" applyFill="1"/>
    <xf numFmtId="2" fontId="18" fillId="5" borderId="0" xfId="14" applyNumberFormat="1" applyFont="1" applyFill="1"/>
    <xf numFmtId="174" fontId="16" fillId="3" borderId="2" xfId="2" applyNumberFormat="1" applyFont="1" applyFill="1" applyBorder="1" applyAlignment="1">
      <alignment vertical="top"/>
    </xf>
    <xf numFmtId="172" fontId="16" fillId="3" borderId="2" xfId="2" applyNumberFormat="1" applyFont="1" applyFill="1" applyBorder="1" applyAlignment="1">
      <alignment horizontal="right" vertical="top"/>
    </xf>
    <xf numFmtId="2" fontId="8" fillId="3" borderId="2" xfId="2" applyNumberFormat="1" applyFont="1" applyFill="1" applyBorder="1" applyAlignment="1">
      <alignment horizontal="left" vertical="top" wrapText="1"/>
    </xf>
    <xf numFmtId="2" fontId="8" fillId="3" borderId="15" xfId="2" applyNumberFormat="1" applyFont="1" applyFill="1" applyBorder="1" applyAlignment="1">
      <alignment horizontal="left" vertical="top" wrapText="1"/>
    </xf>
    <xf numFmtId="174" fontId="11" fillId="5" borderId="0" xfId="15" applyNumberFormat="1" applyFont="1" applyFill="1" applyAlignment="1">
      <alignment horizontal="right"/>
    </xf>
    <xf numFmtId="172" fontId="11" fillId="5" borderId="0" xfId="15" applyNumberFormat="1" applyFont="1" applyFill="1" applyAlignment="1">
      <alignment horizontal="right"/>
    </xf>
    <xf numFmtId="2" fontId="8" fillId="5" borderId="0" xfId="15" applyNumberFormat="1" applyFont="1" applyFill="1" applyAlignment="1">
      <alignment wrapText="1"/>
    </xf>
    <xf numFmtId="2" fontId="8" fillId="5" borderId="0" xfId="15" applyNumberFormat="1" applyFont="1" applyFill="1" applyAlignment="1">
      <alignment vertical="top" wrapText="1"/>
    </xf>
    <xf numFmtId="174" fontId="16" fillId="3" borderId="6" xfId="9" applyNumberFormat="1" applyFont="1" applyFill="1" applyBorder="1" applyAlignment="1" applyProtection="1">
      <alignment horizontal="right" vertical="top"/>
    </xf>
    <xf numFmtId="172" fontId="16" fillId="3" borderId="6" xfId="9" applyNumberFormat="1" applyFont="1" applyFill="1" applyBorder="1" applyAlignment="1" applyProtection="1">
      <alignment horizontal="right"/>
    </xf>
    <xf numFmtId="2" fontId="16" fillId="3" borderId="6" xfId="2" applyNumberFormat="1" applyFont="1" applyFill="1" applyBorder="1" applyAlignment="1">
      <alignment horizontal="left" vertical="top" wrapText="1"/>
    </xf>
    <xf numFmtId="2" fontId="16" fillId="3" borderId="6" xfId="17" applyNumberFormat="1" applyFont="1" applyFill="1" applyBorder="1" applyAlignment="1" applyProtection="1">
      <alignment horizontal="left" vertical="top" wrapText="1"/>
    </xf>
    <xf numFmtId="174" fontId="8" fillId="5" borderId="8" xfId="17" applyNumberFormat="1" applyFont="1" applyFill="1" applyBorder="1" applyAlignment="1" applyProtection="1">
      <alignment horizontal="right" vertical="top"/>
    </xf>
    <xf numFmtId="174" fontId="11" fillId="4" borderId="8" xfId="17" applyNumberFormat="1" applyFont="1" applyFill="1" applyBorder="1" applyAlignment="1" applyProtection="1">
      <alignment horizontal="right" vertical="top"/>
    </xf>
    <xf numFmtId="172" fontId="8" fillId="5" borderId="8" xfId="17" applyNumberFormat="1" applyFont="1" applyFill="1" applyBorder="1" applyAlignment="1" applyProtection="1">
      <alignment horizontal="right" vertical="top"/>
    </xf>
    <xf numFmtId="2" fontId="8" fillId="0" borderId="8" xfId="10" applyNumberFormat="1" applyFont="1" applyBorder="1" applyAlignment="1">
      <alignment horizontal="left" vertical="top" wrapText="1"/>
    </xf>
    <xf numFmtId="174" fontId="16" fillId="3" borderId="2" xfId="17" applyNumberFormat="1" applyFont="1" applyFill="1" applyBorder="1" applyAlignment="1" applyProtection="1">
      <alignment horizontal="right" vertical="top"/>
    </xf>
    <xf numFmtId="172" fontId="16" fillId="3" borderId="2" xfId="17" applyNumberFormat="1" applyFont="1" applyFill="1" applyBorder="1" applyAlignment="1" applyProtection="1">
      <alignment horizontal="right" vertical="top"/>
    </xf>
    <xf numFmtId="2" fontId="26" fillId="3" borderId="2" xfId="17" applyNumberFormat="1" applyFont="1" applyFill="1" applyBorder="1" applyAlignment="1" applyProtection="1">
      <alignment horizontal="left" vertical="top" wrapText="1"/>
    </xf>
    <xf numFmtId="2" fontId="26" fillId="3" borderId="15" xfId="17" applyNumberFormat="1" applyFont="1" applyFill="1" applyBorder="1" applyAlignment="1" applyProtection="1">
      <alignment horizontal="left" vertical="top" wrapText="1"/>
    </xf>
    <xf numFmtId="174" fontId="16" fillId="3" borderId="6" xfId="12" applyNumberFormat="1" applyFont="1" applyFill="1" applyBorder="1" applyAlignment="1">
      <alignment vertical="top" wrapText="1"/>
    </xf>
    <xf numFmtId="172" fontId="16" fillId="3" borderId="6" xfId="12" applyNumberFormat="1" applyFont="1" applyFill="1" applyBorder="1" applyAlignment="1">
      <alignment vertical="top" wrapText="1"/>
    </xf>
    <xf numFmtId="2" fontId="16" fillId="3" borderId="6" xfId="12" applyNumberFormat="1" applyFont="1" applyFill="1" applyBorder="1" applyAlignment="1">
      <alignment vertical="top" wrapText="1"/>
    </xf>
    <xf numFmtId="172" fontId="11" fillId="4" borderId="6" xfId="12" applyNumberFormat="1" applyFont="1" applyFill="1" applyBorder="1" applyAlignment="1">
      <alignment vertical="top" wrapText="1"/>
    </xf>
    <xf numFmtId="2" fontId="11" fillId="4" borderId="6" xfId="12" applyNumberFormat="1" applyFont="1" applyFill="1" applyBorder="1" applyAlignment="1">
      <alignment vertical="top" wrapText="1"/>
    </xf>
    <xf numFmtId="174" fontId="16" fillId="3" borderId="2" xfId="15" applyNumberFormat="1" applyFont="1" applyFill="1" applyBorder="1" applyAlignment="1">
      <alignment horizontal="right" vertical="top"/>
    </xf>
    <xf numFmtId="2" fontId="8" fillId="3" borderId="2" xfId="15" applyNumberFormat="1" applyFont="1" applyFill="1" applyBorder="1" applyAlignment="1">
      <alignment horizontal="left" vertical="top" wrapText="1"/>
    </xf>
    <xf numFmtId="2" fontId="8" fillId="3" borderId="15" xfId="15" applyNumberFormat="1" applyFont="1" applyFill="1" applyBorder="1" applyAlignment="1">
      <alignment horizontal="left" vertical="top" wrapText="1"/>
    </xf>
    <xf numFmtId="174" fontId="16" fillId="3" borderId="6" xfId="9" applyNumberFormat="1" applyFont="1" applyFill="1" applyBorder="1" applyAlignment="1" applyProtection="1">
      <alignment horizontal="right" vertical="top" wrapText="1"/>
    </xf>
    <xf numFmtId="172" fontId="26" fillId="3" borderId="6" xfId="2" applyNumberFormat="1" applyFont="1" applyFill="1" applyBorder="1" applyAlignment="1">
      <alignment horizontal="right" wrapText="1"/>
    </xf>
    <xf numFmtId="2" fontId="16" fillId="3" borderId="6" xfId="2" applyNumberFormat="1" applyFont="1" applyFill="1" applyBorder="1" applyAlignment="1">
      <alignment horizontal="center" vertical="top" wrapText="1"/>
    </xf>
    <xf numFmtId="174" fontId="18" fillId="0" borderId="0" xfId="2" applyNumberFormat="1" applyFont="1"/>
    <xf numFmtId="174" fontId="23" fillId="0" borderId="0" xfId="2" applyNumberFormat="1" applyFont="1"/>
    <xf numFmtId="172" fontId="18" fillId="0" borderId="0" xfId="2" applyNumberFormat="1" applyFont="1" applyAlignment="1">
      <alignment horizontal="right"/>
    </xf>
    <xf numFmtId="2" fontId="18" fillId="0" borderId="0" xfId="2" applyNumberFormat="1" applyFont="1" applyAlignment="1">
      <alignment vertical="top" wrapText="1"/>
    </xf>
    <xf numFmtId="174" fontId="11" fillId="4" borderId="6" xfId="12" applyNumberFormat="1" applyFont="1" applyFill="1" applyBorder="1" applyAlignment="1">
      <alignment vertical="top"/>
    </xf>
    <xf numFmtId="2" fontId="11" fillId="4" borderId="6" xfId="12" applyNumberFormat="1" applyFont="1" applyFill="1" applyBorder="1" applyAlignment="1">
      <alignment vertical="top"/>
    </xf>
    <xf numFmtId="174" fontId="8" fillId="0" borderId="2" xfId="11" applyNumberFormat="1" applyFont="1" applyBorder="1" applyAlignment="1">
      <alignment horizontal="right" vertical="top"/>
    </xf>
    <xf numFmtId="174" fontId="11" fillId="4" borderId="2" xfId="19" applyNumberFormat="1" applyFont="1" applyFill="1" applyBorder="1" applyAlignment="1">
      <alignment horizontal="right" vertical="top"/>
    </xf>
    <xf numFmtId="172" fontId="8" fillId="0" borderId="2" xfId="19" applyNumberFormat="1" applyFont="1" applyBorder="1" applyAlignment="1">
      <alignment horizontal="right" vertical="top"/>
    </xf>
    <xf numFmtId="2" fontId="22" fillId="5" borderId="2" xfId="2" applyNumberFormat="1" applyFont="1" applyFill="1" applyBorder="1" applyAlignment="1">
      <alignment vertical="top" wrapText="1"/>
    </xf>
    <xf numFmtId="2" fontId="22" fillId="5" borderId="15" xfId="2" applyNumberFormat="1" applyFont="1" applyFill="1" applyBorder="1" applyAlignment="1">
      <alignment vertical="top" wrapText="1"/>
    </xf>
    <xf numFmtId="2" fontId="8" fillId="5" borderId="15" xfId="2" applyNumberFormat="1" applyFont="1" applyFill="1" applyBorder="1" applyAlignment="1">
      <alignment horizontal="left" vertical="top" wrapText="1"/>
    </xf>
    <xf numFmtId="2" fontId="8" fillId="5" borderId="2" xfId="2" applyNumberFormat="1" applyFont="1" applyFill="1" applyBorder="1" applyAlignment="1">
      <alignment horizontal="left" vertical="top" wrapText="1"/>
    </xf>
    <xf numFmtId="2" fontId="8" fillId="5" borderId="15" xfId="11" applyNumberFormat="1" applyFont="1" applyFill="1" applyBorder="1" applyAlignment="1">
      <alignment horizontal="left" vertical="top" wrapText="1"/>
    </xf>
    <xf numFmtId="2" fontId="8" fillId="5" borderId="15" xfId="17" applyNumberFormat="1" applyFont="1" applyFill="1" applyBorder="1" applyAlignment="1" applyProtection="1">
      <alignment horizontal="left" vertical="top" wrapText="1"/>
    </xf>
    <xf numFmtId="2" fontId="25" fillId="4" borderId="2" xfId="0" applyNumberFormat="1" applyFont="1" applyFill="1" applyBorder="1"/>
    <xf numFmtId="2" fontId="25" fillId="4" borderId="15" xfId="0" applyNumberFormat="1" applyFont="1" applyFill="1" applyBorder="1"/>
    <xf numFmtId="174" fontId="11" fillId="0" borderId="0" xfId="17" applyNumberFormat="1" applyFont="1" applyFill="1" applyBorder="1" applyAlignment="1" applyProtection="1">
      <alignment horizontal="right" vertical="top"/>
    </xf>
    <xf numFmtId="172" fontId="11" fillId="0" borderId="0" xfId="17" applyNumberFormat="1" applyFont="1" applyFill="1" applyBorder="1" applyAlignment="1" applyProtection="1">
      <alignment horizontal="right" vertical="top" wrapText="1"/>
    </xf>
    <xf numFmtId="174" fontId="16" fillId="3" borderId="2" xfId="17" applyNumberFormat="1" applyFont="1" applyFill="1" applyBorder="1" applyAlignment="1" applyProtection="1">
      <alignment horizontal="right" vertical="top" wrapText="1"/>
    </xf>
    <xf numFmtId="172" fontId="16" fillId="3" borderId="2" xfId="17" applyNumberFormat="1" applyFont="1" applyFill="1" applyBorder="1" applyAlignment="1" applyProtection="1">
      <alignment horizontal="right" vertical="top" wrapText="1"/>
    </xf>
    <xf numFmtId="2" fontId="26" fillId="0" borderId="0" xfId="17" applyNumberFormat="1" applyFont="1" applyFill="1" applyBorder="1" applyAlignment="1" applyProtection="1">
      <alignment horizontal="left" vertical="top" wrapText="1"/>
    </xf>
    <xf numFmtId="174" fontId="11" fillId="4" borderId="6" xfId="12" applyNumberFormat="1" applyFont="1" applyFill="1" applyBorder="1" applyAlignment="1">
      <alignment horizontal="right" vertical="top"/>
    </xf>
    <xf numFmtId="172" fontId="11" fillId="4" borderId="6" xfId="12" applyNumberFormat="1" applyFont="1" applyFill="1" applyBorder="1" applyAlignment="1">
      <alignment horizontal="right" vertical="top"/>
    </xf>
    <xf numFmtId="2" fontId="8" fillId="4" borderId="6" xfId="11" applyNumberFormat="1" applyFont="1" applyFill="1" applyBorder="1" applyAlignment="1">
      <alignment horizontal="left" vertical="top" wrapText="1"/>
    </xf>
    <xf numFmtId="174" fontId="8" fillId="0" borderId="8" xfId="11" applyNumberFormat="1" applyFont="1" applyBorder="1" applyAlignment="1">
      <alignment horizontal="right" vertical="top"/>
    </xf>
    <xf numFmtId="174" fontId="11" fillId="4" borderId="8" xfId="11" applyNumberFormat="1" applyFont="1" applyFill="1" applyBorder="1" applyAlignment="1">
      <alignment horizontal="right" vertical="top"/>
    </xf>
    <xf numFmtId="172" fontId="8" fillId="0" borderId="8" xfId="11" applyNumberFormat="1" applyFont="1" applyBorder="1" applyAlignment="1">
      <alignment horizontal="right" vertical="top"/>
    </xf>
    <xf numFmtId="2" fontId="8" fillId="0" borderId="16" xfId="11" applyNumberFormat="1" applyFont="1" applyBorder="1" applyAlignment="1">
      <alignment horizontal="left" vertical="top" wrapText="1"/>
    </xf>
    <xf numFmtId="174" fontId="11" fillId="4" borderId="2" xfId="11" applyNumberFormat="1" applyFont="1" applyFill="1" applyBorder="1" applyAlignment="1">
      <alignment horizontal="right" vertical="top"/>
    </xf>
    <xf numFmtId="172" fontId="8" fillId="0" borderId="2" xfId="11" applyNumberFormat="1" applyFont="1" applyBorder="1" applyAlignment="1">
      <alignment horizontal="right" vertical="top"/>
    </xf>
    <xf numFmtId="2" fontId="8" fillId="0" borderId="15" xfId="11" applyNumberFormat="1" applyFont="1" applyBorder="1" applyAlignment="1">
      <alignment horizontal="left" vertical="top" wrapText="1"/>
    </xf>
    <xf numFmtId="174" fontId="11" fillId="4" borderId="2" xfId="12" applyNumberFormat="1" applyFont="1" applyFill="1" applyBorder="1" applyAlignment="1">
      <alignment vertical="top" wrapText="1"/>
    </xf>
    <xf numFmtId="172" fontId="11" fillId="4" borderId="2" xfId="12" applyNumberFormat="1" applyFont="1" applyFill="1" applyBorder="1" applyAlignment="1">
      <alignment vertical="top"/>
    </xf>
    <xf numFmtId="2" fontId="11" fillId="4" borderId="2" xfId="12" applyNumberFormat="1" applyFont="1" applyFill="1" applyBorder="1" applyAlignment="1">
      <alignment vertical="top" wrapText="1"/>
    </xf>
    <xf numFmtId="2" fontId="8" fillId="4" borderId="15" xfId="11" applyNumberFormat="1" applyFont="1" applyFill="1" applyBorder="1" applyAlignment="1">
      <alignment horizontal="left" vertical="top" wrapText="1"/>
    </xf>
    <xf numFmtId="174" fontId="16" fillId="3" borderId="6" xfId="2" applyNumberFormat="1" applyFont="1" applyFill="1" applyBorder="1" applyAlignment="1">
      <alignment horizontal="right" vertical="top"/>
    </xf>
    <xf numFmtId="172" fontId="16" fillId="3" borderId="6" xfId="9" applyNumberFormat="1" applyFont="1" applyFill="1" applyBorder="1" applyAlignment="1" applyProtection="1">
      <alignment horizontal="right" vertical="top"/>
    </xf>
    <xf numFmtId="2" fontId="16" fillId="3" borderId="6" xfId="2" applyNumberFormat="1" applyFont="1" applyFill="1" applyBorder="1" applyAlignment="1">
      <alignment vertical="top" wrapText="1"/>
    </xf>
    <xf numFmtId="2" fontId="8" fillId="0" borderId="16" xfId="2" applyNumberFormat="1" applyFont="1" applyBorder="1" applyAlignment="1">
      <alignment vertical="top" wrapText="1"/>
    </xf>
    <xf numFmtId="2" fontId="8" fillId="0" borderId="15" xfId="2" applyNumberFormat="1" applyFont="1" applyBorder="1" applyAlignment="1">
      <alignment vertical="top" wrapText="1"/>
    </xf>
    <xf numFmtId="2" fontId="16" fillId="3" borderId="2" xfId="2" applyNumberFormat="1" applyFont="1" applyFill="1" applyBorder="1" applyAlignment="1">
      <alignment vertical="top" wrapText="1"/>
    </xf>
    <xf numFmtId="2" fontId="16" fillId="3" borderId="15" xfId="2" applyNumberFormat="1" applyFont="1" applyFill="1" applyBorder="1" applyAlignment="1">
      <alignment vertical="top" wrapText="1"/>
    </xf>
    <xf numFmtId="2" fontId="18" fillId="0" borderId="0" xfId="0" applyNumberFormat="1" applyFont="1" applyAlignment="1">
      <alignment vertical="top" wrapText="1"/>
    </xf>
    <xf numFmtId="172" fontId="26" fillId="3" borderId="6" xfId="2" applyNumberFormat="1" applyFont="1" applyFill="1" applyBorder="1" applyAlignment="1">
      <alignment horizontal="right" vertical="top"/>
    </xf>
    <xf numFmtId="2" fontId="16" fillId="4" borderId="6" xfId="12" applyNumberFormat="1" applyFont="1" applyFill="1" applyBorder="1" applyAlignment="1">
      <alignment vertical="top" wrapText="1"/>
    </xf>
    <xf numFmtId="2" fontId="16" fillId="4" borderId="2" xfId="12" applyNumberFormat="1" applyFont="1" applyFill="1" applyBorder="1" applyAlignment="1">
      <alignment vertical="top" wrapText="1"/>
    </xf>
    <xf numFmtId="2" fontId="16" fillId="4" borderId="15" xfId="12" applyNumberFormat="1" applyFont="1" applyFill="1" applyBorder="1" applyAlignment="1">
      <alignment vertical="top" wrapText="1"/>
    </xf>
    <xf numFmtId="174" fontId="11" fillId="4" borderId="8" xfId="18" applyNumberFormat="1" applyFont="1" applyFill="1" applyBorder="1" applyAlignment="1" applyProtection="1">
      <alignment horizontal="right" vertical="top"/>
    </xf>
    <xf numFmtId="172" fontId="8" fillId="0" borderId="8" xfId="17" applyNumberFormat="1" applyFont="1" applyFill="1" applyBorder="1" applyAlignment="1" applyProtection="1">
      <alignment horizontal="right" vertical="top" wrapText="1"/>
    </xf>
    <xf numFmtId="174" fontId="8" fillId="0" borderId="2" xfId="18" applyNumberFormat="1" applyFont="1" applyFill="1" applyBorder="1" applyAlignment="1" applyProtection="1">
      <alignment horizontal="right" vertical="top"/>
    </xf>
    <xf numFmtId="174" fontId="11" fillId="4" borderId="2" xfId="18" applyNumberFormat="1" applyFont="1" applyFill="1" applyBorder="1" applyAlignment="1" applyProtection="1">
      <alignment horizontal="right" vertical="top"/>
    </xf>
    <xf numFmtId="172" fontId="8" fillId="0" borderId="2" xfId="17" applyNumberFormat="1" applyFont="1" applyFill="1" applyBorder="1" applyAlignment="1" applyProtection="1">
      <alignment horizontal="right" vertical="top" wrapText="1"/>
    </xf>
    <xf numFmtId="172" fontId="11" fillId="4" borderId="2" xfId="12" applyNumberFormat="1" applyFont="1" applyFill="1" applyBorder="1" applyAlignment="1">
      <alignment horizontal="right" vertical="top"/>
    </xf>
    <xf numFmtId="2" fontId="8" fillId="4" borderId="2" xfId="11" applyNumberFormat="1" applyFont="1" applyFill="1" applyBorder="1" applyAlignment="1">
      <alignment horizontal="left" vertical="top" wrapText="1"/>
    </xf>
    <xf numFmtId="172" fontId="11" fillId="4" borderId="6" xfId="12" applyNumberFormat="1" applyFont="1" applyFill="1" applyBorder="1" applyAlignment="1">
      <alignment horizontal="right" vertical="top" wrapText="1"/>
    </xf>
    <xf numFmtId="2" fontId="18" fillId="0" borderId="16" xfId="0" applyNumberFormat="1" applyFont="1" applyBorder="1" applyAlignment="1">
      <alignment vertical="top" wrapText="1"/>
    </xf>
    <xf numFmtId="2" fontId="18" fillId="0" borderId="15" xfId="0" applyNumberFormat="1" applyFont="1" applyBorder="1" applyAlignment="1">
      <alignment vertical="top" wrapText="1"/>
    </xf>
    <xf numFmtId="2" fontId="8" fillId="0" borderId="2" xfId="15" applyNumberFormat="1" applyFont="1" applyBorder="1" applyAlignment="1">
      <alignment vertical="top" wrapText="1"/>
    </xf>
    <xf numFmtId="2" fontId="16" fillId="3" borderId="0" xfId="2" applyNumberFormat="1" applyFont="1" applyFill="1" applyAlignment="1">
      <alignment vertical="top" wrapText="1"/>
    </xf>
    <xf numFmtId="2" fontId="8" fillId="0" borderId="8" xfId="15" applyNumberFormat="1" applyFont="1" applyBorder="1" applyAlignment="1">
      <alignment vertical="top" wrapText="1"/>
    </xf>
    <xf numFmtId="174" fontId="8" fillId="0" borderId="0" xfId="17" applyNumberFormat="1" applyFont="1" applyFill="1" applyBorder="1" applyAlignment="1" applyProtection="1">
      <alignment horizontal="right" vertical="top"/>
    </xf>
    <xf numFmtId="172" fontId="8" fillId="0" borderId="0" xfId="17" applyNumberFormat="1" applyFont="1" applyFill="1" applyBorder="1" applyAlignment="1" applyProtection="1">
      <alignment horizontal="right" vertical="top"/>
    </xf>
    <xf numFmtId="2" fontId="8" fillId="0" borderId="0" xfId="17" applyNumberFormat="1" applyFont="1" applyFill="1" applyBorder="1" applyAlignment="1" applyProtection="1">
      <alignment vertical="top" wrapText="1"/>
    </xf>
    <xf numFmtId="2" fontId="8" fillId="0" borderId="8" xfId="17" applyNumberFormat="1" applyFont="1" applyFill="1" applyBorder="1" applyAlignment="1" applyProtection="1">
      <alignment vertical="top" wrapText="1"/>
    </xf>
    <xf numFmtId="2" fontId="8" fillId="0" borderId="16" xfId="17" applyNumberFormat="1" applyFont="1" applyFill="1" applyBorder="1" applyAlignment="1" applyProtection="1">
      <alignment vertical="top" wrapText="1"/>
    </xf>
    <xf numFmtId="2" fontId="8" fillId="0" borderId="2" xfId="17" applyNumberFormat="1" applyFont="1" applyFill="1" applyBorder="1" applyAlignment="1" applyProtection="1">
      <alignment vertical="top" wrapText="1"/>
    </xf>
    <xf numFmtId="2" fontId="8" fillId="0" borderId="15" xfId="17" applyNumberFormat="1" applyFont="1" applyFill="1" applyBorder="1" applyAlignment="1" applyProtection="1">
      <alignment vertical="top" wrapText="1"/>
    </xf>
    <xf numFmtId="2" fontId="18" fillId="0" borderId="2" xfId="0" applyNumberFormat="1" applyFont="1" applyBorder="1" applyAlignment="1">
      <alignment vertical="top" wrapText="1"/>
    </xf>
    <xf numFmtId="174" fontId="16" fillId="3" borderId="6" xfId="18" applyNumberFormat="1" applyFont="1" applyFill="1" applyBorder="1" applyAlignment="1" applyProtection="1">
      <alignment horizontal="right" vertical="top"/>
    </xf>
    <xf numFmtId="172" fontId="16" fillId="3" borderId="6" xfId="17" applyNumberFormat="1" applyFont="1" applyFill="1" applyBorder="1" applyAlignment="1" applyProtection="1">
      <alignment horizontal="right" vertical="top"/>
    </xf>
    <xf numFmtId="174" fontId="16" fillId="0" borderId="0" xfId="18" applyNumberFormat="1" applyFont="1" applyFill="1" applyBorder="1" applyAlignment="1" applyProtection="1">
      <alignment horizontal="right" vertical="top"/>
    </xf>
    <xf numFmtId="172" fontId="26" fillId="0" borderId="0" xfId="17" applyNumberFormat="1" applyFont="1" applyFill="1" applyBorder="1" applyAlignment="1" applyProtection="1">
      <alignment horizontal="right" vertical="top"/>
    </xf>
    <xf numFmtId="172" fontId="16" fillId="3" borderId="6" xfId="18" applyNumberFormat="1" applyFont="1" applyFill="1" applyBorder="1" applyAlignment="1" applyProtection="1">
      <alignment horizontal="right" vertical="top"/>
    </xf>
    <xf numFmtId="174" fontId="16" fillId="3" borderId="0" xfId="17" applyNumberFormat="1" applyFont="1" applyFill="1" applyBorder="1" applyAlignment="1" applyProtection="1">
      <alignment horizontal="right" vertical="top"/>
    </xf>
    <xf numFmtId="172" fontId="26" fillId="3" borderId="0" xfId="17" applyNumberFormat="1" applyFont="1" applyFill="1" applyBorder="1" applyAlignment="1" applyProtection="1">
      <alignment horizontal="right" vertical="top"/>
    </xf>
    <xf numFmtId="174" fontId="18" fillId="5" borderId="0" xfId="0" applyNumberFormat="1" applyFont="1" applyFill="1" applyAlignment="1">
      <alignment horizontal="right"/>
    </xf>
    <xf numFmtId="174" fontId="23" fillId="5" borderId="0" xfId="0" applyNumberFormat="1" applyFont="1" applyFill="1" applyAlignment="1">
      <alignment horizontal="right"/>
    </xf>
    <xf numFmtId="172" fontId="18" fillId="5" borderId="0" xfId="0" applyNumberFormat="1" applyFont="1" applyFill="1" applyAlignment="1">
      <alignment horizontal="right"/>
    </xf>
    <xf numFmtId="174" fontId="16" fillId="3" borderId="6" xfId="15" applyNumberFormat="1" applyFont="1" applyFill="1" applyBorder="1" applyAlignment="1">
      <alignment horizontal="right" vertical="top"/>
    </xf>
    <xf numFmtId="172" fontId="26" fillId="3" borderId="6" xfId="17" applyNumberFormat="1" applyFont="1" applyFill="1" applyBorder="1" applyAlignment="1" applyProtection="1">
      <alignment horizontal="right" vertical="top"/>
    </xf>
    <xf numFmtId="174" fontId="16" fillId="3" borderId="2" xfId="18" applyNumberFormat="1" applyFont="1" applyFill="1" applyBorder="1" applyAlignment="1" applyProtection="1">
      <alignment horizontal="right" vertical="top"/>
    </xf>
    <xf numFmtId="172" fontId="26" fillId="3" borderId="2" xfId="17" applyNumberFormat="1" applyFont="1" applyFill="1" applyBorder="1" applyAlignment="1" applyProtection="1">
      <alignment horizontal="right" vertical="top"/>
    </xf>
    <xf numFmtId="174" fontId="16" fillId="3" borderId="6" xfId="9" applyNumberFormat="1" applyFont="1" applyFill="1" applyBorder="1" applyAlignment="1" applyProtection="1">
      <alignment horizontal="right" vertical="center"/>
    </xf>
    <xf numFmtId="2" fontId="18" fillId="0" borderId="0" xfId="0" applyNumberFormat="1" applyFont="1" applyAlignment="1">
      <alignment wrapText="1"/>
    </xf>
    <xf numFmtId="2" fontId="16" fillId="3" borderId="2" xfId="12" applyNumberFormat="1" applyFont="1" applyFill="1" applyBorder="1" applyAlignment="1">
      <alignment vertical="top" wrapText="1"/>
    </xf>
    <xf numFmtId="174" fontId="16" fillId="0" borderId="0" xfId="12" applyNumberFormat="1" applyFont="1" applyAlignment="1">
      <alignment horizontal="right" vertical="top"/>
    </xf>
    <xf numFmtId="172" fontId="16" fillId="0" borderId="0" xfId="12" applyNumberFormat="1" applyFont="1" applyAlignment="1">
      <alignment horizontal="right" vertical="top"/>
    </xf>
    <xf numFmtId="2" fontId="16" fillId="0" borderId="0" xfId="12" applyNumberFormat="1" applyFont="1" applyAlignment="1">
      <alignment vertical="top" wrapText="1"/>
    </xf>
    <xf numFmtId="172" fontId="8" fillId="0" borderId="8" xfId="17" applyNumberFormat="1" applyFont="1" applyFill="1" applyBorder="1" applyAlignment="1" applyProtection="1">
      <alignment horizontal="right" vertical="top"/>
    </xf>
    <xf numFmtId="174" fontId="11" fillId="0" borderId="2" xfId="12" applyNumberFormat="1" applyFont="1" applyBorder="1" applyAlignment="1">
      <alignment vertical="top" wrapText="1"/>
    </xf>
    <xf numFmtId="174" fontId="24" fillId="5" borderId="0" xfId="0" applyNumberFormat="1" applyFont="1" applyFill="1" applyAlignment="1">
      <alignment horizontal="right" vertical="top"/>
    </xf>
    <xf numFmtId="174" fontId="28" fillId="5" borderId="0" xfId="0" applyNumberFormat="1" applyFont="1" applyFill="1" applyAlignment="1">
      <alignment horizontal="right" vertical="top"/>
    </xf>
    <xf numFmtId="172" fontId="24" fillId="5" borderId="0" xfId="0" applyNumberFormat="1" applyFont="1" applyFill="1" applyAlignment="1">
      <alignment horizontal="right" vertical="top"/>
    </xf>
    <xf numFmtId="2" fontId="25" fillId="0" borderId="0" xfId="0" applyNumberFormat="1" applyFont="1"/>
    <xf numFmtId="174" fontId="26" fillId="3" borderId="6" xfId="12" applyNumberFormat="1" applyFont="1" applyFill="1" applyBorder="1" applyAlignment="1">
      <alignment vertical="top"/>
    </xf>
    <xf numFmtId="172" fontId="26" fillId="3" borderId="6" xfId="12" applyNumberFormat="1" applyFont="1" applyFill="1" applyBorder="1" applyAlignment="1">
      <alignment vertical="top"/>
    </xf>
    <xf numFmtId="2" fontId="8" fillId="3" borderId="6" xfId="12" applyNumberFormat="1" applyFont="1" applyFill="1" applyBorder="1" applyAlignment="1">
      <alignment horizontal="left" vertical="top" wrapText="1"/>
    </xf>
    <xf numFmtId="174" fontId="8" fillId="0" borderId="2" xfId="12" applyNumberFormat="1" applyFont="1" applyBorder="1" applyAlignment="1">
      <alignment horizontal="right" vertical="top" wrapText="1"/>
    </xf>
    <xf numFmtId="174" fontId="11" fillId="4" borderId="2" xfId="12" applyNumberFormat="1" applyFont="1" applyFill="1" applyBorder="1" applyAlignment="1">
      <alignment horizontal="right" vertical="top" wrapText="1"/>
    </xf>
    <xf numFmtId="172" fontId="8" fillId="0" borderId="2" xfId="12" applyNumberFormat="1" applyFont="1" applyBorder="1" applyAlignment="1">
      <alignment horizontal="right" vertical="top"/>
    </xf>
    <xf numFmtId="174" fontId="16" fillId="3" borderId="2" xfId="12" applyNumberFormat="1" applyFont="1" applyFill="1" applyBorder="1" applyAlignment="1">
      <alignment vertical="top"/>
    </xf>
    <xf numFmtId="172" fontId="16" fillId="3" borderId="2" xfId="20" quotePrefix="1" applyNumberFormat="1" applyFont="1" applyFill="1" applyBorder="1" applyAlignment="1">
      <alignment horizontal="right" vertical="top"/>
    </xf>
    <xf numFmtId="2" fontId="8" fillId="3" borderId="2" xfId="12" applyNumberFormat="1" applyFont="1" applyFill="1" applyBorder="1" applyAlignment="1">
      <alignment vertical="top" wrapText="1"/>
    </xf>
    <xf numFmtId="2" fontId="8" fillId="3" borderId="15" xfId="12" applyNumberFormat="1" applyFont="1" applyFill="1" applyBorder="1" applyAlignment="1">
      <alignment vertical="top" wrapText="1"/>
    </xf>
    <xf numFmtId="164" fontId="5" fillId="3" borderId="4" xfId="2" applyNumberFormat="1" applyFont="1" applyFill="1" applyBorder="1" applyAlignment="1">
      <alignment vertical="center" wrapText="1"/>
    </xf>
    <xf numFmtId="164" fontId="6" fillId="3" borderId="1" xfId="2" quotePrefix="1" applyNumberFormat="1" applyFont="1" applyFill="1" applyBorder="1" applyAlignment="1">
      <alignment horizontal="center" vertical="center" wrapText="1"/>
    </xf>
    <xf numFmtId="0" fontId="23" fillId="0" borderId="0" xfId="11" applyFont="1" applyAlignment="1">
      <alignment horizontal="left" vertical="top" wrapText="1"/>
    </xf>
    <xf numFmtId="0" fontId="16" fillId="3" borderId="15" xfId="11" applyFont="1" applyFill="1" applyBorder="1" applyAlignment="1">
      <alignment vertical="top" wrapText="1"/>
    </xf>
    <xf numFmtId="4" fontId="11" fillId="4" borderId="15" xfId="12" applyNumberFormat="1" applyFont="1" applyFill="1" applyBorder="1" applyAlignment="1">
      <alignment horizontal="left" vertical="top" wrapText="1"/>
    </xf>
    <xf numFmtId="0" fontId="8" fillId="0" borderId="8" xfId="11" applyFont="1" applyBorder="1" applyAlignment="1">
      <alignment horizontal="left" vertical="top" wrapText="1"/>
    </xf>
    <xf numFmtId="0" fontId="8" fillId="0" borderId="2" xfId="11" applyFont="1" applyBorder="1" applyAlignment="1">
      <alignment horizontal="left" vertical="top" wrapText="1"/>
    </xf>
    <xf numFmtId="0" fontId="8" fillId="5" borderId="2" xfId="11" applyFont="1" applyFill="1" applyBorder="1" applyAlignment="1">
      <alignment horizontal="left" vertical="top" wrapText="1"/>
    </xf>
    <xf numFmtId="4" fontId="11" fillId="4" borderId="2" xfId="12" applyNumberFormat="1" applyFont="1" applyFill="1" applyBorder="1" applyAlignment="1">
      <alignment horizontal="left" vertical="top" wrapText="1"/>
    </xf>
    <xf numFmtId="0" fontId="16" fillId="3" borderId="2" xfId="11" applyFont="1" applyFill="1" applyBorder="1" applyAlignment="1">
      <alignment horizontal="left" vertical="top" wrapText="1"/>
    </xf>
    <xf numFmtId="0" fontId="16" fillId="3" borderId="15" xfId="11" applyFont="1" applyFill="1" applyBorder="1" applyAlignment="1">
      <alignment horizontal="left" vertical="center" wrapText="1"/>
    </xf>
    <xf numFmtId="0" fontId="18" fillId="0" borderId="0" xfId="11" applyFont="1" applyAlignment="1">
      <alignment horizontal="left" vertical="top" wrapText="1"/>
    </xf>
    <xf numFmtId="0" fontId="8" fillId="5" borderId="8" xfId="11" applyFont="1" applyFill="1" applyBorder="1" applyAlignment="1">
      <alignment horizontal="left" vertical="top" wrapText="1"/>
    </xf>
    <xf numFmtId="0" fontId="11" fillId="5" borderId="2" xfId="11" applyFont="1" applyFill="1" applyBorder="1" applyAlignment="1">
      <alignment horizontal="left" vertical="top" wrapText="1"/>
    </xf>
    <xf numFmtId="0" fontId="18" fillId="0" borderId="2" xfId="11" applyFont="1" applyBorder="1" applyAlignment="1">
      <alignment horizontal="left" vertical="top" wrapText="1"/>
    </xf>
    <xf numFmtId="0" fontId="23" fillId="5" borderId="2" xfId="11" applyFont="1" applyFill="1" applyBorder="1" applyAlignment="1">
      <alignment horizontal="left" vertical="top" wrapText="1"/>
    </xf>
    <xf numFmtId="0" fontId="16" fillId="3" borderId="2" xfId="11" applyFont="1" applyFill="1" applyBorder="1" applyAlignment="1">
      <alignment horizontal="left" vertical="center" wrapText="1"/>
    </xf>
    <xf numFmtId="0" fontId="23" fillId="0" borderId="2" xfId="11" applyFont="1" applyBorder="1" applyAlignment="1">
      <alignment horizontal="left" vertical="top" wrapText="1"/>
    </xf>
    <xf numFmtId="0" fontId="18" fillId="0" borderId="8" xfId="11" applyFont="1" applyBorder="1" applyAlignment="1">
      <alignment horizontal="left" vertical="top" wrapText="1"/>
    </xf>
    <xf numFmtId="0" fontId="23" fillId="4" borderId="15" xfId="11" applyFont="1" applyFill="1" applyBorder="1" applyAlignment="1">
      <alignment horizontal="left" vertical="top" wrapText="1"/>
    </xf>
    <xf numFmtId="0" fontId="8" fillId="0" borderId="22" xfId="2" applyFont="1" applyBorder="1" applyAlignment="1">
      <alignment horizontal="left" vertical="top" wrapText="1"/>
    </xf>
    <xf numFmtId="0" fontId="23" fillId="4" borderId="2" xfId="11" applyFont="1" applyFill="1" applyBorder="1" applyAlignment="1">
      <alignment horizontal="left" vertical="top" wrapText="1"/>
    </xf>
    <xf numFmtId="0" fontId="11" fillId="4" borderId="15" xfId="11" applyFont="1" applyFill="1" applyBorder="1" applyAlignment="1">
      <alignment horizontal="left" vertical="top" wrapText="1"/>
    </xf>
    <xf numFmtId="0" fontId="8" fillId="5" borderId="0" xfId="11" applyFont="1" applyFill="1" applyAlignment="1">
      <alignment wrapText="1"/>
    </xf>
    <xf numFmtId="0" fontId="29" fillId="5" borderId="0" xfId="11" applyFont="1" applyFill="1" applyAlignment="1">
      <alignment wrapText="1"/>
    </xf>
    <xf numFmtId="0" fontId="11" fillId="5" borderId="0" xfId="11" applyFont="1" applyFill="1" applyAlignment="1">
      <alignment horizontal="right" wrapText="1"/>
    </xf>
    <xf numFmtId="0" fontId="16" fillId="3" borderId="15" xfId="11" applyFont="1" applyFill="1" applyBorder="1" applyAlignment="1">
      <alignment horizontal="left" vertical="top" wrapText="1"/>
    </xf>
    <xf numFmtId="0" fontId="11" fillId="5" borderId="8" xfId="11" applyFont="1" applyFill="1" applyBorder="1" applyAlignment="1">
      <alignment horizontal="left" vertical="top" wrapText="1"/>
    </xf>
    <xf numFmtId="0" fontId="25" fillId="0" borderId="0" xfId="0" applyFont="1" applyAlignment="1">
      <alignment wrapText="1"/>
    </xf>
    <xf numFmtId="164" fontId="16" fillId="3" borderId="15" xfId="12" applyNumberFormat="1" applyFont="1" applyFill="1" applyBorder="1" applyAlignment="1">
      <alignment vertical="top"/>
    </xf>
    <xf numFmtId="164" fontId="16" fillId="3" borderId="2" xfId="12" applyNumberFormat="1" applyFont="1" applyFill="1" applyBorder="1" applyAlignment="1">
      <alignment vertical="top"/>
    </xf>
    <xf numFmtId="167" fontId="16" fillId="3" borderId="19" xfId="9" applyNumberFormat="1" applyFont="1" applyFill="1" applyBorder="1" applyAlignment="1" applyProtection="1">
      <alignment vertical="center" wrapText="1"/>
    </xf>
    <xf numFmtId="167" fontId="16" fillId="3" borderId="20" xfId="9" applyNumberFormat="1" applyFont="1" applyFill="1" applyBorder="1" applyAlignment="1" applyProtection="1">
      <alignment vertical="center" wrapText="1"/>
    </xf>
    <xf numFmtId="167" fontId="16" fillId="3" borderId="21" xfId="9" applyNumberFormat="1" applyFont="1" applyFill="1" applyBorder="1" applyAlignment="1" applyProtection="1">
      <alignment vertical="center" wrapText="1"/>
    </xf>
    <xf numFmtId="168" fontId="16" fillId="3" borderId="12" xfId="9" applyNumberFormat="1" applyFont="1" applyFill="1" applyBorder="1" applyAlignment="1" applyProtection="1">
      <alignment horizontal="center" vertical="center" wrapText="1"/>
    </xf>
    <xf numFmtId="0" fontId="16" fillId="3" borderId="12" xfId="2" applyFont="1" applyFill="1" applyBorder="1" applyAlignment="1">
      <alignment horizontal="center" vertical="center" wrapText="1"/>
    </xf>
    <xf numFmtId="0" fontId="16" fillId="3" borderId="19" xfId="2" applyFont="1" applyFill="1" applyBorder="1" applyAlignment="1">
      <alignment horizontal="center" vertical="center" wrapText="1"/>
    </xf>
    <xf numFmtId="0" fontId="25" fillId="3" borderId="16" xfId="0" applyFont="1" applyFill="1" applyBorder="1" applyAlignment="1">
      <alignment vertical="center"/>
    </xf>
    <xf numFmtId="167" fontId="23" fillId="0" borderId="0" xfId="11" applyNumberFormat="1" applyFont="1" applyAlignment="1">
      <alignment horizontal="right" vertical="top"/>
    </xf>
    <xf numFmtId="172" fontId="23" fillId="0" borderId="0" xfId="11" applyNumberFormat="1" applyFont="1" applyAlignment="1">
      <alignment horizontal="right" vertical="top"/>
    </xf>
    <xf numFmtId="0" fontId="16" fillId="3" borderId="6" xfId="11" applyFont="1" applyFill="1" applyBorder="1" applyAlignment="1">
      <alignment vertical="top"/>
    </xf>
    <xf numFmtId="0" fontId="16" fillId="3" borderId="6" xfId="11" applyFont="1" applyFill="1" applyBorder="1" applyAlignment="1">
      <alignment horizontal="center" vertical="center" wrapText="1"/>
    </xf>
    <xf numFmtId="170" fontId="11" fillId="4" borderId="6" xfId="12" applyNumberFormat="1" applyFont="1" applyFill="1" applyBorder="1" applyAlignment="1">
      <alignment vertical="top" wrapText="1"/>
    </xf>
    <xf numFmtId="10" fontId="11" fillId="4" borderId="6" xfId="12" applyNumberFormat="1" applyFont="1" applyFill="1" applyBorder="1" applyAlignment="1">
      <alignment vertical="top" wrapText="1"/>
    </xf>
    <xf numFmtId="0" fontId="8" fillId="4" borderId="6" xfId="11" applyFont="1" applyFill="1" applyBorder="1" applyAlignment="1">
      <alignment horizontal="left" vertical="top" wrapText="1"/>
    </xf>
    <xf numFmtId="171" fontId="8" fillId="0" borderId="8" xfId="11" applyNumberFormat="1" applyFont="1" applyBorder="1" applyAlignment="1">
      <alignment horizontal="right" vertical="top"/>
    </xf>
    <xf numFmtId="171" fontId="11" fillId="4" borderId="8" xfId="11" applyNumberFormat="1" applyFont="1" applyFill="1" applyBorder="1" applyAlignment="1">
      <alignment horizontal="right" vertical="top"/>
    </xf>
    <xf numFmtId="0" fontId="8" fillId="0" borderId="16" xfId="11" applyFont="1" applyBorder="1" applyAlignment="1">
      <alignment horizontal="left" vertical="top" wrapText="1"/>
    </xf>
    <xf numFmtId="171" fontId="8" fillId="0" borderId="2" xfId="11" applyNumberFormat="1" applyFont="1" applyBorder="1" applyAlignment="1">
      <alignment horizontal="right" vertical="top"/>
    </xf>
    <xf numFmtId="0" fontId="8" fillId="0" borderId="15" xfId="11" applyFont="1" applyBorder="1" applyAlignment="1">
      <alignment horizontal="left" vertical="top" wrapText="1"/>
    </xf>
    <xf numFmtId="0" fontId="8" fillId="4" borderId="2" xfId="11" applyFont="1" applyFill="1" applyBorder="1" applyAlignment="1">
      <alignment horizontal="left" vertical="top" wrapText="1"/>
    </xf>
    <xf numFmtId="0" fontId="8" fillId="4" borderId="15" xfId="11" applyFont="1" applyFill="1" applyBorder="1" applyAlignment="1">
      <alignment horizontal="left" vertical="top" wrapText="1"/>
    </xf>
    <xf numFmtId="171" fontId="8" fillId="0" borderId="0" xfId="11" applyNumberFormat="1" applyFont="1" applyAlignment="1">
      <alignment horizontal="right" vertical="top"/>
    </xf>
    <xf numFmtId="172" fontId="8" fillId="0" borderId="0" xfId="11" applyNumberFormat="1" applyFont="1" applyAlignment="1">
      <alignment horizontal="right" vertical="top"/>
    </xf>
    <xf numFmtId="171" fontId="11" fillId="0" borderId="0" xfId="11" applyNumberFormat="1" applyFont="1" applyAlignment="1">
      <alignment horizontal="right" vertical="top"/>
    </xf>
    <xf numFmtId="172" fontId="11" fillId="0" borderId="0" xfId="11" applyNumberFormat="1" applyFont="1" applyAlignment="1">
      <alignment horizontal="right" vertical="top"/>
    </xf>
    <xf numFmtId="171" fontId="16" fillId="3" borderId="2" xfId="11" applyNumberFormat="1" applyFont="1" applyFill="1" applyBorder="1" applyAlignment="1">
      <alignment horizontal="right" vertical="top"/>
    </xf>
    <xf numFmtId="172" fontId="16" fillId="3" borderId="2" xfId="11" applyNumberFormat="1" applyFont="1" applyFill="1" applyBorder="1" applyAlignment="1">
      <alignment horizontal="right" vertical="top"/>
    </xf>
    <xf numFmtId="0" fontId="18" fillId="3" borderId="2" xfId="11" applyFont="1" applyFill="1" applyBorder="1" applyAlignment="1">
      <alignment horizontal="left" vertical="top" wrapText="1"/>
    </xf>
    <xf numFmtId="0" fontId="18" fillId="3" borderId="15" xfId="11" applyFont="1" applyFill="1" applyBorder="1" applyAlignment="1">
      <alignment horizontal="left" vertical="top" wrapText="1"/>
    </xf>
    <xf numFmtId="171" fontId="23" fillId="0" borderId="0" xfId="11" applyNumberFormat="1" applyFont="1" applyAlignment="1">
      <alignment horizontal="right" vertical="top"/>
    </xf>
    <xf numFmtId="172" fontId="16" fillId="3" borderId="6" xfId="9" applyNumberFormat="1" applyFont="1" applyFill="1" applyBorder="1" applyAlignment="1" applyProtection="1">
      <alignment horizontal="center" vertical="center"/>
    </xf>
    <xf numFmtId="171" fontId="18" fillId="0" borderId="0" xfId="11" applyNumberFormat="1" applyFont="1" applyAlignment="1">
      <alignment horizontal="right" vertical="top"/>
    </xf>
    <xf numFmtId="170" fontId="18" fillId="0" borderId="0" xfId="11" applyNumberFormat="1" applyFont="1" applyAlignment="1">
      <alignment horizontal="right" vertical="top"/>
    </xf>
    <xf numFmtId="171" fontId="11" fillId="0" borderId="2" xfId="11" applyNumberFormat="1" applyFont="1" applyBorder="1" applyAlignment="1">
      <alignment horizontal="right" vertical="top"/>
    </xf>
    <xf numFmtId="171" fontId="18" fillId="0" borderId="2" xfId="11" applyNumberFormat="1" applyFont="1" applyBorder="1" applyAlignment="1">
      <alignment horizontal="right" vertical="top"/>
    </xf>
    <xf numFmtId="172" fontId="18" fillId="0" borderId="2" xfId="11" applyNumberFormat="1" applyFont="1" applyBorder="1" applyAlignment="1">
      <alignment horizontal="right" vertical="top"/>
    </xf>
    <xf numFmtId="0" fontId="18" fillId="0" borderId="15" xfId="11" applyFont="1" applyBorder="1" applyAlignment="1">
      <alignment horizontal="left" vertical="top" wrapText="1"/>
    </xf>
    <xf numFmtId="0" fontId="30" fillId="3" borderId="2" xfId="11" applyFont="1" applyFill="1" applyBorder="1" applyAlignment="1">
      <alignment horizontal="left" vertical="top" wrapText="1"/>
    </xf>
    <xf numFmtId="172" fontId="18" fillId="0" borderId="0" xfId="11" applyNumberFormat="1" applyFont="1" applyAlignment="1">
      <alignment horizontal="right" vertical="top"/>
    </xf>
    <xf numFmtId="171" fontId="23" fillId="0" borderId="2" xfId="11" applyNumberFormat="1" applyFont="1" applyBorder="1" applyAlignment="1">
      <alignment horizontal="right" vertical="top"/>
    </xf>
    <xf numFmtId="171" fontId="11" fillId="4" borderId="2" xfId="11" applyNumberFormat="1" applyFont="1" applyFill="1" applyBorder="1" applyAlignment="1">
      <alignment horizontal="right" vertical="top"/>
    </xf>
    <xf numFmtId="171" fontId="16" fillId="3" borderId="2" xfId="9" applyNumberFormat="1" applyFont="1" applyFill="1" applyBorder="1" applyAlignment="1" applyProtection="1">
      <alignment horizontal="center" vertical="center"/>
    </xf>
    <xf numFmtId="172" fontId="16" fillId="3" borderId="2" xfId="9" applyNumberFormat="1" applyFont="1" applyFill="1" applyBorder="1" applyAlignment="1" applyProtection="1">
      <alignment horizontal="center" vertical="center"/>
    </xf>
    <xf numFmtId="0" fontId="16" fillId="3" borderId="2" xfId="11" applyFont="1" applyFill="1" applyBorder="1" applyAlignment="1">
      <alignment horizontal="center" vertical="center" wrapText="1"/>
    </xf>
    <xf numFmtId="0" fontId="16" fillId="3" borderId="15" xfId="11" applyFont="1" applyFill="1" applyBorder="1" applyAlignment="1">
      <alignment horizontal="center" vertical="center" wrapText="1"/>
    </xf>
    <xf numFmtId="0" fontId="31" fillId="3" borderId="2" xfId="11" applyFont="1" applyFill="1" applyBorder="1" applyAlignment="1">
      <alignment horizontal="left" vertical="top" wrapText="1"/>
    </xf>
    <xf numFmtId="0" fontId="11" fillId="4" borderId="6" xfId="11" applyFont="1" applyFill="1" applyBorder="1" applyAlignment="1">
      <alignment horizontal="left" vertical="top" wrapText="1"/>
    </xf>
    <xf numFmtId="171" fontId="18" fillId="0" borderId="8" xfId="11" applyNumberFormat="1" applyFont="1" applyBorder="1" applyAlignment="1">
      <alignment horizontal="right" vertical="top"/>
    </xf>
    <xf numFmtId="0" fontId="31" fillId="0" borderId="0" xfId="11" applyFont="1" applyAlignment="1">
      <alignment horizontal="left" vertical="top" wrapText="1"/>
    </xf>
    <xf numFmtId="171" fontId="23" fillId="4" borderId="6" xfId="11" applyNumberFormat="1" applyFont="1" applyFill="1" applyBorder="1" applyAlignment="1">
      <alignment horizontal="right" vertical="top"/>
    </xf>
    <xf numFmtId="172" fontId="18" fillId="4" borderId="6" xfId="11" applyNumberFormat="1" applyFont="1" applyFill="1" applyBorder="1" applyAlignment="1">
      <alignment horizontal="right" vertical="top"/>
    </xf>
    <xf numFmtId="0" fontId="18" fillId="4" borderId="6" xfId="11" applyFont="1" applyFill="1" applyBorder="1" applyAlignment="1">
      <alignment horizontal="left" vertical="top" wrapText="1"/>
    </xf>
    <xf numFmtId="171" fontId="8" fillId="0" borderId="2" xfId="17" applyNumberFormat="1" applyFont="1" applyFill="1" applyBorder="1" applyAlignment="1" applyProtection="1">
      <alignment horizontal="right" vertical="top"/>
    </xf>
    <xf numFmtId="171" fontId="11" fillId="4" borderId="2" xfId="17" applyNumberFormat="1" applyFont="1" applyFill="1" applyBorder="1" applyAlignment="1" applyProtection="1">
      <alignment horizontal="right" vertical="top"/>
    </xf>
    <xf numFmtId="0" fontId="8" fillId="0" borderId="2" xfId="17" applyNumberFormat="1" applyFont="1" applyFill="1" applyBorder="1" applyAlignment="1" applyProtection="1">
      <alignment horizontal="left" vertical="top" wrapText="1"/>
    </xf>
    <xf numFmtId="0" fontId="8" fillId="0" borderId="15" xfId="2" applyFont="1" applyBorder="1" applyAlignment="1">
      <alignment horizontal="left" vertical="top" wrapText="1"/>
    </xf>
    <xf numFmtId="171" fontId="23" fillId="4" borderId="2" xfId="11" applyNumberFormat="1" applyFont="1" applyFill="1" applyBorder="1" applyAlignment="1">
      <alignment horizontal="right" vertical="top"/>
    </xf>
    <xf numFmtId="172" fontId="23" fillId="4" borderId="2" xfId="11" applyNumberFormat="1" applyFont="1" applyFill="1" applyBorder="1" applyAlignment="1">
      <alignment horizontal="right" vertical="top"/>
    </xf>
    <xf numFmtId="0" fontId="31" fillId="4" borderId="2" xfId="11" applyFont="1" applyFill="1" applyBorder="1" applyAlignment="1">
      <alignment horizontal="left" vertical="top" wrapText="1"/>
    </xf>
    <xf numFmtId="171" fontId="8" fillId="4" borderId="6" xfId="11" applyNumberFormat="1" applyFont="1" applyFill="1" applyBorder="1" applyAlignment="1">
      <alignment horizontal="right" vertical="top"/>
    </xf>
    <xf numFmtId="172" fontId="8" fillId="4" borderId="6" xfId="11" applyNumberFormat="1" applyFont="1" applyFill="1" applyBorder="1" applyAlignment="1">
      <alignment horizontal="right" vertical="top"/>
    </xf>
    <xf numFmtId="172" fontId="11" fillId="4" borderId="2" xfId="11" applyNumberFormat="1" applyFont="1" applyFill="1" applyBorder="1" applyAlignment="1">
      <alignment horizontal="right" vertical="top"/>
    </xf>
    <xf numFmtId="171" fontId="11" fillId="4" borderId="6" xfId="11" applyNumberFormat="1" applyFont="1" applyFill="1" applyBorder="1" applyAlignment="1">
      <alignment horizontal="right" vertical="top"/>
    </xf>
    <xf numFmtId="0" fontId="22" fillId="0" borderId="15" xfId="11" applyFont="1" applyBorder="1" applyAlignment="1">
      <alignment vertical="top" wrapText="1"/>
    </xf>
    <xf numFmtId="165" fontId="18" fillId="0" borderId="2" xfId="11" applyNumberFormat="1" applyFont="1" applyBorder="1" applyAlignment="1">
      <alignment horizontal="left" vertical="top" wrapText="1"/>
    </xf>
    <xf numFmtId="171" fontId="8" fillId="5" borderId="0" xfId="11" applyNumberFormat="1" applyFont="1" applyFill="1"/>
    <xf numFmtId="165" fontId="8" fillId="5" borderId="0" xfId="11" applyNumberFormat="1" applyFont="1" applyFill="1"/>
    <xf numFmtId="171" fontId="29" fillId="5" borderId="0" xfId="11" applyNumberFormat="1" applyFont="1" applyFill="1"/>
    <xf numFmtId="165" fontId="29" fillId="5" borderId="0" xfId="11" applyNumberFormat="1" applyFont="1" applyFill="1"/>
    <xf numFmtId="171" fontId="16" fillId="3" borderId="2" xfId="11" applyNumberFormat="1" applyFont="1" applyFill="1" applyBorder="1" applyAlignment="1">
      <alignment horizontal="right"/>
    </xf>
    <xf numFmtId="172" fontId="16" fillId="3" borderId="2" xfId="11" applyNumberFormat="1" applyFont="1" applyFill="1" applyBorder="1" applyAlignment="1">
      <alignment horizontal="right"/>
    </xf>
    <xf numFmtId="0" fontId="26" fillId="0" borderId="0" xfId="11" applyFont="1" applyAlignment="1">
      <alignment vertical="top" wrapText="1"/>
    </xf>
    <xf numFmtId="0" fontId="26" fillId="5" borderId="0" xfId="11" applyFont="1" applyFill="1" applyAlignment="1">
      <alignment vertical="top" wrapText="1"/>
    </xf>
    <xf numFmtId="167" fontId="8" fillId="5" borderId="0" xfId="11" applyNumberFormat="1" applyFont="1" applyFill="1"/>
    <xf numFmtId="0" fontId="26" fillId="5" borderId="0" xfId="11" applyFont="1" applyFill="1" applyAlignment="1">
      <alignment wrapText="1"/>
    </xf>
    <xf numFmtId="0" fontId="11" fillId="5" borderId="0" xfId="11" applyFont="1" applyFill="1" applyAlignment="1">
      <alignment horizontal="center" wrapText="1"/>
    </xf>
    <xf numFmtId="167" fontId="16" fillId="3" borderId="6" xfId="11" applyNumberFormat="1" applyFont="1" applyFill="1" applyBorder="1" applyAlignment="1">
      <alignment horizontal="right" vertical="top"/>
    </xf>
    <xf numFmtId="10" fontId="16" fillId="3" borderId="7" xfId="11" applyNumberFormat="1" applyFont="1" applyFill="1" applyBorder="1" applyAlignment="1">
      <alignment horizontal="right" vertical="top"/>
    </xf>
    <xf numFmtId="167" fontId="23" fillId="0" borderId="8" xfId="11" applyNumberFormat="1" applyFont="1" applyBorder="1" applyAlignment="1">
      <alignment horizontal="right" vertical="top"/>
    </xf>
    <xf numFmtId="167" fontId="16" fillId="3" borderId="2" xfId="11" applyNumberFormat="1" applyFont="1" applyFill="1" applyBorder="1" applyAlignment="1">
      <alignment horizontal="right" vertical="top"/>
    </xf>
    <xf numFmtId="0" fontId="25" fillId="0" borderId="0" xfId="0" applyFont="1"/>
    <xf numFmtId="0" fontId="18" fillId="5" borderId="23" xfId="0" applyFont="1" applyFill="1" applyBorder="1" applyAlignment="1">
      <alignment wrapText="1"/>
    </xf>
    <xf numFmtId="0" fontId="16" fillId="3" borderId="15" xfId="15" applyFont="1" applyFill="1" applyBorder="1" applyAlignment="1">
      <alignment horizontal="left" vertical="top" wrapText="1"/>
    </xf>
    <xf numFmtId="0" fontId="25" fillId="5" borderId="0" xfId="0" applyFont="1" applyFill="1" applyAlignment="1">
      <alignment wrapText="1"/>
    </xf>
    <xf numFmtId="4" fontId="11" fillId="4" borderId="15" xfId="12" applyNumberFormat="1" applyFont="1" applyFill="1" applyBorder="1" applyAlignment="1">
      <alignment vertical="top" wrapText="1"/>
    </xf>
    <xf numFmtId="0" fontId="8" fillId="0" borderId="24" xfId="2" applyFont="1" applyBorder="1" applyAlignment="1">
      <alignment horizontal="left" vertical="top" wrapText="1"/>
    </xf>
    <xf numFmtId="4" fontId="11" fillId="4" borderId="8" xfId="12" applyNumberFormat="1" applyFont="1" applyFill="1" applyBorder="1" applyAlignment="1">
      <alignment horizontal="left" vertical="top" wrapText="1"/>
    </xf>
    <xf numFmtId="0" fontId="8" fillId="0" borderId="0" xfId="2" applyFont="1" applyAlignment="1">
      <alignment horizontal="left" vertical="top" wrapText="1"/>
    </xf>
    <xf numFmtId="0" fontId="8" fillId="5" borderId="0" xfId="11" applyFont="1" applyFill="1" applyAlignment="1">
      <alignment horizontal="left" vertical="top" wrapText="1"/>
    </xf>
    <xf numFmtId="0" fontId="16" fillId="3" borderId="15" xfId="11" applyFont="1" applyFill="1" applyBorder="1" applyAlignment="1">
      <alignment vertical="center" wrapText="1"/>
    </xf>
    <xf numFmtId="0" fontId="8" fillId="0" borderId="9" xfId="11" applyFont="1" applyBorder="1" applyAlignment="1">
      <alignment horizontal="left" vertical="top" wrapText="1"/>
    </xf>
    <xf numFmtId="0" fontId="16" fillId="3" borderId="15" xfId="12" applyFont="1" applyFill="1" applyBorder="1" applyAlignment="1">
      <alignment vertical="top" wrapText="1"/>
    </xf>
    <xf numFmtId="0" fontId="8" fillId="0" borderId="2" xfId="19" applyFont="1" applyBorder="1" applyAlignment="1">
      <alignment horizontal="left" vertical="top" wrapText="1"/>
    </xf>
    <xf numFmtId="0" fontId="8" fillId="0" borderId="2" xfId="19" quotePrefix="1" applyFont="1" applyBorder="1" applyAlignment="1">
      <alignment horizontal="left" vertical="top" wrapText="1"/>
    </xf>
    <xf numFmtId="0" fontId="8" fillId="0" borderId="2" xfId="0" applyFont="1" applyBorder="1" applyAlignment="1">
      <alignment vertical="top" wrapText="1"/>
    </xf>
    <xf numFmtId="0" fontId="24" fillId="0" borderId="0" xfId="0" applyFont="1" applyAlignment="1">
      <alignment wrapText="1"/>
    </xf>
    <xf numFmtId="164" fontId="16" fillId="3" borderId="2" xfId="2" applyNumberFormat="1" applyFont="1" applyFill="1" applyBorder="1" applyAlignment="1">
      <alignment vertical="top" wrapText="1"/>
    </xf>
    <xf numFmtId="168" fontId="16" fillId="3" borderId="1" xfId="9" quotePrefix="1" applyNumberFormat="1" applyFont="1" applyFill="1" applyBorder="1" applyAlignment="1" applyProtection="1">
      <alignment horizontal="center" vertical="center" wrapText="1"/>
    </xf>
    <xf numFmtId="0" fontId="16" fillId="3" borderId="16" xfId="0" applyFont="1" applyFill="1" applyBorder="1" applyAlignment="1">
      <alignment horizontal="center" vertical="center"/>
    </xf>
    <xf numFmtId="0" fontId="18" fillId="5" borderId="23" xfId="0" applyFont="1" applyFill="1" applyBorder="1"/>
    <xf numFmtId="0" fontId="16" fillId="3" borderId="6" xfId="11" applyFont="1" applyFill="1" applyBorder="1" applyAlignment="1">
      <alignment vertical="center" wrapText="1"/>
    </xf>
    <xf numFmtId="0" fontId="25" fillId="5" borderId="0" xfId="0" applyFont="1" applyFill="1"/>
    <xf numFmtId="4" fontId="11" fillId="4" borderId="6" xfId="12" applyNumberFormat="1" applyFont="1" applyFill="1" applyBorder="1" applyAlignment="1">
      <alignment vertical="top" wrapText="1"/>
    </xf>
    <xf numFmtId="171" fontId="11" fillId="4" borderId="15" xfId="17" applyNumberFormat="1" applyFont="1" applyFill="1" applyBorder="1" applyAlignment="1" applyProtection="1">
      <alignment horizontal="right" vertical="top"/>
    </xf>
    <xf numFmtId="172" fontId="8" fillId="0" borderId="15" xfId="2" applyNumberFormat="1" applyFont="1" applyBorder="1" applyAlignment="1">
      <alignment horizontal="right" vertical="top"/>
    </xf>
    <xf numFmtId="172" fontId="11" fillId="4" borderId="16" xfId="12" applyNumberFormat="1" applyFont="1" applyFill="1" applyBorder="1" applyAlignment="1">
      <alignment vertical="top"/>
    </xf>
    <xf numFmtId="0" fontId="25" fillId="4" borderId="2" xfId="0" applyFont="1" applyFill="1" applyBorder="1"/>
    <xf numFmtId="0" fontId="25" fillId="4" borderId="15" xfId="0" applyFont="1" applyFill="1" applyBorder="1"/>
    <xf numFmtId="171" fontId="8" fillId="0" borderId="0" xfId="17" applyNumberFormat="1" applyFont="1" applyFill="1" applyBorder="1" applyAlignment="1" applyProtection="1">
      <alignment horizontal="right" vertical="top"/>
    </xf>
    <xf numFmtId="170" fontId="8" fillId="0" borderId="0" xfId="17" applyNumberFormat="1" applyFont="1" applyFill="1" applyBorder="1" applyAlignment="1" applyProtection="1">
      <alignment horizontal="right" vertical="top"/>
    </xf>
    <xf numFmtId="0" fontId="8" fillId="0" borderId="0" xfId="17" applyNumberFormat="1" applyFont="1" applyFill="1" applyBorder="1" applyAlignment="1" applyProtection="1">
      <alignment vertical="top" wrapText="1"/>
    </xf>
    <xf numFmtId="171" fontId="11" fillId="4" borderId="2" xfId="19" applyNumberFormat="1" applyFont="1" applyFill="1" applyBorder="1" applyAlignment="1">
      <alignment horizontal="right" vertical="top"/>
    </xf>
    <xf numFmtId="0" fontId="8" fillId="5" borderId="15" xfId="11" applyFont="1" applyFill="1" applyBorder="1" applyAlignment="1">
      <alignment horizontal="left" vertical="top" wrapText="1"/>
    </xf>
    <xf numFmtId="167" fontId="8" fillId="5" borderId="0" xfId="11" applyNumberFormat="1" applyFont="1" applyFill="1" applyAlignment="1">
      <alignment horizontal="left" vertical="top"/>
    </xf>
    <xf numFmtId="172" fontId="8" fillId="5" borderId="0" xfId="11" applyNumberFormat="1" applyFont="1" applyFill="1" applyAlignment="1">
      <alignment horizontal="left" vertical="top"/>
    </xf>
    <xf numFmtId="10" fontId="8" fillId="5" borderId="0" xfId="11" applyNumberFormat="1" applyFont="1" applyFill="1" applyAlignment="1">
      <alignment horizontal="left" vertical="top"/>
    </xf>
    <xf numFmtId="4" fontId="11" fillId="4" borderId="6" xfId="12" applyNumberFormat="1" applyFont="1" applyFill="1" applyBorder="1" applyAlignment="1">
      <alignment vertical="top"/>
    </xf>
    <xf numFmtId="0" fontId="25" fillId="3" borderId="2" xfId="0" applyFont="1" applyFill="1" applyBorder="1"/>
    <xf numFmtId="0" fontId="25" fillId="3" borderId="15" xfId="0" applyFont="1" applyFill="1" applyBorder="1"/>
    <xf numFmtId="0" fontId="16" fillId="3" borderId="6" xfId="11" applyFont="1" applyFill="1" applyBorder="1" applyAlignment="1">
      <alignment vertical="center"/>
    </xf>
    <xf numFmtId="171" fontId="11" fillId="0" borderId="2" xfId="19" applyNumberFormat="1" applyFont="1" applyBorder="1" applyAlignment="1">
      <alignment horizontal="right" vertical="top"/>
    </xf>
    <xf numFmtId="2" fontId="11" fillId="5" borderId="2" xfId="11" applyNumberFormat="1" applyFont="1" applyFill="1" applyBorder="1" applyAlignment="1">
      <alignment horizontal="left" vertical="top"/>
    </xf>
    <xf numFmtId="2" fontId="11" fillId="5" borderId="15" xfId="11" applyNumberFormat="1" applyFont="1" applyFill="1" applyBorder="1" applyAlignment="1">
      <alignment horizontal="left" vertical="top"/>
    </xf>
    <xf numFmtId="167" fontId="11" fillId="0" borderId="2" xfId="11" applyNumberFormat="1" applyFont="1" applyBorder="1" applyAlignment="1">
      <alignment horizontal="left" vertical="top"/>
    </xf>
    <xf numFmtId="10" fontId="11" fillId="0" borderId="2" xfId="11" applyNumberFormat="1" applyFont="1" applyBorder="1" applyAlignment="1">
      <alignment horizontal="left" vertical="top"/>
    </xf>
    <xf numFmtId="0" fontId="25" fillId="5" borderId="2" xfId="0" applyFont="1" applyFill="1" applyBorder="1"/>
    <xf numFmtId="0" fontId="25" fillId="5" borderId="15" xfId="0" applyFont="1" applyFill="1" applyBorder="1"/>
    <xf numFmtId="167" fontId="8" fillId="0" borderId="0" xfId="19" applyNumberFormat="1" applyFont="1" applyAlignment="1">
      <alignment horizontal="right" vertical="top"/>
    </xf>
    <xf numFmtId="0" fontId="16" fillId="3" borderId="6" xfId="12" applyFont="1" applyFill="1" applyBorder="1" applyAlignment="1">
      <alignment vertical="top" wrapText="1"/>
    </xf>
    <xf numFmtId="0" fontId="18" fillId="5" borderId="0" xfId="0" applyFont="1" applyFill="1"/>
    <xf numFmtId="0" fontId="8" fillId="5" borderId="19" xfId="11" applyFont="1" applyFill="1" applyBorder="1" applyAlignment="1">
      <alignment horizontal="left" vertical="top" wrapText="1"/>
    </xf>
    <xf numFmtId="0" fontId="8" fillId="5" borderId="16" xfId="11" applyFont="1" applyFill="1" applyBorder="1" applyAlignment="1">
      <alignment horizontal="left" vertical="top" wrapText="1"/>
    </xf>
    <xf numFmtId="167" fontId="8" fillId="0" borderId="0" xfId="11" applyNumberFormat="1" applyFont="1" applyAlignment="1">
      <alignment horizontal="left" vertical="top"/>
    </xf>
    <xf numFmtId="172" fontId="8" fillId="0" borderId="0" xfId="11" applyNumberFormat="1" applyFont="1" applyAlignment="1">
      <alignment horizontal="left" vertical="top"/>
    </xf>
    <xf numFmtId="171" fontId="24" fillId="0" borderId="0" xfId="0" applyNumberFormat="1" applyFont="1"/>
    <xf numFmtId="0" fontId="24" fillId="0" borderId="0" xfId="0" applyFont="1"/>
    <xf numFmtId="0" fontId="29" fillId="0" borderId="0" xfId="15" applyFont="1" applyAlignment="1">
      <alignment horizontal="left" wrapText="1"/>
    </xf>
    <xf numFmtId="0" fontId="29" fillId="0" borderId="0" xfId="15" applyFont="1" applyAlignment="1">
      <alignment horizontal="left" vertical="top" wrapText="1"/>
    </xf>
    <xf numFmtId="171" fontId="25" fillId="0" borderId="0" xfId="0" applyNumberFormat="1" applyFont="1"/>
    <xf numFmtId="0" fontId="8" fillId="0" borderId="0" xfId="15" applyFont="1" applyAlignment="1">
      <alignment horizontal="left" wrapText="1"/>
    </xf>
    <xf numFmtId="0" fontId="8" fillId="0" borderId="0" xfId="15" applyFont="1" applyAlignment="1">
      <alignment horizontal="left" vertical="top" wrapText="1"/>
    </xf>
    <xf numFmtId="171" fontId="11" fillId="4" borderId="0" xfId="12" applyNumberFormat="1" applyFont="1" applyFill="1" applyAlignment="1">
      <alignment vertical="top" wrapText="1"/>
    </xf>
    <xf numFmtId="171" fontId="16" fillId="3" borderId="2" xfId="2" applyNumberFormat="1" applyFont="1" applyFill="1" applyBorder="1" applyAlignment="1">
      <alignment vertical="top"/>
    </xf>
    <xf numFmtId="172" fontId="16" fillId="3" borderId="2" xfId="2" applyNumberFormat="1" applyFont="1" applyFill="1" applyBorder="1" applyAlignment="1">
      <alignment vertical="top"/>
    </xf>
    <xf numFmtId="170" fontId="0" fillId="0" borderId="0" xfId="0" applyNumberFormat="1"/>
    <xf numFmtId="0" fontId="16" fillId="3" borderId="25" xfId="2" applyFont="1" applyFill="1" applyBorder="1" applyAlignment="1">
      <alignment vertical="center" wrapText="1"/>
    </xf>
    <xf numFmtId="0" fontId="16" fillId="3" borderId="8" xfId="15" applyFont="1" applyFill="1" applyBorder="1" applyAlignment="1">
      <alignment horizontal="left" vertical="top" wrapText="1"/>
    </xf>
    <xf numFmtId="171" fontId="16" fillId="3" borderId="15" xfId="12" applyNumberFormat="1" applyFont="1" applyFill="1" applyBorder="1" applyAlignment="1">
      <alignment horizontal="right" vertical="top" wrapText="1"/>
    </xf>
    <xf numFmtId="0" fontId="16" fillId="3" borderId="26" xfId="2" applyFont="1" applyFill="1" applyBorder="1" applyAlignment="1">
      <alignment vertical="center" wrapText="1"/>
    </xf>
    <xf numFmtId="171" fontId="16" fillId="3" borderId="8" xfId="17" applyNumberFormat="1" applyFont="1" applyFill="1" applyBorder="1" applyAlignment="1" applyProtection="1">
      <alignment horizontal="right" vertical="top"/>
    </xf>
    <xf numFmtId="0" fontId="32" fillId="7" borderId="27" xfId="7" quotePrefix="1" applyFont="1" applyFill="1" applyBorder="1" applyAlignment="1">
      <alignment horizontal="left"/>
    </xf>
    <xf numFmtId="0" fontId="2" fillId="7" borderId="27" xfId="0" applyFont="1" applyFill="1" applyBorder="1"/>
    <xf numFmtId="0" fontId="32" fillId="7" borderId="0" xfId="7" quotePrefix="1" applyFont="1" applyFill="1" applyAlignment="1">
      <alignment horizontal="left"/>
    </xf>
    <xf numFmtId="0" fontId="2" fillId="7" borderId="0" xfId="0" applyFont="1" applyFill="1"/>
    <xf numFmtId="0" fontId="34" fillId="0" borderId="0" xfId="21" applyFont="1"/>
    <xf numFmtId="0" fontId="35" fillId="0" borderId="0" xfId="0" applyFont="1"/>
    <xf numFmtId="0" fontId="11" fillId="0" borderId="0" xfId="11" applyFont="1" applyAlignment="1">
      <alignment horizontal="justify" vertical="top" wrapText="1"/>
    </xf>
    <xf numFmtId="0" fontId="8" fillId="0" borderId="0" xfId="11" applyFont="1" applyAlignment="1">
      <alignment horizontal="justify" vertical="top" wrapText="1"/>
    </xf>
    <xf numFmtId="4" fontId="11" fillId="4" borderId="15" xfId="12" quotePrefix="1" applyNumberFormat="1" applyFont="1" applyFill="1" applyBorder="1" applyAlignment="1">
      <alignment horizontal="left" vertical="top" wrapText="1"/>
    </xf>
    <xf numFmtId="0" fontId="8" fillId="0" borderId="8" xfId="11" applyFont="1" applyBorder="1" applyAlignment="1">
      <alignment vertical="top" wrapText="1"/>
    </xf>
    <xf numFmtId="0" fontId="8" fillId="0" borderId="2" xfId="11" applyFont="1" applyBorder="1" applyAlignment="1">
      <alignment vertical="top" wrapText="1"/>
    </xf>
    <xf numFmtId="4" fontId="11" fillId="4" borderId="2" xfId="12" quotePrefix="1" applyNumberFormat="1" applyFont="1" applyFill="1" applyBorder="1" applyAlignment="1">
      <alignment horizontal="left" vertical="top" wrapText="1"/>
    </xf>
    <xf numFmtId="3" fontId="8" fillId="0" borderId="2" xfId="11" applyNumberFormat="1" applyFont="1" applyBorder="1" applyAlignment="1">
      <alignment vertical="top" wrapText="1"/>
    </xf>
    <xf numFmtId="175" fontId="8" fillId="0" borderId="2" xfId="11" applyNumberFormat="1" applyFont="1" applyBorder="1" applyAlignment="1">
      <alignment vertical="top" wrapText="1"/>
    </xf>
    <xf numFmtId="0" fontId="16" fillId="3" borderId="2" xfId="11" applyFont="1" applyFill="1" applyBorder="1" applyAlignment="1">
      <alignment horizontal="justify" vertical="top" wrapText="1"/>
    </xf>
    <xf numFmtId="175" fontId="8" fillId="0" borderId="8" xfId="11" applyNumberFormat="1" applyFont="1" applyBorder="1" applyAlignment="1">
      <alignment vertical="top" wrapText="1"/>
    </xf>
    <xf numFmtId="0" fontId="8" fillId="0" borderId="0" xfId="11" applyFont="1" applyAlignment="1">
      <alignment vertical="top" wrapText="1"/>
    </xf>
    <xf numFmtId="0" fontId="8" fillId="5" borderId="2" xfId="11" applyFont="1" applyFill="1" applyBorder="1" applyAlignment="1">
      <alignment vertical="top" wrapText="1"/>
    </xf>
    <xf numFmtId="0" fontId="8" fillId="5" borderId="2" xfId="11" quotePrefix="1" applyFont="1" applyFill="1" applyBorder="1" applyAlignment="1">
      <alignment horizontal="left" vertical="top" wrapText="1"/>
    </xf>
    <xf numFmtId="0" fontId="16" fillId="3" borderId="2" xfId="0" applyFont="1" applyFill="1" applyBorder="1" applyAlignment="1">
      <alignment horizontal="left" vertical="center" wrapText="1"/>
    </xf>
    <xf numFmtId="4" fontId="16" fillId="3" borderId="15" xfId="9" applyNumberFormat="1" applyFont="1" applyFill="1" applyBorder="1" applyAlignment="1" applyProtection="1">
      <alignment horizontal="left" vertical="center" wrapText="1"/>
    </xf>
    <xf numFmtId="3" fontId="8" fillId="0" borderId="2" xfId="11" applyNumberFormat="1" applyFont="1" applyBorder="1" applyAlignment="1">
      <alignment horizontal="left" vertical="top" wrapText="1"/>
    </xf>
    <xf numFmtId="0" fontId="11" fillId="0" borderId="2" xfId="11" applyFont="1" applyBorder="1" applyAlignment="1">
      <alignment vertical="top" wrapText="1"/>
    </xf>
    <xf numFmtId="0" fontId="11" fillId="5" borderId="0" xfId="11" applyFont="1" applyFill="1" applyAlignment="1">
      <alignment horizontal="left" vertical="top" wrapText="1"/>
    </xf>
    <xf numFmtId="0" fontId="29" fillId="0" borderId="0" xfId="11" applyFont="1" applyAlignment="1">
      <alignment vertical="top" wrapText="1"/>
    </xf>
    <xf numFmtId="0" fontId="16" fillId="3" borderId="2" xfId="11" applyFont="1" applyFill="1" applyBorder="1" applyAlignment="1">
      <alignment vertical="top" wrapText="1"/>
    </xf>
    <xf numFmtId="0" fontId="16" fillId="3" borderId="15" xfId="0" applyFont="1" applyFill="1" applyBorder="1" applyAlignment="1">
      <alignment horizontal="left" vertical="center" wrapText="1"/>
    </xf>
    <xf numFmtId="0" fontId="11" fillId="0" borderId="0" xfId="0" applyFont="1" applyAlignment="1">
      <alignment horizontal="left" vertical="center" wrapText="1"/>
    </xf>
    <xf numFmtId="0" fontId="11" fillId="4" borderId="2" xfId="0" applyFont="1" applyFill="1" applyBorder="1" applyAlignment="1">
      <alignment horizontal="left" vertical="top" wrapText="1"/>
    </xf>
    <xf numFmtId="0" fontId="11" fillId="0" borderId="0" xfId="0" applyFont="1" applyAlignment="1">
      <alignment horizontal="left" vertical="top" wrapText="1"/>
    </xf>
    <xf numFmtId="171" fontId="11" fillId="0" borderId="0" xfId="11" applyNumberFormat="1" applyFont="1" applyAlignment="1">
      <alignment horizontal="justify" vertical="top" wrapText="1"/>
    </xf>
    <xf numFmtId="172" fontId="11" fillId="0" borderId="0" xfId="11" applyNumberFormat="1" applyFont="1" applyAlignment="1">
      <alignment horizontal="right" vertical="top" wrapText="1"/>
    </xf>
    <xf numFmtId="167" fontId="16" fillId="3" borderId="6" xfId="9" applyNumberFormat="1" applyFont="1" applyFill="1" applyBorder="1" applyAlignment="1" applyProtection="1">
      <alignment horizontal="center" vertical="center" wrapText="1"/>
    </xf>
    <xf numFmtId="168" fontId="16" fillId="3" borderId="6" xfId="9" applyNumberFormat="1" applyFont="1" applyFill="1" applyBorder="1" applyAlignment="1" applyProtection="1">
      <alignment horizontal="center" vertical="center" wrapText="1"/>
    </xf>
    <xf numFmtId="167" fontId="8" fillId="0" borderId="0" xfId="11" applyNumberFormat="1" applyFont="1" applyAlignment="1">
      <alignment horizontal="right" vertical="top" wrapText="1"/>
    </xf>
    <xf numFmtId="172" fontId="8" fillId="0" borderId="0" xfId="11" applyNumberFormat="1" applyFont="1" applyAlignment="1">
      <alignment horizontal="right" vertical="top" wrapText="1"/>
    </xf>
    <xf numFmtId="171" fontId="8" fillId="0" borderId="8" xfId="11" applyNumberFormat="1" applyFont="1" applyBorder="1" applyAlignment="1">
      <alignment horizontal="right" vertical="top" wrapText="1"/>
    </xf>
    <xf numFmtId="171" fontId="11" fillId="4" borderId="8" xfId="11" applyNumberFormat="1" applyFont="1" applyFill="1" applyBorder="1" applyAlignment="1">
      <alignment horizontal="right" vertical="top" wrapText="1"/>
    </xf>
    <xf numFmtId="172" fontId="8" fillId="0" borderId="8" xfId="11" applyNumberFormat="1" applyFont="1" applyBorder="1" applyAlignment="1">
      <alignment horizontal="right" vertical="top" wrapText="1"/>
    </xf>
    <xf numFmtId="171" fontId="8" fillId="0" borderId="2" xfId="11" applyNumberFormat="1" applyFont="1" applyBorder="1" applyAlignment="1">
      <alignment horizontal="right" vertical="top" wrapText="1"/>
    </xf>
    <xf numFmtId="172" fontId="8" fillId="0" borderId="2" xfId="11" applyNumberFormat="1" applyFont="1" applyBorder="1" applyAlignment="1">
      <alignment horizontal="right" vertical="top" wrapText="1"/>
    </xf>
    <xf numFmtId="172" fontId="8" fillId="0" borderId="2" xfId="19" applyNumberFormat="1" applyFont="1" applyBorder="1" applyAlignment="1">
      <alignment horizontal="right" vertical="top" wrapText="1"/>
    </xf>
    <xf numFmtId="10" fontId="8" fillId="0" borderId="2" xfId="19" applyNumberFormat="1" applyFont="1" applyBorder="1" applyAlignment="1">
      <alignment horizontal="right" vertical="top"/>
    </xf>
    <xf numFmtId="170" fontId="11" fillId="4" borderId="2" xfId="12" applyNumberFormat="1" applyFont="1" applyFill="1" applyBorder="1" applyAlignment="1">
      <alignment vertical="top" wrapText="1"/>
    </xf>
    <xf numFmtId="170" fontId="11" fillId="4" borderId="15" xfId="12" applyNumberFormat="1" applyFont="1" applyFill="1" applyBorder="1" applyAlignment="1">
      <alignment vertical="top" wrapText="1"/>
    </xf>
    <xf numFmtId="171" fontId="8" fillId="0" borderId="0" xfId="11" applyNumberFormat="1" applyFont="1" applyAlignment="1">
      <alignment horizontal="right" vertical="top" wrapText="1"/>
    </xf>
    <xf numFmtId="171" fontId="16" fillId="3" borderId="2" xfId="11" applyNumberFormat="1" applyFont="1" applyFill="1" applyBorder="1" applyAlignment="1">
      <alignment horizontal="right" vertical="top" wrapText="1"/>
    </xf>
    <xf numFmtId="172" fontId="16" fillId="3" borderId="2" xfId="11" applyNumberFormat="1" applyFont="1" applyFill="1" applyBorder="1" applyAlignment="1">
      <alignment horizontal="right" vertical="top" wrapText="1"/>
    </xf>
    <xf numFmtId="0" fontId="8" fillId="3" borderId="2" xfId="11" applyFont="1" applyFill="1" applyBorder="1" applyAlignment="1">
      <alignment horizontal="left" vertical="top" wrapText="1"/>
    </xf>
    <xf numFmtId="0" fontId="8" fillId="3" borderId="15" xfId="11" applyFont="1" applyFill="1" applyBorder="1" applyAlignment="1">
      <alignment horizontal="left" vertical="top" wrapText="1"/>
    </xf>
    <xf numFmtId="171" fontId="11" fillId="0" borderId="0" xfId="9" applyNumberFormat="1" applyFont="1" applyFill="1" applyBorder="1" applyAlignment="1" applyProtection="1">
      <alignment horizontal="right" vertical="top" wrapText="1"/>
    </xf>
    <xf numFmtId="172" fontId="11" fillId="0" borderId="0" xfId="9" applyNumberFormat="1" applyFont="1" applyFill="1" applyBorder="1" applyAlignment="1" applyProtection="1">
      <alignment horizontal="right" vertical="top" wrapText="1"/>
    </xf>
    <xf numFmtId="0" fontId="8" fillId="0" borderId="15" xfId="11" applyFont="1" applyBorder="1" applyAlignment="1">
      <alignment vertical="top" wrapText="1"/>
    </xf>
    <xf numFmtId="0" fontId="18" fillId="0" borderId="15" xfId="0" applyFont="1" applyBorder="1" applyAlignment="1">
      <alignment vertical="top" wrapText="1"/>
    </xf>
    <xf numFmtId="0" fontId="18" fillId="0" borderId="15" xfId="0" applyFont="1" applyBorder="1" applyAlignment="1">
      <alignment vertical="center" wrapText="1"/>
    </xf>
    <xf numFmtId="171" fontId="16" fillId="3" borderId="0" xfId="11" applyNumberFormat="1" applyFont="1" applyFill="1" applyAlignment="1">
      <alignment horizontal="right" vertical="top" wrapText="1"/>
    </xf>
    <xf numFmtId="172" fontId="16" fillId="3" borderId="0" xfId="11" applyNumberFormat="1" applyFont="1" applyFill="1" applyAlignment="1">
      <alignment horizontal="right" vertical="top" wrapText="1"/>
    </xf>
    <xf numFmtId="0" fontId="8" fillId="3" borderId="0" xfId="11" applyFont="1" applyFill="1" applyAlignment="1">
      <alignment horizontal="left" vertical="top" wrapText="1"/>
    </xf>
    <xf numFmtId="172" fontId="8" fillId="5" borderId="2" xfId="11" applyNumberFormat="1" applyFont="1" applyFill="1" applyBorder="1" applyAlignment="1">
      <alignment horizontal="right" vertical="top" wrapText="1"/>
    </xf>
    <xf numFmtId="171" fontId="11" fillId="0" borderId="0" xfId="11" applyNumberFormat="1" applyFont="1" applyAlignment="1">
      <alignment horizontal="right" vertical="top" wrapText="1"/>
    </xf>
    <xf numFmtId="171" fontId="11" fillId="0" borderId="0" xfId="11" applyNumberFormat="1" applyFont="1" applyAlignment="1">
      <alignment horizontal="left" vertical="top" wrapText="1"/>
    </xf>
    <xf numFmtId="0" fontId="8" fillId="3" borderId="2" xfId="11" applyFont="1" applyFill="1" applyBorder="1" applyAlignment="1">
      <alignment vertical="top" wrapText="1"/>
    </xf>
    <xf numFmtId="0" fontId="18" fillId="3" borderId="2" xfId="0" applyFont="1" applyFill="1" applyBorder="1" applyAlignment="1">
      <alignment wrapText="1"/>
    </xf>
    <xf numFmtId="0" fontId="18" fillId="3" borderId="15" xfId="0" applyFont="1" applyFill="1" applyBorder="1" applyAlignment="1">
      <alignment wrapText="1"/>
    </xf>
    <xf numFmtId="0" fontId="11" fillId="0" borderId="0" xfId="11" applyFont="1" applyAlignment="1">
      <alignment horizontal="center" vertical="top" wrapText="1"/>
    </xf>
    <xf numFmtId="0" fontId="18" fillId="0" borderId="2" xfId="0" applyFont="1" applyBorder="1" applyAlignment="1">
      <alignment vertical="top" wrapText="1"/>
    </xf>
    <xf numFmtId="10" fontId="16" fillId="3" borderId="2" xfId="11" applyNumberFormat="1" applyFont="1" applyFill="1" applyBorder="1" applyAlignment="1">
      <alignment horizontal="right" vertical="top" wrapText="1"/>
    </xf>
    <xf numFmtId="171" fontId="11" fillId="4" borderId="2" xfId="11" applyNumberFormat="1" applyFont="1" applyFill="1" applyBorder="1" applyAlignment="1">
      <alignment horizontal="right" vertical="top" wrapText="1"/>
    </xf>
    <xf numFmtId="172" fontId="11" fillId="0" borderId="2" xfId="11" applyNumberFormat="1" applyFont="1" applyBorder="1" applyAlignment="1">
      <alignment horizontal="right" vertical="top" wrapText="1"/>
    </xf>
    <xf numFmtId="0" fontId="8" fillId="0" borderId="15" xfId="14" applyFont="1" applyBorder="1" applyAlignment="1">
      <alignment horizontal="justify" vertical="top" wrapText="1"/>
    </xf>
    <xf numFmtId="171" fontId="11" fillId="0" borderId="2" xfId="11" applyNumberFormat="1" applyFont="1" applyBorder="1" applyAlignment="1">
      <alignment horizontal="right" vertical="top" wrapText="1"/>
    </xf>
    <xf numFmtId="0" fontId="8" fillId="0" borderId="2" xfId="22" applyFont="1" applyBorder="1" applyAlignment="1">
      <alignment horizontal="justify" vertical="top" wrapText="1"/>
    </xf>
    <xf numFmtId="0" fontId="8" fillId="0" borderId="15" xfId="22" applyFont="1" applyBorder="1" applyAlignment="1">
      <alignment horizontal="justify" vertical="top" wrapText="1"/>
    </xf>
    <xf numFmtId="172" fontId="11" fillId="4" borderId="2" xfId="12" applyNumberFormat="1" applyFont="1" applyFill="1" applyBorder="1" applyAlignment="1">
      <alignment vertical="top" wrapText="1"/>
    </xf>
    <xf numFmtId="171" fontId="8" fillId="0" borderId="0" xfId="11" applyNumberFormat="1" applyFont="1" applyAlignment="1">
      <alignment vertical="top" wrapText="1"/>
    </xf>
    <xf numFmtId="171" fontId="11" fillId="5" borderId="0" xfId="11" applyNumberFormat="1" applyFont="1" applyFill="1" applyAlignment="1">
      <alignment horizontal="right" vertical="top" wrapText="1"/>
    </xf>
    <xf numFmtId="172" fontId="11" fillId="5" borderId="0" xfId="11" applyNumberFormat="1" applyFont="1" applyFill="1" applyAlignment="1">
      <alignment horizontal="right" vertical="top" wrapText="1"/>
    </xf>
    <xf numFmtId="171" fontId="11" fillId="5" borderId="0" xfId="11" applyNumberFormat="1" applyFont="1" applyFill="1" applyAlignment="1">
      <alignment horizontal="left" vertical="top" wrapText="1"/>
    </xf>
    <xf numFmtId="171" fontId="16" fillId="3" borderId="2" xfId="11" applyNumberFormat="1" applyFont="1" applyFill="1" applyBorder="1" applyAlignment="1">
      <alignment vertical="top" wrapText="1"/>
    </xf>
    <xf numFmtId="171" fontId="29" fillId="0" borderId="0" xfId="11" applyNumberFormat="1" applyFont="1" applyAlignment="1">
      <alignment horizontal="right" vertical="top" wrapText="1"/>
    </xf>
    <xf numFmtId="172" fontId="29" fillId="0" borderId="0" xfId="11" applyNumberFormat="1" applyFont="1" applyAlignment="1">
      <alignment horizontal="right" vertical="top" wrapText="1"/>
    </xf>
    <xf numFmtId="0" fontId="29" fillId="0" borderId="0" xfId="11" applyFont="1" applyAlignment="1">
      <alignment horizontal="left" vertical="top" wrapText="1"/>
    </xf>
    <xf numFmtId="171" fontId="18" fillId="5" borderId="0" xfId="0" applyNumberFormat="1" applyFont="1" applyFill="1" applyAlignment="1">
      <alignment wrapText="1"/>
    </xf>
    <xf numFmtId="168" fontId="16" fillId="3" borderId="7" xfId="9" applyNumberFormat="1" applyFont="1" applyFill="1" applyBorder="1" applyAlignment="1" applyProtection="1">
      <alignment horizontal="center" vertical="center" wrapText="1"/>
    </xf>
    <xf numFmtId="0" fontId="18" fillId="0" borderId="0" xfId="0" applyFont="1" applyAlignment="1">
      <alignment wrapText="1"/>
    </xf>
    <xf numFmtId="171" fontId="8" fillId="0" borderId="0" xfId="0" applyNumberFormat="1" applyFont="1" applyAlignment="1">
      <alignment horizontal="right" vertical="top" wrapText="1"/>
    </xf>
    <xf numFmtId="171" fontId="11" fillId="0" borderId="0" xfId="9" applyNumberFormat="1" applyFont="1" applyFill="1" applyBorder="1" applyAlignment="1" applyProtection="1">
      <alignment horizontal="center" vertical="top" wrapText="1"/>
    </xf>
    <xf numFmtId="168" fontId="11" fillId="0" borderId="0" xfId="9" applyNumberFormat="1" applyFont="1" applyFill="1" applyBorder="1" applyAlignment="1" applyProtection="1">
      <alignment horizontal="center" vertical="top" wrapText="1"/>
    </xf>
    <xf numFmtId="172" fontId="8" fillId="0" borderId="2" xfId="0" applyNumberFormat="1" applyFont="1" applyBorder="1" applyAlignment="1">
      <alignment horizontal="right" vertical="top" wrapText="1"/>
    </xf>
    <xf numFmtId="171" fontId="8" fillId="0" borderId="2" xfId="0" applyNumberFormat="1" applyFont="1" applyBorder="1" applyAlignment="1">
      <alignment horizontal="right" vertical="top" wrapText="1"/>
    </xf>
    <xf numFmtId="171" fontId="11" fillId="4" borderId="2" xfId="0" applyNumberFormat="1" applyFont="1" applyFill="1" applyBorder="1" applyAlignment="1">
      <alignment horizontal="right" vertical="top" wrapText="1"/>
    </xf>
    <xf numFmtId="172" fontId="11" fillId="4" borderId="2" xfId="11" applyNumberFormat="1" applyFont="1" applyFill="1" applyBorder="1" applyAlignment="1">
      <alignment horizontal="right" vertical="top" wrapText="1"/>
    </xf>
    <xf numFmtId="171" fontId="11" fillId="0" borderId="0" xfId="0" applyNumberFormat="1" applyFont="1" applyAlignment="1">
      <alignment horizontal="right" vertical="top" wrapText="1"/>
    </xf>
    <xf numFmtId="170" fontId="11" fillId="0" borderId="0" xfId="0" applyNumberFormat="1" applyFont="1" applyAlignment="1">
      <alignment horizontal="right" vertical="top" wrapText="1"/>
    </xf>
    <xf numFmtId="171" fontId="16" fillId="3" borderId="2" xfId="9" applyNumberFormat="1" applyFont="1" applyFill="1" applyBorder="1" applyAlignment="1" applyProtection="1">
      <alignment horizontal="right" vertical="center" wrapText="1"/>
    </xf>
    <xf numFmtId="172" fontId="16" fillId="3" borderId="2" xfId="9" applyNumberFormat="1" applyFont="1" applyFill="1" applyBorder="1" applyAlignment="1" applyProtection="1">
      <alignment horizontal="right" vertical="center" wrapText="1"/>
    </xf>
    <xf numFmtId="170" fontId="8" fillId="0" borderId="0" xfId="0" applyNumberFormat="1" applyFont="1" applyAlignment="1">
      <alignment horizontal="right" vertical="top" wrapText="1"/>
    </xf>
    <xf numFmtId="171" fontId="16" fillId="3" borderId="6" xfId="9" applyNumberFormat="1" applyFont="1" applyFill="1" applyBorder="1" applyAlignment="1" applyProtection="1">
      <alignment horizontal="right" vertical="center" wrapText="1"/>
    </xf>
    <xf numFmtId="0" fontId="11" fillId="0" borderId="0" xfId="15" applyFont="1" applyAlignment="1">
      <alignment horizontal="left" wrapText="1"/>
    </xf>
    <xf numFmtId="0" fontId="8" fillId="0" borderId="8" xfId="15" applyFont="1" applyBorder="1" applyAlignment="1">
      <alignment horizontal="left" vertical="top" wrapText="1"/>
    </xf>
    <xf numFmtId="4" fontId="11" fillId="4" borderId="8" xfId="12" quotePrefix="1" applyNumberFormat="1" applyFont="1" applyFill="1" applyBorder="1" applyAlignment="1">
      <alignment horizontal="left" vertical="top" wrapText="1"/>
    </xf>
    <xf numFmtId="4" fontId="11" fillId="0" borderId="0" xfId="12" quotePrefix="1" applyNumberFormat="1" applyFont="1" applyAlignment="1">
      <alignment horizontal="left" vertical="top" wrapText="1"/>
    </xf>
    <xf numFmtId="0" fontId="8" fillId="0" borderId="2" xfId="15" applyFont="1" applyBorder="1" applyAlignment="1">
      <alignment horizontal="left" vertical="top" wrapText="1"/>
    </xf>
    <xf numFmtId="0" fontId="16" fillId="3" borderId="2" xfId="15" applyFont="1" applyFill="1" applyBorder="1" applyAlignment="1">
      <alignment horizontal="left" vertical="top" wrapText="1"/>
    </xf>
    <xf numFmtId="0" fontId="11" fillId="0" borderId="0" xfId="15" applyFont="1" applyAlignment="1">
      <alignment horizontal="justify" wrapText="1"/>
    </xf>
    <xf numFmtId="0" fontId="16" fillId="3" borderId="15" xfId="15" applyFont="1" applyFill="1" applyBorder="1" applyAlignment="1">
      <alignment horizontal="left" vertical="center" wrapText="1"/>
    </xf>
    <xf numFmtId="0" fontId="11" fillId="0" borderId="0" xfId="15" applyFont="1" applyAlignment="1">
      <alignment horizontal="left" vertical="center" wrapText="1"/>
    </xf>
    <xf numFmtId="0" fontId="8" fillId="0" borderId="0" xfId="15" applyFont="1" applyAlignment="1">
      <alignment wrapText="1"/>
    </xf>
    <xf numFmtId="0" fontId="16" fillId="3" borderId="2" xfId="15" applyFont="1" applyFill="1" applyBorder="1" applyAlignment="1">
      <alignment horizontal="justify" vertical="top" wrapText="1"/>
    </xf>
    <xf numFmtId="0" fontId="16" fillId="3" borderId="2" xfId="15" applyFont="1" applyFill="1" applyBorder="1" applyAlignment="1">
      <alignment horizontal="justify" wrapText="1"/>
    </xf>
    <xf numFmtId="171" fontId="16" fillId="3" borderId="15" xfId="15" applyNumberFormat="1" applyFont="1" applyFill="1" applyBorder="1" applyAlignment="1">
      <alignment horizontal="left" vertical="center" wrapText="1"/>
    </xf>
    <xf numFmtId="171" fontId="11" fillId="0" borderId="8" xfId="15" applyNumberFormat="1" applyFont="1" applyBorder="1" applyAlignment="1">
      <alignment horizontal="left" vertical="top" wrapText="1"/>
    </xf>
    <xf numFmtId="171" fontId="16" fillId="3" borderId="2" xfId="15" applyNumberFormat="1" applyFont="1" applyFill="1" applyBorder="1" applyAlignment="1">
      <alignment horizontal="justify" wrapText="1"/>
    </xf>
    <xf numFmtId="171" fontId="18" fillId="0" borderId="0" xfId="11" applyNumberFormat="1" applyFont="1" applyAlignment="1">
      <alignment wrapText="1"/>
    </xf>
    <xf numFmtId="0" fontId="16" fillId="3" borderId="15" xfId="2" quotePrefix="1" applyFont="1" applyFill="1" applyBorder="1" applyAlignment="1">
      <alignment horizontal="left" vertical="center" wrapText="1"/>
    </xf>
    <xf numFmtId="0" fontId="8" fillId="0" borderId="8" xfId="2" applyFont="1" applyBorder="1" applyAlignment="1">
      <alignment horizontal="left" vertical="top" wrapText="1"/>
    </xf>
    <xf numFmtId="0" fontId="16" fillId="3" borderId="2" xfId="2" quotePrefix="1" applyFont="1" applyFill="1" applyBorder="1" applyAlignment="1">
      <alignment horizontal="left" vertical="center" wrapText="1"/>
    </xf>
    <xf numFmtId="0" fontId="11" fillId="5" borderId="0" xfId="15" applyFont="1" applyFill="1" applyAlignment="1">
      <alignment wrapText="1"/>
    </xf>
    <xf numFmtId="0" fontId="36" fillId="5" borderId="0" xfId="15" applyFont="1" applyFill="1" applyAlignment="1">
      <alignment wrapText="1"/>
    </xf>
    <xf numFmtId="0" fontId="16" fillId="3" borderId="2" xfId="15" applyFont="1" applyFill="1" applyBorder="1" applyAlignment="1">
      <alignment wrapText="1"/>
    </xf>
    <xf numFmtId="167" fontId="11" fillId="0" borderId="0" xfId="18" applyNumberFormat="1" applyFont="1" applyFill="1" applyBorder="1" applyAlignment="1" applyProtection="1">
      <alignment horizontal="right"/>
    </xf>
    <xf numFmtId="168" fontId="11" fillId="0" borderId="0" xfId="18" applyNumberFormat="1" applyFont="1" applyFill="1" applyBorder="1" applyAlignment="1" applyProtection="1">
      <alignment horizontal="right"/>
    </xf>
    <xf numFmtId="0" fontId="11" fillId="0" borderId="0" xfId="15" applyFont="1" applyAlignment="1">
      <alignment horizontal="center" vertical="top" wrapText="1"/>
    </xf>
    <xf numFmtId="0" fontId="16" fillId="3" borderId="6" xfId="12" applyFont="1" applyFill="1" applyBorder="1" applyAlignment="1">
      <alignment horizontal="right" vertical="top" wrapText="1"/>
    </xf>
    <xf numFmtId="171" fontId="8" fillId="0" borderId="8" xfId="18" applyNumberFormat="1" applyFont="1" applyFill="1" applyBorder="1" applyAlignment="1" applyProtection="1">
      <alignment horizontal="right" vertical="top"/>
    </xf>
    <xf numFmtId="171" fontId="11" fillId="4" borderId="8" xfId="18" applyNumberFormat="1" applyFont="1" applyFill="1" applyBorder="1" applyAlignment="1" applyProtection="1">
      <alignment horizontal="right" vertical="top"/>
    </xf>
    <xf numFmtId="172" fontId="8" fillId="0" borderId="8" xfId="18" applyNumberFormat="1" applyFont="1" applyFill="1" applyBorder="1" applyAlignment="1" applyProtection="1">
      <alignment horizontal="right" vertical="top"/>
    </xf>
    <xf numFmtId="0" fontId="8" fillId="0" borderId="16" xfId="12" applyFont="1" applyBorder="1" applyAlignment="1">
      <alignment horizontal="left" vertical="top" wrapText="1"/>
    </xf>
    <xf numFmtId="170" fontId="23" fillId="4" borderId="2" xfId="12" applyNumberFormat="1" applyFont="1" applyFill="1" applyBorder="1" applyAlignment="1">
      <alignment vertical="top" wrapText="1"/>
    </xf>
    <xf numFmtId="170" fontId="23" fillId="4" borderId="15" xfId="12" applyNumberFormat="1" applyFont="1" applyFill="1" applyBorder="1" applyAlignment="1">
      <alignment vertical="top" wrapText="1"/>
    </xf>
    <xf numFmtId="171" fontId="11" fillId="0" borderId="0" xfId="18" applyNumberFormat="1" applyFont="1" applyFill="1" applyBorder="1" applyAlignment="1" applyProtection="1">
      <alignment horizontal="right"/>
    </xf>
    <xf numFmtId="172" fontId="11" fillId="0" borderId="0" xfId="18" applyNumberFormat="1" applyFont="1" applyFill="1" applyBorder="1" applyAlignment="1" applyProtection="1">
      <alignment horizontal="right"/>
    </xf>
    <xf numFmtId="0" fontId="16" fillId="4" borderId="6" xfId="11" applyFont="1" applyFill="1" applyBorder="1" applyAlignment="1">
      <alignment horizontal="center" vertical="center" wrapText="1"/>
    </xf>
    <xf numFmtId="171" fontId="11" fillId="0" borderId="0" xfId="15" applyNumberFormat="1" applyFont="1" applyAlignment="1">
      <alignment wrapText="1"/>
    </xf>
    <xf numFmtId="172" fontId="11" fillId="0" borderId="0" xfId="15" applyNumberFormat="1" applyFont="1" applyAlignment="1">
      <alignment horizontal="right" wrapText="1"/>
    </xf>
    <xf numFmtId="0" fontId="11" fillId="0" borderId="0" xfId="15" applyFont="1" applyAlignment="1">
      <alignment horizontal="left" vertical="top" wrapText="1"/>
    </xf>
    <xf numFmtId="170" fontId="23" fillId="4" borderId="8" xfId="12" applyNumberFormat="1" applyFont="1" applyFill="1" applyBorder="1" applyAlignment="1">
      <alignment vertical="top" wrapText="1"/>
    </xf>
    <xf numFmtId="170" fontId="23" fillId="4" borderId="16" xfId="12" applyNumberFormat="1" applyFont="1" applyFill="1" applyBorder="1" applyAlignment="1">
      <alignment vertical="top" wrapText="1"/>
    </xf>
    <xf numFmtId="171" fontId="11" fillId="0" borderId="0" xfId="12" applyNumberFormat="1" applyFont="1" applyAlignment="1">
      <alignment vertical="top" wrapText="1"/>
    </xf>
    <xf numFmtId="172" fontId="11" fillId="0" borderId="0" xfId="12" applyNumberFormat="1" applyFont="1" applyAlignment="1">
      <alignment horizontal="right" vertical="top"/>
    </xf>
    <xf numFmtId="170" fontId="23" fillId="0" borderId="0" xfId="12" applyNumberFormat="1" applyFont="1" applyAlignment="1">
      <alignment vertical="top" wrapText="1"/>
    </xf>
    <xf numFmtId="171" fontId="8" fillId="0" borderId="2" xfId="18" applyNumberFormat="1" applyFont="1" applyFill="1" applyBorder="1" applyAlignment="1" applyProtection="1">
      <alignment horizontal="right" vertical="top"/>
    </xf>
    <xf numFmtId="171" fontId="11" fillId="4" borderId="2" xfId="18" applyNumberFormat="1" applyFont="1" applyFill="1" applyBorder="1" applyAlignment="1" applyProtection="1">
      <alignment horizontal="right" vertical="top"/>
    </xf>
    <xf numFmtId="172" fontId="8" fillId="0" borderId="2" xfId="18" applyNumberFormat="1" applyFont="1" applyFill="1" applyBorder="1" applyAlignment="1" applyProtection="1">
      <alignment horizontal="right" vertical="top"/>
    </xf>
    <xf numFmtId="0" fontId="8" fillId="0" borderId="16" xfId="12" applyFont="1" applyBorder="1" applyAlignment="1">
      <alignment vertical="top" wrapText="1"/>
    </xf>
    <xf numFmtId="0" fontId="8" fillId="0" borderId="15" xfId="12" applyFont="1" applyBorder="1" applyAlignment="1">
      <alignment vertical="top" wrapText="1"/>
    </xf>
    <xf numFmtId="171" fontId="11" fillId="0" borderId="0" xfId="18" applyNumberFormat="1" applyFont="1" applyFill="1" applyBorder="1" applyAlignment="1" applyProtection="1"/>
    <xf numFmtId="171" fontId="16" fillId="3" borderId="2" xfId="15" applyNumberFormat="1" applyFont="1" applyFill="1" applyBorder="1"/>
    <xf numFmtId="172" fontId="16" fillId="3" borderId="2" xfId="18" applyNumberFormat="1" applyFont="1" applyFill="1" applyBorder="1" applyAlignment="1" applyProtection="1">
      <alignment horizontal="right"/>
    </xf>
    <xf numFmtId="0" fontId="8" fillId="3" borderId="2" xfId="15" applyFont="1" applyFill="1" applyBorder="1" applyAlignment="1">
      <alignment vertical="top" wrapText="1"/>
    </xf>
    <xf numFmtId="0" fontId="8" fillId="3" borderId="15" xfId="15" applyFont="1" applyFill="1" applyBorder="1" applyAlignment="1">
      <alignment vertical="top" wrapText="1"/>
    </xf>
    <xf numFmtId="171" fontId="11" fillId="0" borderId="0" xfId="15" applyNumberFormat="1" applyFont="1" applyAlignment="1">
      <alignment horizontal="right"/>
    </xf>
    <xf numFmtId="172" fontId="11" fillId="0" borderId="0" xfId="15" applyNumberFormat="1" applyFont="1" applyAlignment="1">
      <alignment horizontal="right"/>
    </xf>
    <xf numFmtId="0" fontId="8" fillId="0" borderId="0" xfId="15" applyFont="1" applyAlignment="1">
      <alignment vertical="top" wrapText="1"/>
    </xf>
    <xf numFmtId="171" fontId="16" fillId="3" borderId="6" xfId="18" applyNumberFormat="1" applyFont="1" applyFill="1" applyBorder="1" applyAlignment="1" applyProtection="1">
      <alignment horizontal="right" vertical="top"/>
    </xf>
    <xf numFmtId="0" fontId="16" fillId="3" borderId="6" xfId="15" applyFont="1" applyFill="1" applyBorder="1" applyAlignment="1">
      <alignment horizontal="center" vertical="top" wrapText="1"/>
    </xf>
    <xf numFmtId="171" fontId="11" fillId="0" borderId="0" xfId="18" applyNumberFormat="1" applyFont="1" applyFill="1" applyBorder="1" applyAlignment="1" applyProtection="1">
      <alignment horizontal="right" vertical="top"/>
    </xf>
    <xf numFmtId="171" fontId="11" fillId="0" borderId="0" xfId="15" applyNumberFormat="1" applyFont="1"/>
    <xf numFmtId="0" fontId="8" fillId="5" borderId="0" xfId="15" applyFont="1" applyFill="1" applyAlignment="1">
      <alignment horizontal="left" vertical="top" wrapText="1"/>
    </xf>
    <xf numFmtId="171" fontId="18" fillId="5" borderId="0" xfId="0" applyNumberFormat="1" applyFont="1" applyFill="1"/>
    <xf numFmtId="171" fontId="23" fillId="5" borderId="0" xfId="0" applyNumberFormat="1" applyFont="1" applyFill="1"/>
    <xf numFmtId="0" fontId="18" fillId="5" borderId="0" xfId="0" applyFont="1" applyFill="1" applyAlignment="1">
      <alignment horizontal="right"/>
    </xf>
    <xf numFmtId="0" fontId="18" fillId="5" borderId="0" xfId="0" applyFont="1" applyFill="1" applyAlignment="1">
      <alignment vertical="top" wrapText="1"/>
    </xf>
    <xf numFmtId="0" fontId="18" fillId="0" borderId="0" xfId="0" applyFont="1" applyAlignment="1">
      <alignment vertical="top" wrapText="1"/>
    </xf>
    <xf numFmtId="171" fontId="11" fillId="0" borderId="0" xfId="15" applyNumberFormat="1" applyFont="1" applyAlignment="1">
      <alignment horizontal="right" wrapText="1"/>
    </xf>
    <xf numFmtId="171" fontId="8" fillId="0" borderId="0" xfId="15" applyNumberFormat="1" applyFont="1" applyAlignment="1">
      <alignment horizontal="right" wrapText="1"/>
    </xf>
    <xf numFmtId="172" fontId="8" fillId="0" borderId="0" xfId="15" applyNumberFormat="1" applyFont="1" applyAlignment="1">
      <alignment horizontal="right" wrapText="1"/>
    </xf>
    <xf numFmtId="171" fontId="16" fillId="3" borderId="2" xfId="15" applyNumberFormat="1" applyFont="1" applyFill="1" applyBorder="1" applyAlignment="1">
      <alignment horizontal="right" wrapText="1"/>
    </xf>
    <xf numFmtId="0" fontId="8" fillId="3" borderId="2" xfId="15" applyFont="1" applyFill="1" applyBorder="1" applyAlignment="1">
      <alignment wrapText="1"/>
    </xf>
    <xf numFmtId="0" fontId="8" fillId="3" borderId="15" xfId="15" applyFont="1" applyFill="1" applyBorder="1" applyAlignment="1">
      <alignment wrapText="1"/>
    </xf>
    <xf numFmtId="10" fontId="16" fillId="3" borderId="6" xfId="18" applyNumberFormat="1" applyFont="1" applyFill="1" applyBorder="1" applyAlignment="1" applyProtection="1">
      <alignment horizontal="right" vertical="top"/>
    </xf>
    <xf numFmtId="171" fontId="16" fillId="3" borderId="6" xfId="15" applyNumberFormat="1" applyFont="1" applyFill="1" applyBorder="1" applyAlignment="1">
      <alignment horizontal="center" vertical="top" wrapText="1"/>
    </xf>
    <xf numFmtId="171" fontId="8" fillId="0" borderId="8" xfId="11" applyNumberFormat="1" applyFont="1" applyBorder="1" applyAlignment="1">
      <alignment horizontal="left" vertical="top" wrapText="1"/>
    </xf>
    <xf numFmtId="0" fontId="37" fillId="0" borderId="2" xfId="11" applyFont="1" applyBorder="1" applyAlignment="1" applyProtection="1">
      <alignment horizontal="left" vertical="top" wrapText="1"/>
      <protection locked="0"/>
    </xf>
    <xf numFmtId="171" fontId="8" fillId="3" borderId="2" xfId="15" applyNumberFormat="1" applyFont="1" applyFill="1" applyBorder="1" applyAlignment="1">
      <alignment vertical="top" wrapText="1"/>
    </xf>
    <xf numFmtId="171" fontId="8" fillId="3" borderId="15" xfId="15" applyNumberFormat="1" applyFont="1" applyFill="1" applyBorder="1" applyAlignment="1">
      <alignment vertical="top" wrapText="1"/>
    </xf>
    <xf numFmtId="171" fontId="18" fillId="0" borderId="0" xfId="11" applyNumberFormat="1" applyFont="1"/>
    <xf numFmtId="171" fontId="23" fillId="0" borderId="0" xfId="11" applyNumberFormat="1" applyFont="1"/>
    <xf numFmtId="10" fontId="18" fillId="0" borderId="0" xfId="11" applyNumberFormat="1" applyFont="1" applyAlignment="1">
      <alignment horizontal="right"/>
    </xf>
    <xf numFmtId="171" fontId="18" fillId="5" borderId="0" xfId="11" applyNumberFormat="1" applyFont="1" applyFill="1" applyAlignment="1">
      <alignment vertical="top" wrapText="1"/>
    </xf>
    <xf numFmtId="171" fontId="8" fillId="5" borderId="0" xfId="15" applyNumberFormat="1" applyFont="1" applyFill="1" applyAlignment="1">
      <alignment horizontal="left" vertical="top" wrapText="1"/>
    </xf>
    <xf numFmtId="2" fontId="16" fillId="3" borderId="6" xfId="9" applyNumberFormat="1" applyFont="1" applyFill="1" applyBorder="1" applyAlignment="1" applyProtection="1">
      <alignment horizontal="right" vertical="center"/>
    </xf>
    <xf numFmtId="0" fontId="16" fillId="3" borderId="6" xfId="2" applyFont="1" applyFill="1" applyBorder="1" applyAlignment="1">
      <alignment horizontal="center" vertical="center" wrapText="1"/>
    </xf>
    <xf numFmtId="171" fontId="8" fillId="5" borderId="8" xfId="17" applyNumberFormat="1" applyFont="1" applyFill="1" applyBorder="1" applyAlignment="1" applyProtection="1">
      <alignment horizontal="right" vertical="top"/>
    </xf>
    <xf numFmtId="171" fontId="11" fillId="4" borderId="8" xfId="17" applyNumberFormat="1" applyFont="1" applyFill="1" applyBorder="1" applyAlignment="1" applyProtection="1">
      <alignment horizontal="right" vertical="top"/>
    </xf>
    <xf numFmtId="0" fontId="8" fillId="0" borderId="8" xfId="10" applyFont="1" applyBorder="1" applyAlignment="1">
      <alignment horizontal="left" vertical="top" wrapText="1"/>
    </xf>
    <xf numFmtId="0" fontId="8" fillId="3" borderId="2" xfId="2" applyFont="1" applyFill="1" applyBorder="1" applyAlignment="1">
      <alignment horizontal="left" vertical="top" wrapText="1"/>
    </xf>
    <xf numFmtId="0" fontId="8" fillId="3" borderId="15" xfId="2" applyFont="1" applyFill="1" applyBorder="1" applyAlignment="1">
      <alignment horizontal="left" vertical="top" wrapText="1"/>
    </xf>
    <xf numFmtId="171" fontId="11" fillId="5" borderId="0" xfId="15" applyNumberFormat="1" applyFont="1" applyFill="1" applyAlignment="1">
      <alignment horizontal="right"/>
    </xf>
    <xf numFmtId="0" fontId="8" fillId="5" borderId="0" xfId="15" applyFont="1" applyFill="1" applyAlignment="1">
      <alignment vertical="top" wrapText="1"/>
    </xf>
    <xf numFmtId="171" fontId="36" fillId="5" borderId="0" xfId="15" applyNumberFormat="1" applyFont="1" applyFill="1" applyAlignment="1">
      <alignment horizontal="right"/>
    </xf>
    <xf numFmtId="172" fontId="36" fillId="5" borderId="0" xfId="15" applyNumberFormat="1" applyFont="1" applyFill="1" applyAlignment="1">
      <alignment horizontal="right"/>
    </xf>
    <xf numFmtId="0" fontId="29" fillId="5" borderId="0" xfId="15" applyFont="1" applyFill="1" applyAlignment="1">
      <alignment vertical="top" wrapText="1"/>
    </xf>
    <xf numFmtId="171" fontId="16" fillId="3" borderId="2" xfId="15" applyNumberFormat="1" applyFont="1" applyFill="1" applyBorder="1" applyAlignment="1">
      <alignment horizontal="right"/>
    </xf>
    <xf numFmtId="0" fontId="26" fillId="5" borderId="0" xfId="15" applyFont="1" applyFill="1" applyAlignment="1">
      <alignment vertical="top" wrapText="1"/>
    </xf>
    <xf numFmtId="0" fontId="38" fillId="0" borderId="0" xfId="0" applyFont="1"/>
    <xf numFmtId="0" fontId="25" fillId="0" borderId="0" xfId="0" applyFont="1" applyAlignment="1">
      <alignment horizontal="right"/>
    </xf>
    <xf numFmtId="0" fontId="16" fillId="3" borderId="15" xfId="2" applyFont="1" applyFill="1" applyBorder="1" applyAlignment="1">
      <alignment horizontal="left" vertical="center" wrapText="1"/>
    </xf>
    <xf numFmtId="0" fontId="8" fillId="0" borderId="2" xfId="2" applyFont="1" applyBorder="1" applyAlignment="1">
      <alignment horizontal="left" vertical="top" wrapText="1"/>
    </xf>
    <xf numFmtId="0" fontId="8" fillId="0" borderId="2" xfId="23" applyFont="1" applyBorder="1" applyAlignment="1">
      <alignment horizontal="left" vertical="top" wrapText="1"/>
    </xf>
    <xf numFmtId="171" fontId="11" fillId="0" borderId="0" xfId="15" applyNumberFormat="1" applyFont="1" applyAlignment="1">
      <alignment horizontal="justify" vertical="top" wrapText="1"/>
    </xf>
    <xf numFmtId="0" fontId="16" fillId="3" borderId="2" xfId="2" applyFont="1" applyFill="1" applyBorder="1" applyAlignment="1">
      <alignment horizontal="left" vertical="top" wrapText="1"/>
    </xf>
    <xf numFmtId="0" fontId="16" fillId="0" borderId="0" xfId="2" applyFont="1" applyAlignment="1">
      <alignment horizontal="left" vertical="top" wrapText="1"/>
    </xf>
    <xf numFmtId="0" fontId="11" fillId="5" borderId="0" xfId="2" applyFont="1" applyFill="1" applyAlignment="1">
      <alignment horizontal="left" vertical="top" wrapText="1"/>
    </xf>
    <xf numFmtId="4" fontId="11" fillId="5" borderId="0" xfId="2" applyNumberFormat="1" applyFont="1" applyFill="1" applyAlignment="1">
      <alignment horizontal="left" vertical="top" wrapText="1"/>
    </xf>
    <xf numFmtId="4" fontId="11" fillId="0" borderId="15" xfId="12" applyNumberFormat="1" applyFont="1" applyBorder="1" applyAlignment="1">
      <alignment horizontal="left" vertical="top" wrapText="1"/>
    </xf>
    <xf numFmtId="4" fontId="11" fillId="0" borderId="0" xfId="2" applyNumberFormat="1" applyFont="1" applyAlignment="1">
      <alignment horizontal="left" vertical="top" wrapText="1"/>
    </xf>
    <xf numFmtId="0" fontId="16" fillId="3" borderId="2" xfId="2" applyFont="1" applyFill="1" applyBorder="1" applyAlignment="1">
      <alignment horizontal="left" vertical="center" wrapText="1"/>
    </xf>
    <xf numFmtId="0" fontId="11" fillId="0" borderId="0" xfId="2" applyFont="1" applyAlignment="1">
      <alignment horizontal="left" vertical="top" wrapText="1"/>
    </xf>
    <xf numFmtId="0" fontId="11" fillId="0" borderId="8" xfId="15" applyFont="1" applyBorder="1" applyAlignment="1">
      <alignment horizontal="left" vertical="top" wrapText="1"/>
    </xf>
    <xf numFmtId="0" fontId="11" fillId="0" borderId="2" xfId="15" applyFont="1" applyBorder="1" applyAlignment="1">
      <alignment horizontal="left" vertical="top" wrapText="1"/>
    </xf>
    <xf numFmtId="0" fontId="16" fillId="3" borderId="0" xfId="15" applyFont="1" applyFill="1" applyAlignment="1">
      <alignment wrapText="1"/>
    </xf>
    <xf numFmtId="0" fontId="18" fillId="0" borderId="0" xfId="2" applyFont="1" applyAlignment="1">
      <alignment wrapText="1"/>
    </xf>
    <xf numFmtId="0" fontId="16" fillId="3" borderId="15" xfId="15" applyFont="1" applyFill="1" applyBorder="1" applyAlignment="1">
      <alignment vertical="center" wrapText="1"/>
    </xf>
    <xf numFmtId="0" fontId="18" fillId="0" borderId="0" xfId="11" applyFont="1" applyAlignment="1">
      <alignment wrapText="1"/>
    </xf>
    <xf numFmtId="171" fontId="8" fillId="0" borderId="8" xfId="15" applyNumberFormat="1" applyFont="1" applyBorder="1" applyAlignment="1">
      <alignment horizontal="left" vertical="top" wrapText="1"/>
    </xf>
    <xf numFmtId="171" fontId="8" fillId="0" borderId="2" xfId="15" applyNumberFormat="1" applyFont="1" applyBorder="1" applyAlignment="1">
      <alignment horizontal="left" vertical="top" wrapText="1"/>
    </xf>
    <xf numFmtId="171" fontId="11" fillId="4" borderId="2" xfId="12" applyNumberFormat="1" applyFont="1" applyFill="1" applyBorder="1" applyAlignment="1">
      <alignment horizontal="left" vertical="top" wrapText="1"/>
    </xf>
    <xf numFmtId="171" fontId="11" fillId="0" borderId="0" xfId="15" applyNumberFormat="1" applyFont="1" applyAlignment="1">
      <alignment horizontal="left" wrapText="1"/>
    </xf>
    <xf numFmtId="171" fontId="11" fillId="4" borderId="15" xfId="12" applyNumberFormat="1" applyFont="1" applyFill="1" applyBorder="1" applyAlignment="1">
      <alignment vertical="top" wrapText="1"/>
    </xf>
    <xf numFmtId="171" fontId="16" fillId="3" borderId="2" xfId="15" applyNumberFormat="1" applyFont="1" applyFill="1" applyBorder="1" applyAlignment="1">
      <alignment horizontal="justify" vertical="top" wrapText="1"/>
    </xf>
    <xf numFmtId="171" fontId="11" fillId="5" borderId="0" xfId="2" applyNumberFormat="1" applyFont="1" applyFill="1" applyAlignment="1">
      <alignment horizontal="left" vertical="top" wrapText="1"/>
    </xf>
    <xf numFmtId="171" fontId="8" fillId="0" borderId="2" xfId="15" quotePrefix="1" applyNumberFormat="1" applyFont="1" applyBorder="1" applyAlignment="1">
      <alignment horizontal="left" vertical="top" wrapText="1"/>
    </xf>
    <xf numFmtId="0" fontId="16" fillId="3" borderId="2" xfId="15" quotePrefix="1" applyFont="1" applyFill="1" applyBorder="1" applyAlignment="1">
      <alignment horizontal="left" wrapText="1"/>
    </xf>
    <xf numFmtId="0" fontId="18" fillId="5" borderId="0" xfId="11" applyFont="1" applyFill="1" applyAlignment="1">
      <alignment wrapText="1"/>
    </xf>
    <xf numFmtId="171" fontId="11" fillId="0" borderId="0" xfId="15" applyNumberFormat="1" applyFont="1" applyAlignment="1">
      <alignment horizontal="left" vertical="center" wrapText="1"/>
    </xf>
    <xf numFmtId="171" fontId="8" fillId="0" borderId="0" xfId="15" applyNumberFormat="1" applyFont="1" applyAlignment="1">
      <alignment wrapText="1"/>
    </xf>
    <xf numFmtId="171" fontId="16" fillId="3" borderId="2" xfId="15" applyNumberFormat="1" applyFont="1" applyFill="1" applyBorder="1" applyAlignment="1">
      <alignment wrapText="1"/>
    </xf>
    <xf numFmtId="171" fontId="16" fillId="3" borderId="15" xfId="2" applyNumberFormat="1" applyFont="1" applyFill="1" applyBorder="1" applyAlignment="1">
      <alignment horizontal="left" vertical="center" wrapText="1"/>
    </xf>
    <xf numFmtId="171" fontId="16" fillId="3" borderId="2" xfId="2" applyNumberFormat="1" applyFont="1" applyFill="1" applyBorder="1" applyAlignment="1">
      <alignment horizontal="left" vertical="top" wrapText="1"/>
    </xf>
    <xf numFmtId="0" fontId="24" fillId="5" borderId="0" xfId="11" applyFont="1" applyFill="1" applyAlignment="1">
      <alignment wrapText="1"/>
    </xf>
    <xf numFmtId="0" fontId="16" fillId="3" borderId="0" xfId="2" applyFont="1" applyFill="1" applyAlignment="1">
      <alignment horizontal="left" vertical="center" wrapText="1"/>
    </xf>
    <xf numFmtId="0" fontId="8" fillId="0" borderId="2" xfId="15" quotePrefix="1" applyFont="1" applyBorder="1" applyAlignment="1">
      <alignment horizontal="left" vertical="top" wrapText="1"/>
    </xf>
    <xf numFmtId="167" fontId="23" fillId="5" borderId="0" xfId="0" applyNumberFormat="1" applyFont="1" applyFill="1"/>
    <xf numFmtId="171" fontId="8" fillId="5" borderId="8" xfId="17" applyNumberFormat="1" applyFont="1" applyFill="1" applyBorder="1" applyAlignment="1" applyProtection="1">
      <alignment vertical="top"/>
    </xf>
    <xf numFmtId="171" fontId="8" fillId="0" borderId="8" xfId="17" applyNumberFormat="1" applyFont="1" applyFill="1" applyBorder="1" applyAlignment="1" applyProtection="1">
      <alignment vertical="top"/>
    </xf>
    <xf numFmtId="171" fontId="11" fillId="4" borderId="8" xfId="17" applyNumberFormat="1" applyFont="1" applyFill="1" applyBorder="1" applyAlignment="1" applyProtection="1">
      <alignment vertical="top"/>
    </xf>
    <xf numFmtId="171" fontId="8" fillId="5" borderId="2" xfId="17" applyNumberFormat="1" applyFont="1" applyFill="1" applyBorder="1" applyAlignment="1" applyProtection="1">
      <alignment vertical="top"/>
    </xf>
    <xf numFmtId="171" fontId="11" fillId="4" borderId="2" xfId="17" applyNumberFormat="1" applyFont="1" applyFill="1" applyBorder="1" applyAlignment="1" applyProtection="1">
      <alignment vertical="top"/>
    </xf>
    <xf numFmtId="0" fontId="8" fillId="4" borderId="2" xfId="2" applyFont="1" applyFill="1" applyBorder="1" applyAlignment="1">
      <alignment horizontal="left" vertical="top" wrapText="1"/>
    </xf>
    <xf numFmtId="0" fontId="11" fillId="4" borderId="15" xfId="2" applyFont="1" applyFill="1" applyBorder="1" applyAlignment="1">
      <alignment horizontal="left" vertical="top" wrapText="1"/>
    </xf>
    <xf numFmtId="10" fontId="11" fillId="0" borderId="0" xfId="15" applyNumberFormat="1" applyFont="1" applyAlignment="1">
      <alignment horizontal="right"/>
    </xf>
    <xf numFmtId="171" fontId="8" fillId="5" borderId="0" xfId="15" applyNumberFormat="1" applyFont="1" applyFill="1" applyAlignment="1">
      <alignment vertical="top" wrapText="1"/>
    </xf>
    <xf numFmtId="0" fontId="8" fillId="4" borderId="6" xfId="2" applyFont="1" applyFill="1" applyBorder="1" applyAlignment="1">
      <alignment horizontal="left" vertical="top" wrapText="1"/>
    </xf>
    <xf numFmtId="171" fontId="8" fillId="5" borderId="2" xfId="17" applyNumberFormat="1" applyFont="1" applyFill="1" applyBorder="1" applyAlignment="1" applyProtection="1">
      <alignment horizontal="right" vertical="top"/>
    </xf>
    <xf numFmtId="171" fontId="16" fillId="0" borderId="0" xfId="2" applyNumberFormat="1" applyFont="1" applyAlignment="1">
      <alignment vertical="top"/>
    </xf>
    <xf numFmtId="172" fontId="16" fillId="0" borderId="0" xfId="2" applyNumberFormat="1" applyFont="1" applyAlignment="1">
      <alignment horizontal="right" vertical="top"/>
    </xf>
    <xf numFmtId="0" fontId="16" fillId="3" borderId="6" xfId="2" applyFont="1" applyFill="1" applyBorder="1" applyAlignment="1">
      <alignment horizontal="center" vertical="top" wrapText="1"/>
    </xf>
    <xf numFmtId="171" fontId="8" fillId="0" borderId="8" xfId="17" applyNumberFormat="1" applyFont="1" applyFill="1" applyBorder="1" applyAlignment="1" applyProtection="1">
      <alignment horizontal="right" vertical="top"/>
    </xf>
    <xf numFmtId="171" fontId="11" fillId="5" borderId="0" xfId="2" applyNumberFormat="1" applyFont="1" applyFill="1" applyAlignment="1">
      <alignment vertical="top"/>
    </xf>
    <xf numFmtId="171" fontId="11" fillId="0" borderId="0" xfId="17" applyNumberFormat="1" applyFont="1" applyFill="1" applyBorder="1" applyAlignment="1" applyProtection="1">
      <alignment horizontal="right" vertical="top"/>
    </xf>
    <xf numFmtId="172" fontId="8" fillId="0" borderId="0" xfId="18" applyNumberFormat="1" applyFont="1" applyFill="1" applyBorder="1" applyAlignment="1" applyProtection="1">
      <alignment horizontal="right" vertical="top"/>
    </xf>
    <xf numFmtId="0" fontId="8" fillId="4" borderId="15" xfId="2" applyFont="1" applyFill="1" applyBorder="1" applyAlignment="1">
      <alignment horizontal="left" vertical="top" wrapText="1"/>
    </xf>
    <xf numFmtId="172" fontId="8" fillId="5" borderId="0" xfId="2" applyNumberFormat="1" applyFont="1" applyFill="1" applyAlignment="1">
      <alignment horizontal="right" vertical="top"/>
    </xf>
    <xf numFmtId="0" fontId="8" fillId="0" borderId="0" xfId="10" applyFont="1" applyAlignment="1">
      <alignment horizontal="left" vertical="top" wrapText="1"/>
    </xf>
    <xf numFmtId="0" fontId="11" fillId="4" borderId="2" xfId="2" applyFont="1" applyFill="1" applyBorder="1" applyAlignment="1">
      <alignment horizontal="left" vertical="top" wrapText="1"/>
    </xf>
    <xf numFmtId="171" fontId="11" fillId="0" borderId="6" xfId="12" applyNumberFormat="1" applyFont="1" applyBorder="1" applyAlignment="1">
      <alignment vertical="top" wrapText="1"/>
    </xf>
    <xf numFmtId="172" fontId="11" fillId="0" borderId="6" xfId="12" applyNumberFormat="1" applyFont="1" applyBorder="1" applyAlignment="1">
      <alignment vertical="top"/>
    </xf>
    <xf numFmtId="0" fontId="11" fillId="0" borderId="6" xfId="2" applyFont="1" applyBorder="1" applyAlignment="1">
      <alignment horizontal="left" vertical="top" wrapText="1"/>
    </xf>
    <xf numFmtId="0" fontId="8" fillId="0" borderId="6" xfId="2" applyFont="1" applyBorder="1" applyAlignment="1">
      <alignment horizontal="left" vertical="top" wrapText="1"/>
    </xf>
    <xf numFmtId="171" fontId="11" fillId="0" borderId="0" xfId="2" applyNumberFormat="1" applyFont="1" applyAlignment="1">
      <alignment vertical="top"/>
    </xf>
    <xf numFmtId="172" fontId="11" fillId="0" borderId="0" xfId="2" applyNumberFormat="1" applyFont="1" applyAlignment="1">
      <alignment horizontal="right" vertical="top"/>
    </xf>
    <xf numFmtId="171" fontId="11" fillId="3" borderId="6" xfId="9" applyNumberFormat="1" applyFont="1" applyFill="1" applyBorder="1" applyAlignment="1" applyProtection="1">
      <alignment horizontal="center" vertical="center"/>
    </xf>
    <xf numFmtId="172" fontId="11" fillId="3" borderId="6" xfId="9" applyNumberFormat="1" applyFont="1" applyFill="1" applyBorder="1" applyAlignment="1" applyProtection="1">
      <alignment horizontal="right" vertical="center"/>
    </xf>
    <xf numFmtId="0" fontId="11" fillId="3" borderId="6" xfId="2" applyFont="1" applyFill="1" applyBorder="1" applyAlignment="1">
      <alignment horizontal="center" vertical="top" wrapText="1"/>
    </xf>
    <xf numFmtId="0" fontId="11" fillId="4" borderId="6" xfId="2" applyFont="1" applyFill="1" applyBorder="1" applyAlignment="1">
      <alignment horizontal="left" vertical="top" wrapText="1"/>
    </xf>
    <xf numFmtId="171" fontId="8" fillId="5" borderId="0" xfId="17" applyNumberFormat="1" applyFont="1" applyFill="1" applyBorder="1" applyAlignment="1" applyProtection="1">
      <alignment horizontal="right" vertical="top"/>
    </xf>
    <xf numFmtId="171" fontId="11" fillId="5" borderId="0" xfId="17" applyNumberFormat="1" applyFont="1" applyFill="1" applyBorder="1" applyAlignment="1" applyProtection="1">
      <alignment horizontal="right" vertical="top"/>
    </xf>
    <xf numFmtId="0" fontId="18" fillId="5" borderId="8" xfId="0" applyFont="1" applyFill="1" applyBorder="1" applyAlignment="1">
      <alignment vertical="top" wrapText="1"/>
    </xf>
    <xf numFmtId="0" fontId="18" fillId="5" borderId="16" xfId="0" applyFont="1" applyFill="1" applyBorder="1" applyAlignment="1">
      <alignment vertical="top" wrapText="1"/>
    </xf>
    <xf numFmtId="0" fontId="18" fillId="5" borderId="2" xfId="0" applyFont="1" applyFill="1" applyBorder="1" applyAlignment="1">
      <alignment vertical="top" wrapText="1"/>
    </xf>
    <xf numFmtId="171" fontId="16" fillId="3" borderId="0" xfId="15" applyNumberFormat="1" applyFont="1" applyFill="1" applyAlignment="1">
      <alignment horizontal="right"/>
    </xf>
    <xf numFmtId="0" fontId="8" fillId="3" borderId="0" xfId="15" applyFont="1" applyFill="1" applyAlignment="1">
      <alignment vertical="top" wrapText="1"/>
    </xf>
    <xf numFmtId="171" fontId="18" fillId="0" borderId="0" xfId="2" applyNumberFormat="1" applyFont="1"/>
    <xf numFmtId="171" fontId="23" fillId="0" borderId="0" xfId="2" applyNumberFormat="1" applyFont="1"/>
    <xf numFmtId="0" fontId="18" fillId="0" borderId="0" xfId="2" applyFont="1" applyAlignment="1">
      <alignment horizontal="right"/>
    </xf>
    <xf numFmtId="0" fontId="18" fillId="0" borderId="0" xfId="2" applyFont="1" applyAlignment="1">
      <alignment vertical="top" wrapText="1"/>
    </xf>
    <xf numFmtId="167" fontId="16" fillId="3" borderId="6" xfId="18" applyNumberFormat="1" applyFont="1" applyFill="1" applyBorder="1" applyAlignment="1" applyProtection="1">
      <alignment horizontal="right" vertical="top"/>
    </xf>
    <xf numFmtId="167" fontId="18" fillId="0" borderId="0" xfId="11" applyNumberFormat="1" applyFont="1"/>
    <xf numFmtId="167" fontId="23" fillId="0" borderId="0" xfId="11" applyNumberFormat="1" applyFont="1"/>
    <xf numFmtId="171" fontId="8" fillId="0" borderId="16" xfId="11" applyNumberFormat="1" applyFont="1" applyBorder="1" applyAlignment="1">
      <alignment horizontal="left" vertical="top" wrapText="1"/>
    </xf>
    <xf numFmtId="171" fontId="8" fillId="0" borderId="15" xfId="11" applyNumberFormat="1" applyFont="1" applyBorder="1" applyAlignment="1">
      <alignment horizontal="left" vertical="top" wrapText="1"/>
    </xf>
    <xf numFmtId="171" fontId="23" fillId="4" borderId="2" xfId="12" applyNumberFormat="1" applyFont="1" applyFill="1" applyBorder="1" applyAlignment="1">
      <alignment vertical="top" wrapText="1"/>
    </xf>
    <xf numFmtId="171" fontId="23" fillId="4" borderId="15" xfId="12" applyNumberFormat="1" applyFont="1" applyFill="1" applyBorder="1" applyAlignment="1">
      <alignment vertical="top" wrapText="1"/>
    </xf>
    <xf numFmtId="171" fontId="8" fillId="0" borderId="0" xfId="2" applyNumberFormat="1" applyFont="1" applyAlignment="1">
      <alignment horizontal="left" vertical="top" wrapText="1"/>
    </xf>
    <xf numFmtId="10" fontId="11" fillId="4" borderId="6" xfId="12" applyNumberFormat="1" applyFont="1" applyFill="1" applyBorder="1" applyAlignment="1">
      <alignment vertical="top"/>
    </xf>
    <xf numFmtId="171" fontId="8" fillId="0" borderId="16" xfId="15" applyNumberFormat="1" applyFont="1" applyBorder="1" applyAlignment="1">
      <alignment horizontal="left" vertical="top" wrapText="1"/>
    </xf>
    <xf numFmtId="171" fontId="18" fillId="0" borderId="8" xfId="0" applyNumberFormat="1" applyFont="1" applyBorder="1" applyAlignment="1">
      <alignment vertical="top" wrapText="1"/>
    </xf>
    <xf numFmtId="171" fontId="8" fillId="0" borderId="0" xfId="15" applyNumberFormat="1" applyFont="1" applyAlignment="1">
      <alignment horizontal="left" vertical="top" wrapText="1"/>
    </xf>
    <xf numFmtId="171" fontId="11" fillId="4" borderId="6" xfId="12" applyNumberFormat="1" applyFont="1" applyFill="1" applyBorder="1" applyAlignment="1">
      <alignment vertical="top"/>
    </xf>
    <xf numFmtId="171" fontId="8" fillId="0" borderId="15" xfId="15" applyNumberFormat="1" applyFont="1" applyBorder="1" applyAlignment="1">
      <alignment horizontal="left" vertical="top" wrapText="1"/>
    </xf>
    <xf numFmtId="171" fontId="11" fillId="5" borderId="0" xfId="2" applyNumberFormat="1" applyFont="1" applyFill="1" applyAlignment="1">
      <alignment vertical="top" wrapText="1"/>
    </xf>
    <xf numFmtId="10" fontId="11" fillId="5" borderId="0" xfId="2" applyNumberFormat="1" applyFont="1" applyFill="1" applyAlignment="1">
      <alignment vertical="top"/>
    </xf>
    <xf numFmtId="171" fontId="8" fillId="5" borderId="0" xfId="2" applyNumberFormat="1" applyFont="1" applyFill="1" applyAlignment="1">
      <alignment horizontal="left" vertical="top" wrapText="1"/>
    </xf>
    <xf numFmtId="171" fontId="38" fillId="0" borderId="0" xfId="0" applyNumberFormat="1" applyFont="1"/>
    <xf numFmtId="168" fontId="18" fillId="5" borderId="0" xfId="11" applyNumberFormat="1" applyFont="1" applyFill="1" applyAlignment="1">
      <alignment horizontal="right"/>
    </xf>
    <xf numFmtId="10" fontId="11" fillId="0" borderId="0" xfId="18" applyNumberFormat="1" applyFont="1" applyFill="1" applyBorder="1" applyAlignment="1" applyProtection="1">
      <alignment horizontal="right"/>
    </xf>
    <xf numFmtId="171" fontId="11" fillId="5" borderId="0" xfId="15" applyNumberFormat="1" applyFont="1" applyFill="1" applyAlignment="1">
      <alignment horizontal="center" vertical="top" wrapText="1"/>
    </xf>
    <xf numFmtId="171" fontId="8" fillId="0" borderId="2" xfId="11" applyNumberFormat="1" applyFont="1" applyBorder="1" applyAlignment="1">
      <alignment horizontal="left" vertical="top" wrapText="1"/>
    </xf>
    <xf numFmtId="171" fontId="8" fillId="5" borderId="15" xfId="11" applyNumberFormat="1" applyFont="1" applyFill="1" applyBorder="1" applyAlignment="1">
      <alignment horizontal="left" vertical="top" wrapText="1"/>
    </xf>
    <xf numFmtId="171" fontId="18" fillId="0" borderId="2" xfId="0" applyNumberFormat="1" applyFont="1" applyBorder="1" applyAlignment="1">
      <alignment vertical="top" wrapText="1"/>
    </xf>
    <xf numFmtId="171" fontId="18" fillId="5" borderId="15" xfId="0" applyNumberFormat="1" applyFont="1" applyFill="1" applyBorder="1" applyAlignment="1">
      <alignment vertical="top" wrapText="1"/>
    </xf>
    <xf numFmtId="171" fontId="8" fillId="0" borderId="2" xfId="0" applyNumberFormat="1" applyFont="1" applyBorder="1" applyAlignment="1">
      <alignment vertical="top" wrapText="1"/>
    </xf>
    <xf numFmtId="171" fontId="8" fillId="0" borderId="8" xfId="0" applyNumberFormat="1" applyFont="1" applyBorder="1" applyAlignment="1">
      <alignment vertical="top" wrapText="1"/>
    </xf>
    <xf numFmtId="171" fontId="18" fillId="0" borderId="15" xfId="0" applyNumberFormat="1" applyFont="1" applyBorder="1" applyAlignment="1">
      <alignment vertical="top" wrapText="1"/>
    </xf>
    <xf numFmtId="171" fontId="8" fillId="5" borderId="16" xfId="11" applyNumberFormat="1" applyFont="1" applyFill="1" applyBorder="1" applyAlignment="1">
      <alignment horizontal="left" vertical="top" wrapText="1"/>
    </xf>
    <xf numFmtId="171" fontId="16" fillId="3" borderId="6" xfId="15" applyNumberFormat="1" applyFont="1" applyFill="1" applyBorder="1" applyAlignment="1">
      <alignment horizontal="left" vertical="center"/>
    </xf>
    <xf numFmtId="10" fontId="16" fillId="3" borderId="6" xfId="15" applyNumberFormat="1" applyFont="1" applyFill="1" applyBorder="1" applyAlignment="1">
      <alignment horizontal="left" vertical="center"/>
    </xf>
    <xf numFmtId="171" fontId="8" fillId="3" borderId="2" xfId="15" applyNumberFormat="1" applyFont="1" applyFill="1" applyBorder="1" applyAlignment="1">
      <alignment wrapText="1"/>
    </xf>
    <xf numFmtId="0" fontId="39" fillId="0" borderId="0" xfId="0" applyFont="1" applyAlignment="1">
      <alignment wrapText="1"/>
    </xf>
    <xf numFmtId="10" fontId="16" fillId="3" borderId="6" xfId="9" applyNumberFormat="1" applyFont="1" applyFill="1" applyBorder="1" applyAlignment="1" applyProtection="1">
      <alignment horizontal="center" vertical="center"/>
    </xf>
    <xf numFmtId="171" fontId="16" fillId="3" borderId="6" xfId="2" applyNumberFormat="1" applyFont="1" applyFill="1" applyBorder="1" applyAlignment="1">
      <alignment horizontal="center" vertical="top" wrapText="1"/>
    </xf>
    <xf numFmtId="171" fontId="8" fillId="5" borderId="8" xfId="15" applyNumberFormat="1" applyFont="1" applyFill="1" applyBorder="1" applyAlignment="1">
      <alignment horizontal="left" vertical="top" wrapText="1"/>
    </xf>
    <xf numFmtId="171" fontId="8" fillId="5" borderId="2" xfId="15" applyNumberFormat="1" applyFont="1" applyFill="1" applyBorder="1" applyAlignment="1">
      <alignment horizontal="left" vertical="top" wrapText="1"/>
    </xf>
    <xf numFmtId="171" fontId="8" fillId="5" borderId="2" xfId="11" applyNumberFormat="1" applyFont="1" applyFill="1" applyBorder="1" applyAlignment="1">
      <alignment horizontal="left" vertical="top" wrapText="1"/>
    </xf>
    <xf numFmtId="171" fontId="16" fillId="3" borderId="2" xfId="2" applyNumberFormat="1" applyFont="1" applyFill="1" applyBorder="1" applyAlignment="1">
      <alignment vertical="top" wrapText="1"/>
    </xf>
    <xf numFmtId="171" fontId="8" fillId="3" borderId="2" xfId="2" applyNumberFormat="1" applyFont="1" applyFill="1" applyBorder="1" applyAlignment="1">
      <alignment horizontal="left" vertical="top" wrapText="1"/>
    </xf>
    <xf numFmtId="171" fontId="8" fillId="3" borderId="15" xfId="2" applyNumberFormat="1" applyFont="1" applyFill="1" applyBorder="1" applyAlignment="1">
      <alignment horizontal="left" vertical="top" wrapText="1"/>
    </xf>
    <xf numFmtId="171" fontId="28" fillId="0" borderId="0" xfId="0" applyNumberFormat="1" applyFont="1"/>
    <xf numFmtId="168" fontId="24" fillId="5" borderId="0" xfId="11" applyNumberFormat="1" applyFont="1" applyFill="1" applyAlignment="1">
      <alignment horizontal="right"/>
    </xf>
    <xf numFmtId="0" fontId="26" fillId="0" borderId="0" xfId="15" applyFont="1" applyAlignment="1">
      <alignment wrapText="1"/>
    </xf>
    <xf numFmtId="0" fontId="26" fillId="0" borderId="0" xfId="15" applyFont="1" applyAlignment="1">
      <alignment vertical="top" wrapText="1"/>
    </xf>
    <xf numFmtId="171" fontId="16" fillId="3" borderId="0" xfId="9" applyNumberFormat="1" applyFont="1" applyFill="1" applyBorder="1" applyAlignment="1" applyProtection="1">
      <alignment horizontal="center" vertical="center"/>
    </xf>
    <xf numFmtId="2" fontId="16" fillId="3" borderId="0" xfId="9" applyNumberFormat="1" applyFont="1" applyFill="1" applyBorder="1" applyAlignment="1" applyProtection="1">
      <alignment horizontal="right" vertical="center"/>
    </xf>
    <xf numFmtId="0" fontId="16" fillId="0" borderId="0" xfId="2" applyFont="1" applyAlignment="1">
      <alignment horizontal="center" vertical="center" wrapText="1"/>
    </xf>
    <xf numFmtId="172" fontId="11" fillId="4" borderId="2" xfId="1" applyNumberFormat="1" applyFont="1" applyFill="1" applyBorder="1" applyAlignment="1" applyProtection="1">
      <alignment horizontal="right"/>
    </xf>
  </cellXfs>
  <cellStyles count="24">
    <cellStyle name="%" xfId="19" xr:uid="{00000000-0005-0000-0000-000000000000}"/>
    <cellStyle name="Comma 2 2 15" xfId="17" xr:uid="{00000000-0005-0000-0000-000001000000}"/>
    <cellStyle name="Comma 2 2 2" xfId="16" xr:uid="{00000000-0005-0000-0000-000002000000}"/>
    <cellStyle name="Good 2" xfId="18" xr:uid="{00000000-0005-0000-0000-000003000000}"/>
    <cellStyle name="Good 2 3" xfId="5" xr:uid="{00000000-0005-0000-0000-000004000000}"/>
    <cellStyle name="Good 4" xfId="9" xr:uid="{00000000-0005-0000-0000-000005000000}"/>
    <cellStyle name="Hyperlink" xfId="21" builtinId="8"/>
    <cellStyle name="Normal" xfId="0" builtinId="0"/>
    <cellStyle name="Normal 10" xfId="13" xr:uid="{00000000-0005-0000-0000-000008000000}"/>
    <cellStyle name="Normal 10 12" xfId="12" xr:uid="{00000000-0005-0000-0000-000009000000}"/>
    <cellStyle name="Normal 11 2" xfId="6" xr:uid="{00000000-0005-0000-0000-00000A000000}"/>
    <cellStyle name="Normal 11 2 2" xfId="2" xr:uid="{00000000-0005-0000-0000-00000B000000}"/>
    <cellStyle name="Normal 12 2" xfId="3" xr:uid="{00000000-0005-0000-0000-00000C000000}"/>
    <cellStyle name="Normal 15" xfId="8" xr:uid="{00000000-0005-0000-0000-00000D000000}"/>
    <cellStyle name="Normal 2 2" xfId="7" xr:uid="{00000000-0005-0000-0000-00000E000000}"/>
    <cellStyle name="Normal 2 9" xfId="11" xr:uid="{00000000-0005-0000-0000-00000F000000}"/>
    <cellStyle name="Normal 3" xfId="14" xr:uid="{00000000-0005-0000-0000-000010000000}"/>
    <cellStyle name="Normal 3 2 2 2" xfId="22" xr:uid="{00000000-0005-0000-0000-000011000000}"/>
    <cellStyle name="Normal 6" xfId="23" xr:uid="{00000000-0005-0000-0000-000012000000}"/>
    <cellStyle name="Normal 7 2 2 2" xfId="15" xr:uid="{00000000-0005-0000-0000-000013000000}"/>
    <cellStyle name="Normal 7 3" xfId="4" xr:uid="{00000000-0005-0000-0000-000014000000}"/>
    <cellStyle name="Normal 8 2" xfId="10" xr:uid="{00000000-0005-0000-0000-000015000000}"/>
    <cellStyle name="Normal_working" xfId="20" xr:uid="{00000000-0005-0000-0000-000016000000}"/>
    <cellStyle name="Per cent" xfId="1"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showGridLines="0" workbookViewId="0">
      <selection activeCell="O16" sqref="O16"/>
    </sheetView>
  </sheetViews>
  <sheetFormatPr baseColWidth="10" defaultColWidth="8.83203125" defaultRowHeight="15"/>
  <sheetData>
    <row r="1" spans="1:2" s="673" customFormat="1" ht="26">
      <c r="A1" s="672" t="s">
        <v>925</v>
      </c>
    </row>
    <row r="2" spans="1:2" s="675" customFormat="1" ht="26">
      <c r="A2" s="674" t="s">
        <v>924</v>
      </c>
    </row>
    <row r="6" spans="1:2" ht="20">
      <c r="B6" s="676" t="s">
        <v>926</v>
      </c>
    </row>
    <row r="7" spans="1:2" ht="20">
      <c r="B7" s="677"/>
    </row>
    <row r="8" spans="1:2" ht="20">
      <c r="B8" s="676" t="s">
        <v>200</v>
      </c>
    </row>
    <row r="9" spans="1:2" ht="20">
      <c r="B9" s="677"/>
    </row>
    <row r="10" spans="1:2" ht="20">
      <c r="B10" s="676" t="s">
        <v>355</v>
      </c>
    </row>
    <row r="11" spans="1:2" ht="20">
      <c r="B11" s="677"/>
    </row>
    <row r="12" spans="1:2" ht="20">
      <c r="B12" s="676" t="s">
        <v>927</v>
      </c>
    </row>
    <row r="13" spans="1:2" ht="20">
      <c r="B13" s="677"/>
    </row>
    <row r="14" spans="1:2" ht="20">
      <c r="B14" s="676" t="s">
        <v>601</v>
      </c>
    </row>
    <row r="15" spans="1:2" ht="20">
      <c r="B15" s="677"/>
    </row>
    <row r="16" spans="1:2" ht="20">
      <c r="B16" s="676" t="s">
        <v>928</v>
      </c>
    </row>
    <row r="17" spans="2:2" ht="20">
      <c r="B17" s="677"/>
    </row>
    <row r="18" spans="2:2" ht="20">
      <c r="B18" s="676" t="s">
        <v>929</v>
      </c>
    </row>
    <row r="19" spans="2:2" ht="20">
      <c r="B19" s="677"/>
    </row>
    <row r="20" spans="2:2" ht="20">
      <c r="B20" s="676" t="s">
        <v>930</v>
      </c>
    </row>
    <row r="21" spans="2:2" ht="20">
      <c r="B21" s="677"/>
    </row>
    <row r="22" spans="2:2" ht="20">
      <c r="B22" s="676" t="s">
        <v>893</v>
      </c>
    </row>
    <row r="23" spans="2:2" ht="20">
      <c r="B23" s="677"/>
    </row>
    <row r="24" spans="2:2" ht="20">
      <c r="B24" s="677"/>
    </row>
  </sheetData>
  <hyperlinks>
    <hyperlink ref="B6" location="'H&amp;SC'!A1" display="Health and Social Care" xr:uid="{00000000-0004-0000-0000-000000000000}"/>
    <hyperlink ref="B8" location="SJHLG!A1" display="Social Justice, Housing and Local Government" xr:uid="{00000000-0004-0000-0000-000001000000}"/>
    <hyperlink ref="B10" location="'F&amp;E'!A1" display="Finance and Economy" xr:uid="{00000000-0004-0000-0000-000002000000}"/>
    <hyperlink ref="B12" location="'E&amp;S'!A1" display="Education and Skills" xr:uid="{00000000-0004-0000-0000-000003000000}"/>
    <hyperlink ref="B14" location="JV!A1" display="Justice and Veterans" xr:uid="{00000000-0004-0000-0000-000004000000}"/>
    <hyperlink ref="B16" location="NZET!A1" display="Net Zero, Energy and Transprot" xr:uid="{00000000-0004-0000-0000-000005000000}"/>
    <hyperlink ref="B18" location="RAI!A1" display="Rural Affairs and Islands" xr:uid="{00000000-0004-0000-0000-000006000000}"/>
    <hyperlink ref="B20" location="CEAC!A1" display="Constituion, External Affairs and Culture" xr:uid="{00000000-0004-0000-0000-000007000000}"/>
    <hyperlink ref="B22" location="DFMCR!A1" display="Deputy First Minister and Covid Recovery" xr:uid="{00000000-0004-0000-0000-00000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1"/>
  <sheetViews>
    <sheetView showGridLines="0" tabSelected="1" topLeftCell="A97" zoomScale="60" zoomScaleNormal="60" workbookViewId="0">
      <selection activeCell="O108" sqref="O108"/>
    </sheetView>
  </sheetViews>
  <sheetFormatPr baseColWidth="10" defaultColWidth="8.83203125" defaultRowHeight="15" outlineLevelCol="1"/>
  <cols>
    <col min="1" max="1" width="40.6640625" style="2" customWidth="1"/>
    <col min="2" max="14" width="17.6640625" customWidth="1" outlineLevel="1"/>
    <col min="15" max="16" width="75.6640625" customWidth="1" outlineLevel="1"/>
  </cols>
  <sheetData>
    <row r="1" spans="1:16" ht="21">
      <c r="A1" s="1"/>
      <c r="B1" s="37"/>
      <c r="C1" s="37"/>
      <c r="D1" s="37"/>
      <c r="E1" s="37"/>
      <c r="F1" s="37"/>
      <c r="G1" s="37"/>
      <c r="H1" s="37"/>
      <c r="I1" s="37"/>
      <c r="J1" s="37"/>
      <c r="K1" s="37"/>
      <c r="L1" s="37"/>
      <c r="M1" s="37"/>
      <c r="N1" s="37"/>
      <c r="O1" s="37"/>
      <c r="P1" s="37"/>
    </row>
    <row r="3" spans="1:16" ht="21">
      <c r="A3" s="3"/>
      <c r="B3" s="38"/>
      <c r="C3" s="38"/>
      <c r="D3" s="38"/>
      <c r="E3" s="38"/>
      <c r="F3" s="38"/>
      <c r="G3" s="38"/>
      <c r="H3" s="38"/>
      <c r="I3" s="38"/>
      <c r="J3" s="38"/>
      <c r="K3" s="38"/>
      <c r="L3" s="38"/>
      <c r="M3" s="38"/>
      <c r="N3" s="39"/>
      <c r="O3" s="40"/>
      <c r="P3" s="41"/>
    </row>
    <row r="4" spans="1:16" ht="136">
      <c r="A4" s="4" t="s">
        <v>926</v>
      </c>
      <c r="B4" s="42" t="s">
        <v>100</v>
      </c>
      <c r="C4" s="42" t="s">
        <v>101</v>
      </c>
      <c r="D4" s="42" t="s">
        <v>102</v>
      </c>
      <c r="E4" s="42" t="s">
        <v>103</v>
      </c>
      <c r="F4" s="42" t="s">
        <v>104</v>
      </c>
      <c r="G4" s="42" t="s">
        <v>105</v>
      </c>
      <c r="H4" s="42" t="s">
        <v>106</v>
      </c>
      <c r="I4" s="42" t="s">
        <v>107</v>
      </c>
      <c r="J4" s="42" t="s">
        <v>108</v>
      </c>
      <c r="K4" s="42" t="s">
        <v>109</v>
      </c>
      <c r="L4" s="42" t="s">
        <v>110</v>
      </c>
      <c r="M4" s="42" t="s">
        <v>111</v>
      </c>
      <c r="N4" s="43" t="s">
        <v>112</v>
      </c>
      <c r="O4" s="44" t="s">
        <v>113</v>
      </c>
      <c r="P4" s="45" t="s">
        <v>114</v>
      </c>
    </row>
    <row r="5" spans="1:16" ht="21">
      <c r="A5" s="3"/>
      <c r="B5" s="38"/>
      <c r="C5" s="38"/>
      <c r="D5" s="38"/>
      <c r="E5" s="38"/>
      <c r="F5" s="38"/>
      <c r="G5" s="38"/>
      <c r="H5" s="38"/>
      <c r="I5" s="38"/>
      <c r="J5" s="38"/>
      <c r="K5" s="38"/>
      <c r="L5" s="38"/>
      <c r="M5" s="38"/>
      <c r="N5" s="39"/>
      <c r="O5" s="40"/>
      <c r="P5" s="41"/>
    </row>
    <row r="6" spans="1:16" ht="16">
      <c r="A6" s="5"/>
      <c r="B6" s="46"/>
      <c r="C6" s="46"/>
      <c r="D6" s="46"/>
      <c r="E6" s="46"/>
      <c r="F6" s="46"/>
      <c r="G6" s="47"/>
      <c r="H6" s="47"/>
      <c r="I6" s="47"/>
      <c r="J6" s="47"/>
      <c r="K6" s="47"/>
      <c r="L6" s="47"/>
      <c r="M6" s="47"/>
      <c r="N6" s="48"/>
      <c r="O6" s="49"/>
      <c r="P6" s="50"/>
    </row>
    <row r="7" spans="1:16" ht="17">
      <c r="A7" s="6" t="s">
        <v>0</v>
      </c>
      <c r="B7" s="51"/>
      <c r="C7" s="51"/>
      <c r="D7" s="51"/>
      <c r="E7" s="51"/>
      <c r="F7" s="51"/>
      <c r="G7" s="51"/>
      <c r="H7" s="51"/>
      <c r="I7" s="51"/>
      <c r="J7" s="51"/>
      <c r="K7" s="51"/>
      <c r="L7" s="51"/>
      <c r="M7" s="51"/>
      <c r="N7" s="52"/>
      <c r="O7" s="53"/>
      <c r="P7" s="53"/>
    </row>
    <row r="8" spans="1:16" ht="85">
      <c r="A8" s="7" t="s">
        <v>1</v>
      </c>
      <c r="B8" s="54">
        <v>11272.554</v>
      </c>
      <c r="C8" s="54">
        <v>236</v>
      </c>
      <c r="D8" s="54">
        <v>0</v>
      </c>
      <c r="E8" s="54">
        <v>0</v>
      </c>
      <c r="F8" s="54">
        <v>0</v>
      </c>
      <c r="G8" s="55">
        <v>11508.554</v>
      </c>
      <c r="H8" s="54">
        <v>11896.036</v>
      </c>
      <c r="I8" s="54">
        <v>236</v>
      </c>
      <c r="J8" s="54">
        <v>0</v>
      </c>
      <c r="K8" s="54">
        <v>0</v>
      </c>
      <c r="L8" s="54">
        <v>0</v>
      </c>
      <c r="M8" s="55">
        <v>12132.036</v>
      </c>
      <c r="N8" s="56">
        <v>5.4175528915274669E-2</v>
      </c>
      <c r="O8" s="57" t="s">
        <v>115</v>
      </c>
      <c r="P8" s="58" t="s">
        <v>1783</v>
      </c>
    </row>
    <row r="9" spans="1:16" ht="17">
      <c r="A9" s="8" t="s">
        <v>2</v>
      </c>
      <c r="B9" s="55">
        <v>11272.554</v>
      </c>
      <c r="C9" s="59">
        <v>236</v>
      </c>
      <c r="D9" s="59">
        <v>0</v>
      </c>
      <c r="E9" s="59">
        <v>0</v>
      </c>
      <c r="F9" s="59">
        <v>0</v>
      </c>
      <c r="G9" s="59">
        <v>11508.554</v>
      </c>
      <c r="H9" s="55">
        <v>11896.036</v>
      </c>
      <c r="I9" s="55">
        <v>236</v>
      </c>
      <c r="J9" s="55">
        <v>0</v>
      </c>
      <c r="K9" s="55">
        <v>0</v>
      </c>
      <c r="L9" s="55">
        <v>0</v>
      </c>
      <c r="M9" s="55">
        <v>12132.036</v>
      </c>
      <c r="N9" s="60">
        <v>5.4175528915274669E-2</v>
      </c>
      <c r="O9" s="61"/>
      <c r="P9" s="61"/>
    </row>
    <row r="10" spans="1:16" ht="34">
      <c r="A10" s="7" t="s">
        <v>3</v>
      </c>
      <c r="B10" s="54">
        <v>1387.6</v>
      </c>
      <c r="C10" s="54">
        <v>35</v>
      </c>
      <c r="D10" s="54">
        <v>0</v>
      </c>
      <c r="E10" s="54">
        <v>0</v>
      </c>
      <c r="F10" s="54">
        <v>0</v>
      </c>
      <c r="G10" s="55">
        <v>1422.6</v>
      </c>
      <c r="H10" s="54">
        <v>1495.1</v>
      </c>
      <c r="I10" s="54">
        <v>35</v>
      </c>
      <c r="J10" s="54">
        <v>0</v>
      </c>
      <c r="K10" s="54">
        <v>0</v>
      </c>
      <c r="L10" s="54">
        <v>0</v>
      </c>
      <c r="M10" s="55">
        <v>1530.1</v>
      </c>
      <c r="N10" s="56">
        <v>7.5565865317025166E-2</v>
      </c>
      <c r="O10" s="62" t="s">
        <v>116</v>
      </c>
      <c r="P10" s="58" t="s">
        <v>1784</v>
      </c>
    </row>
    <row r="11" spans="1:16" ht="17">
      <c r="A11" s="8" t="s">
        <v>2</v>
      </c>
      <c r="B11" s="55">
        <v>1387.6</v>
      </c>
      <c r="C11" s="59">
        <v>35</v>
      </c>
      <c r="D11" s="59">
        <v>0</v>
      </c>
      <c r="E11" s="59">
        <v>0</v>
      </c>
      <c r="F11" s="59">
        <v>0</v>
      </c>
      <c r="G11" s="59">
        <v>1422.6</v>
      </c>
      <c r="H11" s="55">
        <v>1495.1</v>
      </c>
      <c r="I11" s="55">
        <v>35</v>
      </c>
      <c r="J11" s="55">
        <v>0</v>
      </c>
      <c r="K11" s="55">
        <v>0</v>
      </c>
      <c r="L11" s="55">
        <v>0</v>
      </c>
      <c r="M11" s="55">
        <v>1530.1</v>
      </c>
      <c r="N11" s="60">
        <v>7.5565865317025166E-2</v>
      </c>
      <c r="O11" s="61"/>
      <c r="P11" s="61"/>
    </row>
    <row r="12" spans="1:16" ht="16">
      <c r="A12" s="5"/>
      <c r="B12" s="63"/>
      <c r="C12" s="63"/>
      <c r="D12" s="63"/>
      <c r="E12" s="63"/>
      <c r="F12" s="63"/>
      <c r="G12" s="64"/>
      <c r="H12" s="64"/>
      <c r="I12" s="64"/>
      <c r="J12" s="64"/>
      <c r="K12" s="64"/>
      <c r="L12" s="64"/>
      <c r="M12" s="64"/>
      <c r="N12" s="65"/>
      <c r="O12" s="49"/>
      <c r="P12" s="50"/>
    </row>
    <row r="13" spans="1:16" ht="16">
      <c r="A13" s="9"/>
      <c r="B13" s="66"/>
      <c r="C13" s="67"/>
      <c r="D13" s="67"/>
      <c r="E13" s="67"/>
      <c r="F13" s="67"/>
      <c r="G13" s="67"/>
      <c r="H13" s="67"/>
      <c r="I13" s="67"/>
      <c r="J13" s="67"/>
      <c r="K13" s="67"/>
      <c r="L13" s="67"/>
      <c r="M13" s="67"/>
      <c r="N13" s="68"/>
      <c r="O13" s="9"/>
      <c r="P13" s="9"/>
    </row>
    <row r="14" spans="1:16" ht="17">
      <c r="A14" s="6" t="s">
        <v>4</v>
      </c>
      <c r="B14" s="69"/>
      <c r="C14" s="69"/>
      <c r="D14" s="69"/>
      <c r="E14" s="69"/>
      <c r="F14" s="69"/>
      <c r="G14" s="69"/>
      <c r="H14" s="69"/>
      <c r="I14" s="69"/>
      <c r="J14" s="69"/>
      <c r="K14" s="69"/>
      <c r="L14" s="69"/>
      <c r="M14" s="69"/>
      <c r="N14" s="70"/>
      <c r="O14" s="53"/>
      <c r="P14" s="53"/>
    </row>
    <row r="15" spans="1:16" ht="51">
      <c r="A15" s="10" t="s">
        <v>5</v>
      </c>
      <c r="B15" s="54">
        <v>0</v>
      </c>
      <c r="C15" s="54">
        <v>0</v>
      </c>
      <c r="D15" s="54">
        <v>574</v>
      </c>
      <c r="E15" s="54">
        <v>0</v>
      </c>
      <c r="F15" s="54">
        <v>0</v>
      </c>
      <c r="G15" s="55">
        <v>574</v>
      </c>
      <c r="H15" s="54">
        <v>0</v>
      </c>
      <c r="I15" s="54">
        <v>0</v>
      </c>
      <c r="J15" s="54">
        <v>598</v>
      </c>
      <c r="K15" s="54">
        <v>0</v>
      </c>
      <c r="L15" s="54">
        <v>0</v>
      </c>
      <c r="M15" s="55">
        <v>598</v>
      </c>
      <c r="N15" s="56">
        <v>4.1811846689895474E-2</v>
      </c>
      <c r="O15" s="71" t="s">
        <v>117</v>
      </c>
      <c r="P15" s="71" t="s">
        <v>1785</v>
      </c>
    </row>
    <row r="16" spans="1:16" ht="17">
      <c r="A16" s="8" t="s">
        <v>2</v>
      </c>
      <c r="B16" s="55">
        <v>0</v>
      </c>
      <c r="C16" s="59">
        <v>0</v>
      </c>
      <c r="D16" s="59">
        <v>574</v>
      </c>
      <c r="E16" s="59">
        <v>0</v>
      </c>
      <c r="F16" s="59">
        <v>0</v>
      </c>
      <c r="G16" s="59">
        <v>574</v>
      </c>
      <c r="H16" s="55">
        <v>0</v>
      </c>
      <c r="I16" s="55">
        <v>0</v>
      </c>
      <c r="J16" s="55">
        <v>598</v>
      </c>
      <c r="K16" s="55">
        <v>0</v>
      </c>
      <c r="L16" s="55">
        <v>0</v>
      </c>
      <c r="M16" s="55">
        <v>598</v>
      </c>
      <c r="N16" s="60">
        <v>4.1811846689895474E-2</v>
      </c>
      <c r="O16" s="61"/>
      <c r="P16" s="61"/>
    </row>
    <row r="17" spans="1:16" ht="16">
      <c r="A17" s="5"/>
      <c r="B17" s="63"/>
      <c r="C17" s="63"/>
      <c r="D17" s="63"/>
      <c r="E17" s="63"/>
      <c r="F17" s="63"/>
      <c r="G17" s="64"/>
      <c r="H17" s="64"/>
      <c r="I17" s="64"/>
      <c r="J17" s="64"/>
      <c r="K17" s="64"/>
      <c r="L17" s="64"/>
      <c r="M17" s="64"/>
      <c r="N17" s="65"/>
      <c r="O17" s="49"/>
      <c r="P17" s="50"/>
    </row>
    <row r="18" spans="1:16" ht="18" thickBot="1">
      <c r="A18" s="11" t="s">
        <v>6</v>
      </c>
      <c r="B18" s="72"/>
      <c r="C18" s="72"/>
      <c r="D18" s="72"/>
      <c r="E18" s="72"/>
      <c r="F18" s="72"/>
      <c r="G18" s="72"/>
      <c r="H18" s="72"/>
      <c r="I18" s="72"/>
      <c r="J18" s="72"/>
      <c r="K18" s="72"/>
      <c r="L18" s="72"/>
      <c r="M18" s="72"/>
      <c r="N18" s="73"/>
      <c r="O18" s="9"/>
      <c r="P18" s="9"/>
    </row>
    <row r="19" spans="1:16" ht="17">
      <c r="A19" s="12" t="s">
        <v>7</v>
      </c>
      <c r="B19" s="74"/>
      <c r="C19" s="74"/>
      <c r="D19" s="74"/>
      <c r="E19" s="74"/>
      <c r="F19" s="74"/>
      <c r="G19" s="74"/>
      <c r="H19" s="74"/>
      <c r="I19" s="74"/>
      <c r="J19" s="74"/>
      <c r="K19" s="74"/>
      <c r="L19" s="74"/>
      <c r="M19" s="74"/>
      <c r="N19" s="75"/>
      <c r="O19" s="53"/>
      <c r="P19" s="53"/>
    </row>
    <row r="20" spans="1:16" ht="51">
      <c r="A20" s="13" t="s">
        <v>7</v>
      </c>
      <c r="B20" s="54">
        <v>889.25699999999995</v>
      </c>
      <c r="C20" s="76">
        <v>0</v>
      </c>
      <c r="D20" s="76">
        <v>0</v>
      </c>
      <c r="E20" s="76">
        <v>0</v>
      </c>
      <c r="F20" s="76">
        <v>0</v>
      </c>
      <c r="G20" s="55">
        <v>889.25699999999995</v>
      </c>
      <c r="H20" s="54">
        <v>933.75699999999995</v>
      </c>
      <c r="I20" s="54">
        <v>0</v>
      </c>
      <c r="J20" s="54">
        <v>0</v>
      </c>
      <c r="K20" s="54">
        <v>0</v>
      </c>
      <c r="L20" s="54">
        <v>0</v>
      </c>
      <c r="M20" s="55">
        <v>933.75699999999995</v>
      </c>
      <c r="N20" s="56">
        <v>5.0041776449327925E-2</v>
      </c>
      <c r="O20" s="77" t="s">
        <v>118</v>
      </c>
      <c r="P20" s="77" t="s">
        <v>1786</v>
      </c>
    </row>
    <row r="21" spans="1:16" ht="119">
      <c r="A21" s="13" t="s">
        <v>8</v>
      </c>
      <c r="B21" s="54">
        <v>262.5</v>
      </c>
      <c r="C21" s="76">
        <v>0</v>
      </c>
      <c r="D21" s="76">
        <v>0</v>
      </c>
      <c r="E21" s="76">
        <v>0</v>
      </c>
      <c r="F21" s="76">
        <v>0</v>
      </c>
      <c r="G21" s="55">
        <v>262.5</v>
      </c>
      <c r="H21" s="54">
        <v>262.5</v>
      </c>
      <c r="I21" s="54">
        <v>0</v>
      </c>
      <c r="J21" s="54">
        <v>0</v>
      </c>
      <c r="K21" s="54">
        <v>0</v>
      </c>
      <c r="L21" s="54">
        <v>0</v>
      </c>
      <c r="M21" s="55">
        <v>262.5</v>
      </c>
      <c r="N21" s="56">
        <v>0</v>
      </c>
      <c r="O21" s="49" t="s">
        <v>119</v>
      </c>
      <c r="P21" s="77" t="s">
        <v>513</v>
      </c>
    </row>
    <row r="22" spans="1:16" ht="34">
      <c r="A22" s="13" t="s">
        <v>9</v>
      </c>
      <c r="B22" s="54">
        <v>11.036</v>
      </c>
      <c r="C22" s="76">
        <v>0</v>
      </c>
      <c r="D22" s="76">
        <v>0</v>
      </c>
      <c r="E22" s="76">
        <v>0</v>
      </c>
      <c r="F22" s="76">
        <v>0</v>
      </c>
      <c r="G22" s="55">
        <v>11.036</v>
      </c>
      <c r="H22" s="54">
        <v>9.5009999999999994</v>
      </c>
      <c r="I22" s="54">
        <v>0</v>
      </c>
      <c r="J22" s="54">
        <v>0</v>
      </c>
      <c r="K22" s="54">
        <v>0</v>
      </c>
      <c r="L22" s="54">
        <v>0</v>
      </c>
      <c r="M22" s="55">
        <v>9.5009999999999994</v>
      </c>
      <c r="N22" s="56">
        <v>-0.13909025009061257</v>
      </c>
      <c r="O22" s="77" t="s">
        <v>120</v>
      </c>
      <c r="P22" s="77" t="s">
        <v>1787</v>
      </c>
    </row>
    <row r="23" spans="1:16" ht="17">
      <c r="A23" s="8" t="s">
        <v>2</v>
      </c>
      <c r="B23" s="55">
        <v>1162.7930000000001</v>
      </c>
      <c r="C23" s="59">
        <v>0</v>
      </c>
      <c r="D23" s="59">
        <v>0</v>
      </c>
      <c r="E23" s="59">
        <v>0</v>
      </c>
      <c r="F23" s="59">
        <v>0</v>
      </c>
      <c r="G23" s="59">
        <v>1162.7930000000001</v>
      </c>
      <c r="H23" s="59">
        <v>1205.758</v>
      </c>
      <c r="I23" s="59">
        <v>0</v>
      </c>
      <c r="J23" s="59">
        <v>0</v>
      </c>
      <c r="K23" s="59">
        <v>0</v>
      </c>
      <c r="L23" s="59">
        <v>0</v>
      </c>
      <c r="M23" s="59">
        <v>1205.758</v>
      </c>
      <c r="N23" s="60">
        <v>3.6949826839342781E-2</v>
      </c>
      <c r="O23" s="61"/>
      <c r="P23" s="61"/>
    </row>
    <row r="24" spans="1:16" ht="16">
      <c r="A24" s="5"/>
      <c r="B24" s="63"/>
      <c r="C24" s="63"/>
      <c r="D24" s="63"/>
      <c r="E24" s="63"/>
      <c r="F24" s="63"/>
      <c r="G24" s="64"/>
      <c r="H24" s="64"/>
      <c r="I24" s="64"/>
      <c r="J24" s="64"/>
      <c r="K24" s="64"/>
      <c r="L24" s="64"/>
      <c r="M24" s="64"/>
      <c r="N24" s="65"/>
      <c r="O24" s="49"/>
      <c r="P24" s="50"/>
    </row>
    <row r="25" spans="1:16" ht="16">
      <c r="A25" s="14"/>
      <c r="B25" s="67"/>
      <c r="C25" s="67"/>
      <c r="D25" s="67"/>
      <c r="E25" s="67"/>
      <c r="F25" s="67"/>
      <c r="G25" s="67"/>
      <c r="H25" s="67"/>
      <c r="I25" s="67"/>
      <c r="J25" s="67"/>
      <c r="K25" s="67"/>
      <c r="L25" s="67"/>
      <c r="M25" s="67"/>
      <c r="N25" s="68"/>
      <c r="O25" s="9"/>
      <c r="P25" s="9"/>
    </row>
    <row r="26" spans="1:16" ht="34">
      <c r="A26" s="6" t="s">
        <v>10</v>
      </c>
      <c r="B26" s="69"/>
      <c r="C26" s="69"/>
      <c r="D26" s="69"/>
      <c r="E26" s="69"/>
      <c r="F26" s="69"/>
      <c r="G26" s="69"/>
      <c r="H26" s="69"/>
      <c r="I26" s="69"/>
      <c r="J26" s="69"/>
      <c r="K26" s="69"/>
      <c r="L26" s="69"/>
      <c r="M26" s="69"/>
      <c r="N26" s="70"/>
      <c r="O26" s="53"/>
      <c r="P26" s="53"/>
    </row>
    <row r="27" spans="1:16" ht="34">
      <c r="A27" s="15" t="s">
        <v>10</v>
      </c>
      <c r="B27" s="54">
        <v>206.673</v>
      </c>
      <c r="C27" s="78">
        <v>0</v>
      </c>
      <c r="D27" s="78">
        <v>0</v>
      </c>
      <c r="E27" s="78">
        <v>0</v>
      </c>
      <c r="F27" s="78">
        <v>0</v>
      </c>
      <c r="G27" s="55">
        <v>206.673</v>
      </c>
      <c r="H27" s="54">
        <v>211.61799999999999</v>
      </c>
      <c r="I27" s="54">
        <v>0</v>
      </c>
      <c r="J27" s="54">
        <v>0</v>
      </c>
      <c r="K27" s="54">
        <v>0</v>
      </c>
      <c r="L27" s="54">
        <v>0</v>
      </c>
      <c r="M27" s="55">
        <v>211.61799999999999</v>
      </c>
      <c r="N27" s="56">
        <v>2.3926686117683456E-2</v>
      </c>
      <c r="O27" s="77" t="s">
        <v>121</v>
      </c>
      <c r="P27" s="77" t="s">
        <v>1788</v>
      </c>
    </row>
    <row r="28" spans="1:16" ht="51">
      <c r="A28" s="16" t="s">
        <v>11</v>
      </c>
      <c r="B28" s="54">
        <v>9.5679999999999996</v>
      </c>
      <c r="C28" s="76">
        <v>0</v>
      </c>
      <c r="D28" s="76">
        <v>0</v>
      </c>
      <c r="E28" s="76">
        <v>0</v>
      </c>
      <c r="F28" s="76">
        <v>0</v>
      </c>
      <c r="G28" s="55">
        <v>9.5679999999999996</v>
      </c>
      <c r="H28" s="54">
        <v>10.067</v>
      </c>
      <c r="I28" s="54">
        <v>0</v>
      </c>
      <c r="J28" s="54">
        <v>0</v>
      </c>
      <c r="K28" s="54">
        <v>0</v>
      </c>
      <c r="L28" s="54">
        <v>0</v>
      </c>
      <c r="M28" s="55">
        <v>10.067</v>
      </c>
      <c r="N28" s="56">
        <v>5.2153010033444878E-2</v>
      </c>
      <c r="O28" s="77" t="s">
        <v>122</v>
      </c>
      <c r="P28" s="77" t="s">
        <v>1789</v>
      </c>
    </row>
    <row r="29" spans="1:16" ht="17">
      <c r="A29" s="8" t="s">
        <v>2</v>
      </c>
      <c r="B29" s="55">
        <v>216.24100000000001</v>
      </c>
      <c r="C29" s="59">
        <v>0</v>
      </c>
      <c r="D29" s="59">
        <v>0</v>
      </c>
      <c r="E29" s="59">
        <v>0</v>
      </c>
      <c r="F29" s="59">
        <v>0</v>
      </c>
      <c r="G29" s="59">
        <v>216.24100000000001</v>
      </c>
      <c r="H29" s="59">
        <v>221.685</v>
      </c>
      <c r="I29" s="59">
        <v>0</v>
      </c>
      <c r="J29" s="59">
        <v>0</v>
      </c>
      <c r="K29" s="59">
        <v>0</v>
      </c>
      <c r="L29" s="59">
        <v>0</v>
      </c>
      <c r="M29" s="59">
        <v>221.685</v>
      </c>
      <c r="N29" s="997">
        <v>2.5175614245217085E-2</v>
      </c>
      <c r="O29" s="61"/>
      <c r="P29" s="61" t="s">
        <v>53</v>
      </c>
    </row>
    <row r="30" spans="1:16" ht="16">
      <c r="A30" s="5"/>
      <c r="B30" s="63"/>
      <c r="C30" s="63"/>
      <c r="D30" s="63"/>
      <c r="E30" s="63"/>
      <c r="F30" s="63"/>
      <c r="G30" s="64"/>
      <c r="H30" s="64"/>
      <c r="I30" s="64"/>
      <c r="J30" s="64"/>
      <c r="K30" s="64"/>
      <c r="L30" s="64"/>
      <c r="M30" s="59"/>
      <c r="N30" s="65"/>
      <c r="O30" s="49"/>
      <c r="P30" s="50"/>
    </row>
    <row r="31" spans="1:16" ht="17" thickBot="1">
      <c r="A31" s="17"/>
      <c r="B31" s="72"/>
      <c r="C31" s="72"/>
      <c r="D31" s="72"/>
      <c r="E31" s="72"/>
      <c r="F31" s="72"/>
      <c r="G31" s="72"/>
      <c r="H31" s="72"/>
      <c r="I31" s="72"/>
      <c r="J31" s="72"/>
      <c r="K31" s="72"/>
      <c r="L31" s="72"/>
      <c r="M31" s="72"/>
      <c r="N31" s="73"/>
      <c r="O31" s="9"/>
      <c r="P31" s="9"/>
    </row>
    <row r="32" spans="1:16" ht="17">
      <c r="A32" s="12" t="s">
        <v>12</v>
      </c>
      <c r="B32" s="74"/>
      <c r="C32" s="74"/>
      <c r="D32" s="74"/>
      <c r="E32" s="74"/>
      <c r="F32" s="74"/>
      <c r="G32" s="74"/>
      <c r="H32" s="74"/>
      <c r="I32" s="74"/>
      <c r="J32" s="74"/>
      <c r="K32" s="74"/>
      <c r="L32" s="74"/>
      <c r="M32" s="74"/>
      <c r="N32" s="75"/>
      <c r="O32" s="53"/>
      <c r="P32" s="53"/>
    </row>
    <row r="33" spans="1:16" ht="34">
      <c r="A33" s="15" t="s">
        <v>12</v>
      </c>
      <c r="B33" s="54">
        <v>463.01299999999998</v>
      </c>
      <c r="C33" s="78">
        <v>0</v>
      </c>
      <c r="D33" s="78">
        <v>0</v>
      </c>
      <c r="E33" s="78">
        <v>0</v>
      </c>
      <c r="F33" s="78">
        <v>0</v>
      </c>
      <c r="G33" s="55">
        <v>463.01299999999998</v>
      </c>
      <c r="H33" s="54">
        <v>470.00400000000002</v>
      </c>
      <c r="I33" s="54">
        <v>0</v>
      </c>
      <c r="J33" s="54">
        <v>0</v>
      </c>
      <c r="K33" s="54">
        <v>0</v>
      </c>
      <c r="L33" s="54">
        <v>0</v>
      </c>
      <c r="M33" s="55">
        <v>470.00400000000002</v>
      </c>
      <c r="N33" s="56">
        <v>1.5098928107850195E-2</v>
      </c>
      <c r="O33" s="77" t="s">
        <v>123</v>
      </c>
      <c r="P33" s="77" t="s">
        <v>1790</v>
      </c>
    </row>
    <row r="34" spans="1:16" ht="34">
      <c r="A34" s="16" t="s">
        <v>13</v>
      </c>
      <c r="B34" s="54">
        <v>5.9809999999999999</v>
      </c>
      <c r="C34" s="76">
        <v>0</v>
      </c>
      <c r="D34" s="76">
        <v>0</v>
      </c>
      <c r="E34" s="76">
        <v>0</v>
      </c>
      <c r="F34" s="76">
        <v>0</v>
      </c>
      <c r="G34" s="55">
        <v>5.9809999999999999</v>
      </c>
      <c r="H34" s="54">
        <v>6.2350000000000003</v>
      </c>
      <c r="I34" s="54">
        <v>0</v>
      </c>
      <c r="J34" s="54">
        <v>0</v>
      </c>
      <c r="K34" s="54">
        <v>0</v>
      </c>
      <c r="L34" s="54">
        <v>0</v>
      </c>
      <c r="M34" s="55">
        <v>6.2350000000000003</v>
      </c>
      <c r="N34" s="56">
        <v>4.2467814746697953E-2</v>
      </c>
      <c r="O34" s="77" t="s">
        <v>124</v>
      </c>
      <c r="P34" s="77" t="s">
        <v>1791</v>
      </c>
    </row>
    <row r="35" spans="1:16" ht="17">
      <c r="A35" s="8" t="s">
        <v>2</v>
      </c>
      <c r="B35" s="55">
        <v>468.99399999999997</v>
      </c>
      <c r="C35" s="59">
        <v>0</v>
      </c>
      <c r="D35" s="59">
        <v>0</v>
      </c>
      <c r="E35" s="59">
        <v>0</v>
      </c>
      <c r="F35" s="59">
        <v>0</v>
      </c>
      <c r="G35" s="59">
        <v>468.99399999999997</v>
      </c>
      <c r="H35" s="59">
        <v>476.23900000000003</v>
      </c>
      <c r="I35" s="59">
        <v>0</v>
      </c>
      <c r="J35" s="59">
        <v>0</v>
      </c>
      <c r="K35" s="59">
        <v>0</v>
      </c>
      <c r="L35" s="59">
        <v>0</v>
      </c>
      <c r="M35" s="59">
        <v>476.23900000000003</v>
      </c>
      <c r="N35" s="60">
        <v>1.544795882250106E-2</v>
      </c>
      <c r="O35" s="61"/>
      <c r="P35" s="61" t="s">
        <v>53</v>
      </c>
    </row>
    <row r="36" spans="1:16" ht="16">
      <c r="A36" s="5"/>
      <c r="B36" s="63"/>
      <c r="C36" s="63"/>
      <c r="D36" s="63"/>
      <c r="E36" s="63"/>
      <c r="F36" s="63"/>
      <c r="G36" s="64"/>
      <c r="H36" s="64"/>
      <c r="I36" s="64"/>
      <c r="J36" s="64"/>
      <c r="K36" s="64"/>
      <c r="L36" s="64"/>
      <c r="M36" s="64"/>
      <c r="N36" s="65"/>
      <c r="O36" s="49"/>
      <c r="P36" s="50"/>
    </row>
    <row r="37" spans="1:16" ht="16">
      <c r="A37" s="14"/>
      <c r="B37" s="67"/>
      <c r="C37" s="67"/>
      <c r="D37" s="67"/>
      <c r="E37" s="67"/>
      <c r="F37" s="67"/>
      <c r="G37" s="67"/>
      <c r="H37" s="67"/>
      <c r="I37" s="67"/>
      <c r="J37" s="67"/>
      <c r="K37" s="67"/>
      <c r="L37" s="67"/>
      <c r="M37" s="67"/>
      <c r="N37" s="68"/>
      <c r="O37" s="9"/>
      <c r="P37" s="9"/>
    </row>
    <row r="38" spans="1:16" ht="17">
      <c r="A38" s="6" t="s">
        <v>14</v>
      </c>
      <c r="B38" s="69"/>
      <c r="C38" s="69"/>
      <c r="D38" s="69"/>
      <c r="E38" s="69"/>
      <c r="F38" s="69"/>
      <c r="G38" s="69"/>
      <c r="H38" s="69"/>
      <c r="I38" s="69"/>
      <c r="J38" s="69"/>
      <c r="K38" s="69"/>
      <c r="L38" s="69"/>
      <c r="M38" s="69"/>
      <c r="N38" s="70"/>
      <c r="O38" s="53"/>
      <c r="P38" s="53"/>
    </row>
    <row r="39" spans="1:16" ht="68">
      <c r="A39" s="16" t="s">
        <v>14</v>
      </c>
      <c r="B39" s="54">
        <v>125.485</v>
      </c>
      <c r="C39" s="76">
        <v>0</v>
      </c>
      <c r="D39" s="76">
        <v>0</v>
      </c>
      <c r="E39" s="76">
        <v>0</v>
      </c>
      <c r="F39" s="76">
        <v>0</v>
      </c>
      <c r="G39" s="55">
        <v>125.485</v>
      </c>
      <c r="H39" s="54">
        <v>121.61199999999999</v>
      </c>
      <c r="I39" s="54">
        <v>0</v>
      </c>
      <c r="J39" s="54">
        <v>0</v>
      </c>
      <c r="K39" s="54">
        <v>0</v>
      </c>
      <c r="L39" s="54">
        <v>0</v>
      </c>
      <c r="M39" s="55">
        <v>121.61199999999999</v>
      </c>
      <c r="N39" s="56">
        <v>-3.0864246722715899E-2</v>
      </c>
      <c r="O39" s="77" t="s">
        <v>125</v>
      </c>
      <c r="P39" s="77" t="s">
        <v>1792</v>
      </c>
    </row>
    <row r="40" spans="1:16" ht="17">
      <c r="A40" s="8" t="s">
        <v>2</v>
      </c>
      <c r="B40" s="55">
        <v>125.485</v>
      </c>
      <c r="C40" s="55">
        <v>0</v>
      </c>
      <c r="D40" s="55">
        <v>0</v>
      </c>
      <c r="E40" s="55">
        <v>0</v>
      </c>
      <c r="F40" s="55">
        <v>0</v>
      </c>
      <c r="G40" s="55">
        <v>125.485</v>
      </c>
      <c r="H40" s="55">
        <v>121.61199999999999</v>
      </c>
      <c r="I40" s="55">
        <v>0</v>
      </c>
      <c r="J40" s="55">
        <v>0</v>
      </c>
      <c r="K40" s="55">
        <v>0</v>
      </c>
      <c r="L40" s="55">
        <v>0</v>
      </c>
      <c r="M40" s="55">
        <v>121.61199999999999</v>
      </c>
      <c r="N40" s="60">
        <v>-3.0864246722715899E-2</v>
      </c>
      <c r="O40" s="61"/>
      <c r="P40" s="61" t="s">
        <v>53</v>
      </c>
    </row>
    <row r="41" spans="1:16" ht="16">
      <c r="A41" s="18"/>
      <c r="B41" s="79"/>
      <c r="C41" s="80"/>
      <c r="D41" s="80"/>
      <c r="E41" s="80"/>
      <c r="F41" s="80"/>
      <c r="G41" s="80"/>
      <c r="H41" s="80"/>
      <c r="I41" s="80"/>
      <c r="J41" s="80"/>
      <c r="K41" s="80"/>
      <c r="L41" s="80"/>
      <c r="M41" s="80"/>
      <c r="N41" s="81"/>
      <c r="O41" s="82"/>
      <c r="P41" s="50"/>
    </row>
    <row r="42" spans="1:16" ht="17" thickBot="1">
      <c r="A42" s="17"/>
      <c r="B42" s="72"/>
      <c r="C42" s="72"/>
      <c r="D42" s="72"/>
      <c r="E42" s="72"/>
      <c r="F42" s="72"/>
      <c r="G42" s="72"/>
      <c r="H42" s="72"/>
      <c r="I42" s="72"/>
      <c r="J42" s="72"/>
      <c r="K42" s="72"/>
      <c r="L42" s="72"/>
      <c r="M42" s="72"/>
      <c r="N42" s="73"/>
      <c r="O42" s="9"/>
      <c r="P42" s="9"/>
    </row>
    <row r="43" spans="1:16" ht="17">
      <c r="A43" s="12" t="s">
        <v>15</v>
      </c>
      <c r="B43" s="74"/>
      <c r="C43" s="74"/>
      <c r="D43" s="74"/>
      <c r="E43" s="74"/>
      <c r="F43" s="74"/>
      <c r="G43" s="74"/>
      <c r="H43" s="74"/>
      <c r="I43" s="74"/>
      <c r="J43" s="74"/>
      <c r="K43" s="74"/>
      <c r="L43" s="74"/>
      <c r="M43" s="74"/>
      <c r="N43" s="75"/>
      <c r="O43" s="53"/>
      <c r="P43" s="53"/>
    </row>
    <row r="44" spans="1:16" ht="51">
      <c r="A44" s="19" t="s">
        <v>16</v>
      </c>
      <c r="B44" s="54">
        <v>142.72300000000001</v>
      </c>
      <c r="C44" s="83">
        <v>0</v>
      </c>
      <c r="D44" s="83">
        <v>0</v>
      </c>
      <c r="E44" s="83">
        <v>0</v>
      </c>
      <c r="F44" s="83">
        <v>0</v>
      </c>
      <c r="G44" s="55">
        <v>142.72300000000001</v>
      </c>
      <c r="H44" s="54">
        <v>142.72300000000001</v>
      </c>
      <c r="I44" s="54">
        <v>0</v>
      </c>
      <c r="J44" s="54">
        <v>0</v>
      </c>
      <c r="K44" s="54">
        <v>0</v>
      </c>
      <c r="L44" s="54">
        <v>0</v>
      </c>
      <c r="M44" s="55">
        <v>142.72300000000001</v>
      </c>
      <c r="N44" s="56">
        <v>0</v>
      </c>
      <c r="O44" s="77" t="s">
        <v>126</v>
      </c>
      <c r="P44" s="84" t="s">
        <v>513</v>
      </c>
    </row>
    <row r="45" spans="1:16" ht="85">
      <c r="A45" s="19" t="s">
        <v>17</v>
      </c>
      <c r="B45" s="54">
        <v>120</v>
      </c>
      <c r="C45" s="83">
        <v>0</v>
      </c>
      <c r="D45" s="83">
        <v>0</v>
      </c>
      <c r="E45" s="83">
        <v>0</v>
      </c>
      <c r="F45" s="83">
        <v>0</v>
      </c>
      <c r="G45" s="55">
        <v>120</v>
      </c>
      <c r="H45" s="54">
        <v>120</v>
      </c>
      <c r="I45" s="54">
        <v>0</v>
      </c>
      <c r="J45" s="54">
        <v>0</v>
      </c>
      <c r="K45" s="54">
        <v>0</v>
      </c>
      <c r="L45" s="54">
        <v>0</v>
      </c>
      <c r="M45" s="55">
        <v>120</v>
      </c>
      <c r="N45" s="56">
        <v>0</v>
      </c>
      <c r="O45" s="77" t="s">
        <v>127</v>
      </c>
      <c r="P45" s="84" t="s">
        <v>513</v>
      </c>
    </row>
    <row r="46" spans="1:16" ht="34">
      <c r="A46" s="19" t="s">
        <v>18</v>
      </c>
      <c r="B46" s="54">
        <v>5</v>
      </c>
      <c r="C46" s="83">
        <v>0</v>
      </c>
      <c r="D46" s="83">
        <v>0</v>
      </c>
      <c r="E46" s="83">
        <v>0</v>
      </c>
      <c r="F46" s="83">
        <v>0</v>
      </c>
      <c r="G46" s="55">
        <v>5</v>
      </c>
      <c r="H46" s="54">
        <v>5</v>
      </c>
      <c r="I46" s="54">
        <v>0</v>
      </c>
      <c r="J46" s="54">
        <v>0</v>
      </c>
      <c r="K46" s="54">
        <v>0</v>
      </c>
      <c r="L46" s="54">
        <v>0</v>
      </c>
      <c r="M46" s="55">
        <v>5</v>
      </c>
      <c r="N46" s="56">
        <v>0</v>
      </c>
      <c r="O46" s="77" t="s">
        <v>128</v>
      </c>
      <c r="P46" s="84" t="s">
        <v>513</v>
      </c>
    </row>
    <row r="47" spans="1:16" ht="51">
      <c r="A47" s="19" t="s">
        <v>19</v>
      </c>
      <c r="B47" s="54">
        <v>3.097</v>
      </c>
      <c r="C47" s="83">
        <v>0</v>
      </c>
      <c r="D47" s="83">
        <v>0</v>
      </c>
      <c r="E47" s="83">
        <v>0</v>
      </c>
      <c r="F47" s="83">
        <v>0</v>
      </c>
      <c r="G47" s="55">
        <v>3.097</v>
      </c>
      <c r="H47" s="54">
        <v>3.097</v>
      </c>
      <c r="I47" s="54">
        <v>0</v>
      </c>
      <c r="J47" s="54">
        <v>0</v>
      </c>
      <c r="K47" s="54">
        <v>0</v>
      </c>
      <c r="L47" s="54">
        <v>0</v>
      </c>
      <c r="M47" s="55">
        <v>3.097</v>
      </c>
      <c r="N47" s="56">
        <v>0</v>
      </c>
      <c r="O47" s="77" t="s">
        <v>129</v>
      </c>
      <c r="P47" s="84" t="s">
        <v>513</v>
      </c>
    </row>
    <row r="48" spans="1:16" ht="34">
      <c r="A48" s="19" t="s">
        <v>20</v>
      </c>
      <c r="B48" s="54">
        <v>2.8540000000000001</v>
      </c>
      <c r="C48" s="83">
        <v>0</v>
      </c>
      <c r="D48" s="83">
        <v>0</v>
      </c>
      <c r="E48" s="83">
        <v>0</v>
      </c>
      <c r="F48" s="83">
        <v>0</v>
      </c>
      <c r="G48" s="55">
        <v>2.8540000000000001</v>
      </c>
      <c r="H48" s="54">
        <v>2.8540000000000001</v>
      </c>
      <c r="I48" s="54">
        <v>0</v>
      </c>
      <c r="J48" s="54">
        <v>0</v>
      </c>
      <c r="K48" s="54">
        <v>0</v>
      </c>
      <c r="L48" s="54">
        <v>0</v>
      </c>
      <c r="M48" s="55">
        <v>2.8540000000000001</v>
      </c>
      <c r="N48" s="56">
        <v>0</v>
      </c>
      <c r="O48" s="77" t="s">
        <v>130</v>
      </c>
      <c r="P48" s="84" t="s">
        <v>513</v>
      </c>
    </row>
    <row r="49" spans="1:16" ht="34">
      <c r="A49" s="19" t="s">
        <v>21</v>
      </c>
      <c r="B49" s="54">
        <v>3.3109999999999999</v>
      </c>
      <c r="C49" s="83">
        <v>0</v>
      </c>
      <c r="D49" s="83">
        <v>0</v>
      </c>
      <c r="E49" s="83">
        <v>0</v>
      </c>
      <c r="F49" s="83">
        <v>0</v>
      </c>
      <c r="G49" s="55">
        <v>3.3109999999999999</v>
      </c>
      <c r="H49" s="54">
        <v>3.3109999999999999</v>
      </c>
      <c r="I49" s="54">
        <v>0</v>
      </c>
      <c r="J49" s="54">
        <v>0</v>
      </c>
      <c r="K49" s="54">
        <v>0</v>
      </c>
      <c r="L49" s="54">
        <v>0</v>
      </c>
      <c r="M49" s="55">
        <v>3.3109999999999999</v>
      </c>
      <c r="N49" s="56">
        <v>0</v>
      </c>
      <c r="O49" s="77" t="s">
        <v>131</v>
      </c>
      <c r="P49" s="84" t="s">
        <v>513</v>
      </c>
    </row>
    <row r="50" spans="1:16" ht="34">
      <c r="A50" s="20" t="s">
        <v>11</v>
      </c>
      <c r="B50" s="54">
        <v>13.26</v>
      </c>
      <c r="C50" s="85">
        <v>0</v>
      </c>
      <c r="D50" s="85">
        <v>0</v>
      </c>
      <c r="E50" s="85">
        <v>0</v>
      </c>
      <c r="F50" s="85">
        <v>0</v>
      </c>
      <c r="G50" s="55">
        <v>13.26</v>
      </c>
      <c r="H50" s="54">
        <v>13.26</v>
      </c>
      <c r="I50" s="54">
        <v>0</v>
      </c>
      <c r="J50" s="54">
        <v>0</v>
      </c>
      <c r="K50" s="54">
        <v>0</v>
      </c>
      <c r="L50" s="54">
        <v>0</v>
      </c>
      <c r="M50" s="55">
        <v>13.26</v>
      </c>
      <c r="N50" s="56">
        <v>0</v>
      </c>
      <c r="O50" s="77" t="s">
        <v>132</v>
      </c>
      <c r="P50" s="77" t="s">
        <v>513</v>
      </c>
    </row>
    <row r="51" spans="1:16" ht="17">
      <c r="A51" s="8" t="s">
        <v>2</v>
      </c>
      <c r="B51" s="55">
        <v>290.24499999999995</v>
      </c>
      <c r="C51" s="59">
        <v>0</v>
      </c>
      <c r="D51" s="59">
        <v>0</v>
      </c>
      <c r="E51" s="59">
        <v>0</v>
      </c>
      <c r="F51" s="59">
        <v>0</v>
      </c>
      <c r="G51" s="59">
        <v>290.24499999999995</v>
      </c>
      <c r="H51" s="59">
        <v>290.24499999999995</v>
      </c>
      <c r="I51" s="59">
        <v>0</v>
      </c>
      <c r="J51" s="59">
        <v>0</v>
      </c>
      <c r="K51" s="59">
        <v>0</v>
      </c>
      <c r="L51" s="59">
        <v>0</v>
      </c>
      <c r="M51" s="59">
        <v>290.24499999999995</v>
      </c>
      <c r="N51" s="60">
        <v>0</v>
      </c>
      <c r="O51" s="61"/>
      <c r="P51" s="61"/>
    </row>
    <row r="52" spans="1:16" ht="16">
      <c r="A52" s="21"/>
      <c r="B52" s="86"/>
      <c r="C52" s="87"/>
      <c r="D52" s="87"/>
      <c r="E52" s="87"/>
      <c r="F52" s="87"/>
      <c r="G52" s="87"/>
      <c r="H52" s="87"/>
      <c r="I52" s="87"/>
      <c r="J52" s="87"/>
      <c r="K52" s="87"/>
      <c r="L52" s="87"/>
      <c r="M52" s="87"/>
      <c r="N52" s="88"/>
      <c r="O52" s="82"/>
      <c r="P52" s="89"/>
    </row>
    <row r="53" spans="1:16" ht="17">
      <c r="A53" s="9" t="s">
        <v>22</v>
      </c>
      <c r="B53" s="67"/>
      <c r="C53" s="67"/>
      <c r="D53" s="67"/>
      <c r="E53" s="67"/>
      <c r="F53" s="67"/>
      <c r="G53" s="67"/>
      <c r="H53" s="67"/>
      <c r="I53" s="67"/>
      <c r="J53" s="67"/>
      <c r="K53" s="67"/>
      <c r="L53" s="67"/>
      <c r="M53" s="67"/>
      <c r="N53" s="68"/>
      <c r="O53" s="9"/>
      <c r="P53" s="9"/>
    </row>
    <row r="54" spans="1:16" ht="17">
      <c r="A54" s="6" t="s">
        <v>23</v>
      </c>
      <c r="B54" s="69"/>
      <c r="C54" s="69"/>
      <c r="D54" s="69"/>
      <c r="E54" s="69"/>
      <c r="F54" s="69"/>
      <c r="G54" s="69"/>
      <c r="H54" s="69"/>
      <c r="I54" s="69"/>
      <c r="J54" s="69"/>
      <c r="K54" s="69"/>
      <c r="L54" s="69"/>
      <c r="M54" s="69"/>
      <c r="N54" s="70"/>
      <c r="O54" s="53"/>
      <c r="P54" s="53"/>
    </row>
    <row r="55" spans="1:16" ht="34">
      <c r="A55" s="16" t="s">
        <v>23</v>
      </c>
      <c r="B55" s="54">
        <v>74.072999999999993</v>
      </c>
      <c r="C55" s="76">
        <v>0</v>
      </c>
      <c r="D55" s="76">
        <v>0</v>
      </c>
      <c r="E55" s="76">
        <v>0</v>
      </c>
      <c r="F55" s="76">
        <v>0</v>
      </c>
      <c r="G55" s="55">
        <v>74.072999999999993</v>
      </c>
      <c r="H55" s="54">
        <v>74.072999999999993</v>
      </c>
      <c r="I55" s="54">
        <v>0</v>
      </c>
      <c r="J55" s="54">
        <v>0</v>
      </c>
      <c r="K55" s="54">
        <v>0</v>
      </c>
      <c r="L55" s="54">
        <v>0</v>
      </c>
      <c r="M55" s="55">
        <v>74.072999999999993</v>
      </c>
      <c r="N55" s="56">
        <v>0</v>
      </c>
      <c r="O55" s="71" t="s">
        <v>133</v>
      </c>
      <c r="P55" s="71" t="s">
        <v>513</v>
      </c>
    </row>
    <row r="56" spans="1:16" ht="17">
      <c r="A56" s="8" t="s">
        <v>2</v>
      </c>
      <c r="B56" s="55">
        <v>74.072999999999993</v>
      </c>
      <c r="C56" s="59">
        <v>0</v>
      </c>
      <c r="D56" s="59">
        <v>0</v>
      </c>
      <c r="E56" s="59">
        <v>0</v>
      </c>
      <c r="F56" s="59">
        <v>0</v>
      </c>
      <c r="G56" s="59">
        <v>74.072999999999993</v>
      </c>
      <c r="H56" s="59">
        <v>74.072999999999993</v>
      </c>
      <c r="I56" s="59">
        <v>0</v>
      </c>
      <c r="J56" s="59">
        <v>0</v>
      </c>
      <c r="K56" s="59">
        <v>0</v>
      </c>
      <c r="L56" s="59">
        <v>0</v>
      </c>
      <c r="M56" s="59">
        <v>74.072999999999993</v>
      </c>
      <c r="N56" s="60">
        <v>0</v>
      </c>
      <c r="O56" s="61"/>
      <c r="P56" s="61"/>
    </row>
    <row r="57" spans="1:16" ht="16">
      <c r="A57" s="21"/>
      <c r="B57" s="86"/>
      <c r="C57" s="87"/>
      <c r="D57" s="87"/>
      <c r="E57" s="87"/>
      <c r="F57" s="87"/>
      <c r="G57" s="87"/>
      <c r="H57" s="87"/>
      <c r="I57" s="87"/>
      <c r="J57" s="87"/>
      <c r="K57" s="87"/>
      <c r="L57" s="87"/>
      <c r="M57" s="87"/>
      <c r="N57" s="88"/>
      <c r="O57" s="82"/>
      <c r="P57" s="89"/>
    </row>
    <row r="58" spans="1:16" ht="16">
      <c r="A58" s="9"/>
      <c r="B58" s="67"/>
      <c r="C58" s="67"/>
      <c r="D58" s="67"/>
      <c r="E58" s="67"/>
      <c r="F58" s="67"/>
      <c r="G58" s="67"/>
      <c r="H58" s="67"/>
      <c r="I58" s="67"/>
      <c r="J58" s="67"/>
      <c r="K58" s="67"/>
      <c r="L58" s="67"/>
      <c r="M58" s="67"/>
      <c r="N58" s="68"/>
      <c r="O58" s="9"/>
      <c r="P58" s="9"/>
    </row>
    <row r="59" spans="1:16" ht="17">
      <c r="A59" s="6" t="s">
        <v>24</v>
      </c>
      <c r="B59" s="69"/>
      <c r="C59" s="69"/>
      <c r="D59" s="69"/>
      <c r="E59" s="69"/>
      <c r="F59" s="69"/>
      <c r="G59" s="69"/>
      <c r="H59" s="69"/>
      <c r="I59" s="69"/>
      <c r="J59" s="69"/>
      <c r="K59" s="69"/>
      <c r="L59" s="69"/>
      <c r="M59" s="69"/>
      <c r="N59" s="70"/>
      <c r="O59" s="53"/>
      <c r="P59" s="53"/>
    </row>
    <row r="60" spans="1:16" ht="51">
      <c r="A60" s="16" t="s">
        <v>25</v>
      </c>
      <c r="B60" s="54">
        <v>6.5</v>
      </c>
      <c r="C60" s="76">
        <v>0</v>
      </c>
      <c r="D60" s="76">
        <v>0</v>
      </c>
      <c r="E60" s="76">
        <v>0</v>
      </c>
      <c r="F60" s="76">
        <v>0</v>
      </c>
      <c r="G60" s="55">
        <v>6.5</v>
      </c>
      <c r="H60" s="54">
        <v>5.6</v>
      </c>
      <c r="I60" s="54">
        <v>0</v>
      </c>
      <c r="J60" s="54">
        <v>0</v>
      </c>
      <c r="K60" s="54">
        <v>0</v>
      </c>
      <c r="L60" s="54">
        <v>0</v>
      </c>
      <c r="M60" s="55">
        <v>5.6</v>
      </c>
      <c r="N60" s="56">
        <v>-0.13846153846153852</v>
      </c>
      <c r="O60" s="71" t="s">
        <v>134</v>
      </c>
      <c r="P60" s="90" t="s">
        <v>1793</v>
      </c>
    </row>
    <row r="61" spans="1:16" ht="85">
      <c r="A61" s="10" t="s">
        <v>26</v>
      </c>
      <c r="B61" s="54">
        <v>9.4649999999999999</v>
      </c>
      <c r="C61" s="54">
        <v>0</v>
      </c>
      <c r="D61" s="54">
        <v>0</v>
      </c>
      <c r="E61" s="54">
        <v>0</v>
      </c>
      <c r="F61" s="54">
        <v>0</v>
      </c>
      <c r="G61" s="55">
        <v>9.4649999999999999</v>
      </c>
      <c r="H61" s="54">
        <v>9.4649999999999999</v>
      </c>
      <c r="I61" s="54">
        <v>0</v>
      </c>
      <c r="J61" s="54">
        <v>0</v>
      </c>
      <c r="K61" s="54">
        <v>0</v>
      </c>
      <c r="L61" s="54">
        <v>0</v>
      </c>
      <c r="M61" s="55">
        <v>9.4649999999999999</v>
      </c>
      <c r="N61" s="56">
        <v>0</v>
      </c>
      <c r="O61" s="77" t="s">
        <v>135</v>
      </c>
      <c r="P61" s="84" t="s">
        <v>513</v>
      </c>
    </row>
    <row r="62" spans="1:16" ht="34">
      <c r="A62" s="10" t="s">
        <v>27</v>
      </c>
      <c r="B62" s="54">
        <v>7.4619999999999997</v>
      </c>
      <c r="C62" s="54">
        <v>0</v>
      </c>
      <c r="D62" s="54">
        <v>0</v>
      </c>
      <c r="E62" s="54">
        <v>0</v>
      </c>
      <c r="F62" s="54">
        <v>0</v>
      </c>
      <c r="G62" s="55">
        <v>7.4619999999999997</v>
      </c>
      <c r="H62" s="54">
        <v>7.6449999999999996</v>
      </c>
      <c r="I62" s="54">
        <v>0</v>
      </c>
      <c r="J62" s="54">
        <v>0</v>
      </c>
      <c r="K62" s="54">
        <v>0</v>
      </c>
      <c r="L62" s="54">
        <v>0</v>
      </c>
      <c r="M62" s="55">
        <v>7.6449999999999996</v>
      </c>
      <c r="N62" s="56">
        <v>2.4524256231573283E-2</v>
      </c>
      <c r="O62" s="77" t="s">
        <v>136</v>
      </c>
      <c r="P62" s="77" t="s">
        <v>1794</v>
      </c>
    </row>
    <row r="63" spans="1:16" ht="34">
      <c r="A63" s="10" t="s">
        <v>28</v>
      </c>
      <c r="B63" s="54">
        <v>9.5</v>
      </c>
      <c r="C63" s="54">
        <v>0</v>
      </c>
      <c r="D63" s="54">
        <v>0</v>
      </c>
      <c r="E63" s="54">
        <v>0</v>
      </c>
      <c r="F63" s="54">
        <v>0</v>
      </c>
      <c r="G63" s="55">
        <v>9.5</v>
      </c>
      <c r="H63" s="54">
        <v>11</v>
      </c>
      <c r="I63" s="54">
        <v>0</v>
      </c>
      <c r="J63" s="54">
        <v>0</v>
      </c>
      <c r="K63" s="54">
        <v>0</v>
      </c>
      <c r="L63" s="54">
        <v>0</v>
      </c>
      <c r="M63" s="55">
        <v>11</v>
      </c>
      <c r="N63" s="56">
        <v>0.15789473684210525</v>
      </c>
      <c r="O63" s="77" t="s">
        <v>137</v>
      </c>
      <c r="P63" s="77" t="s">
        <v>1795</v>
      </c>
    </row>
    <row r="64" spans="1:16" ht="68">
      <c r="A64" s="13" t="s">
        <v>29</v>
      </c>
      <c r="B64" s="54">
        <v>128.721</v>
      </c>
      <c r="C64" s="76">
        <v>0</v>
      </c>
      <c r="D64" s="76">
        <v>0</v>
      </c>
      <c r="E64" s="76">
        <v>0</v>
      </c>
      <c r="F64" s="76">
        <v>0</v>
      </c>
      <c r="G64" s="55">
        <v>128.721</v>
      </c>
      <c r="H64" s="54">
        <v>132.83600000000001</v>
      </c>
      <c r="I64" s="54">
        <v>0</v>
      </c>
      <c r="J64" s="54">
        <v>0</v>
      </c>
      <c r="K64" s="54">
        <v>0</v>
      </c>
      <c r="L64" s="54">
        <v>0</v>
      </c>
      <c r="M64" s="55">
        <v>132.83600000000001</v>
      </c>
      <c r="N64" s="56">
        <v>3.19683656901361E-2</v>
      </c>
      <c r="O64" s="77" t="s">
        <v>138</v>
      </c>
      <c r="P64" s="84" t="s">
        <v>1796</v>
      </c>
    </row>
    <row r="65" spans="1:16" ht="34">
      <c r="A65" s="13" t="s">
        <v>30</v>
      </c>
      <c r="B65" s="54">
        <v>8.6</v>
      </c>
      <c r="C65" s="76">
        <v>0</v>
      </c>
      <c r="D65" s="76">
        <v>0</v>
      </c>
      <c r="E65" s="76">
        <v>0</v>
      </c>
      <c r="F65" s="76">
        <v>0</v>
      </c>
      <c r="G65" s="55">
        <v>8.6</v>
      </c>
      <c r="H65" s="54">
        <v>10</v>
      </c>
      <c r="I65" s="54">
        <v>0</v>
      </c>
      <c r="J65" s="54">
        <v>0</v>
      </c>
      <c r="K65" s="54">
        <v>0</v>
      </c>
      <c r="L65" s="54">
        <v>0</v>
      </c>
      <c r="M65" s="55">
        <v>10</v>
      </c>
      <c r="N65" s="56">
        <v>0.16279069767441864</v>
      </c>
      <c r="O65" s="77" t="s">
        <v>139</v>
      </c>
      <c r="P65" s="84" t="s">
        <v>1797</v>
      </c>
    </row>
    <row r="66" spans="1:16" ht="34">
      <c r="A66" s="13" t="s">
        <v>31</v>
      </c>
      <c r="B66" s="54">
        <v>100.598</v>
      </c>
      <c r="C66" s="76">
        <v>0</v>
      </c>
      <c r="D66" s="76">
        <v>0</v>
      </c>
      <c r="E66" s="76">
        <v>0</v>
      </c>
      <c r="F66" s="76">
        <v>0</v>
      </c>
      <c r="G66" s="55">
        <v>100.598</v>
      </c>
      <c r="H66" s="54">
        <v>103.44799999999999</v>
      </c>
      <c r="I66" s="54">
        <v>0</v>
      </c>
      <c r="J66" s="54">
        <v>0</v>
      </c>
      <c r="K66" s="54">
        <v>0</v>
      </c>
      <c r="L66" s="54">
        <v>0</v>
      </c>
      <c r="M66" s="55">
        <v>103.44799999999999</v>
      </c>
      <c r="N66" s="56">
        <v>2.8330583112984298E-2</v>
      </c>
      <c r="O66" s="77" t="s">
        <v>140</v>
      </c>
      <c r="P66" s="84" t="s">
        <v>1798</v>
      </c>
    </row>
    <row r="67" spans="1:16" ht="102">
      <c r="A67" s="13" t="s">
        <v>32</v>
      </c>
      <c r="B67" s="54">
        <v>10.755000000000001</v>
      </c>
      <c r="C67" s="76">
        <v>0</v>
      </c>
      <c r="D67" s="76">
        <v>0</v>
      </c>
      <c r="E67" s="76">
        <v>0</v>
      </c>
      <c r="F67" s="76">
        <v>0</v>
      </c>
      <c r="G67" s="55">
        <v>10.755000000000001</v>
      </c>
      <c r="H67" s="54">
        <v>11.4</v>
      </c>
      <c r="I67" s="54">
        <v>0</v>
      </c>
      <c r="J67" s="54">
        <v>0</v>
      </c>
      <c r="K67" s="54">
        <v>0</v>
      </c>
      <c r="L67" s="54">
        <v>0</v>
      </c>
      <c r="M67" s="55">
        <v>11.4</v>
      </c>
      <c r="N67" s="56">
        <v>5.9972105997210555E-2</v>
      </c>
      <c r="O67" s="77" t="s">
        <v>141</v>
      </c>
      <c r="P67" s="84" t="s">
        <v>1799</v>
      </c>
    </row>
    <row r="68" spans="1:16" ht="34">
      <c r="A68" s="13" t="s">
        <v>33</v>
      </c>
      <c r="B68" s="54">
        <v>37.378</v>
      </c>
      <c r="C68" s="76">
        <v>0</v>
      </c>
      <c r="D68" s="76">
        <v>0</v>
      </c>
      <c r="E68" s="76">
        <v>0</v>
      </c>
      <c r="F68" s="76">
        <v>0</v>
      </c>
      <c r="G68" s="55">
        <v>37.378</v>
      </c>
      <c r="H68" s="54">
        <v>37.816000000000003</v>
      </c>
      <c r="I68" s="54">
        <v>0</v>
      </c>
      <c r="J68" s="54">
        <v>0</v>
      </c>
      <c r="K68" s="54">
        <v>0</v>
      </c>
      <c r="L68" s="54">
        <v>0</v>
      </c>
      <c r="M68" s="55">
        <v>37.816000000000003</v>
      </c>
      <c r="N68" s="56">
        <v>1.1718122960030029E-2</v>
      </c>
      <c r="O68" s="77" t="s">
        <v>142</v>
      </c>
      <c r="P68" s="84" t="s">
        <v>1800</v>
      </c>
    </row>
    <row r="69" spans="1:16" ht="85">
      <c r="A69" s="13" t="s">
        <v>34</v>
      </c>
      <c r="B69" s="54">
        <v>6.2750000000000004</v>
      </c>
      <c r="C69" s="76">
        <v>0</v>
      </c>
      <c r="D69" s="76">
        <v>0</v>
      </c>
      <c r="E69" s="76">
        <v>0</v>
      </c>
      <c r="F69" s="76">
        <v>0</v>
      </c>
      <c r="G69" s="55">
        <v>6.2750000000000004</v>
      </c>
      <c r="H69" s="54">
        <v>4.141</v>
      </c>
      <c r="I69" s="54">
        <v>0</v>
      </c>
      <c r="J69" s="54">
        <v>0</v>
      </c>
      <c r="K69" s="54">
        <v>0</v>
      </c>
      <c r="L69" s="54">
        <v>0</v>
      </c>
      <c r="M69" s="55">
        <v>4.141</v>
      </c>
      <c r="N69" s="56">
        <v>-0.34007968127490046</v>
      </c>
      <c r="O69" s="77" t="s">
        <v>143</v>
      </c>
      <c r="P69" s="84" t="s">
        <v>1801</v>
      </c>
    </row>
    <row r="70" spans="1:16" ht="51">
      <c r="A70" s="13" t="s">
        <v>35</v>
      </c>
      <c r="B70" s="54">
        <v>5.2510000000000003</v>
      </c>
      <c r="C70" s="76">
        <v>0</v>
      </c>
      <c r="D70" s="76">
        <v>0</v>
      </c>
      <c r="E70" s="76">
        <v>0</v>
      </c>
      <c r="F70" s="76">
        <v>0</v>
      </c>
      <c r="G70" s="55">
        <v>5.2510000000000003</v>
      </c>
      <c r="H70" s="54">
        <v>8.9169999999999998</v>
      </c>
      <c r="I70" s="54">
        <v>0</v>
      </c>
      <c r="J70" s="54">
        <v>0</v>
      </c>
      <c r="K70" s="54">
        <v>0</v>
      </c>
      <c r="L70" s="54">
        <v>0</v>
      </c>
      <c r="M70" s="55">
        <v>8.9169999999999998</v>
      </c>
      <c r="N70" s="56">
        <v>0.69815273281279744</v>
      </c>
      <c r="O70" s="77" t="s">
        <v>144</v>
      </c>
      <c r="P70" s="84" t="s">
        <v>1802</v>
      </c>
    </row>
    <row r="71" spans="1:16" ht="68">
      <c r="A71" s="13" t="s">
        <v>36</v>
      </c>
      <c r="B71" s="54">
        <v>2.5</v>
      </c>
      <c r="C71" s="76">
        <v>0</v>
      </c>
      <c r="D71" s="76">
        <v>0</v>
      </c>
      <c r="E71" s="76">
        <v>0</v>
      </c>
      <c r="F71" s="76">
        <v>0</v>
      </c>
      <c r="G71" s="55">
        <v>2.5</v>
      </c>
      <c r="H71" s="54">
        <v>2.5</v>
      </c>
      <c r="I71" s="54">
        <v>0</v>
      </c>
      <c r="J71" s="54">
        <v>0</v>
      </c>
      <c r="K71" s="54">
        <v>0</v>
      </c>
      <c r="L71" s="54">
        <v>0</v>
      </c>
      <c r="M71" s="55">
        <v>2.5</v>
      </c>
      <c r="N71" s="56">
        <v>0</v>
      </c>
      <c r="O71" s="77" t="s">
        <v>145</v>
      </c>
      <c r="P71" s="84" t="s">
        <v>513</v>
      </c>
    </row>
    <row r="72" spans="1:16" ht="102">
      <c r="A72" s="13" t="s">
        <v>37</v>
      </c>
      <c r="B72" s="54">
        <v>5.1310000000000002</v>
      </c>
      <c r="C72" s="76">
        <v>0</v>
      </c>
      <c r="D72" s="76">
        <v>0</v>
      </c>
      <c r="E72" s="76">
        <v>0</v>
      </c>
      <c r="F72" s="76">
        <v>0</v>
      </c>
      <c r="G72" s="55">
        <v>5.1310000000000002</v>
      </c>
      <c r="H72" s="54">
        <v>4.8739999999999997</v>
      </c>
      <c r="I72" s="54">
        <v>0</v>
      </c>
      <c r="J72" s="54">
        <v>0</v>
      </c>
      <c r="K72" s="54">
        <v>0</v>
      </c>
      <c r="L72" s="54">
        <v>0</v>
      </c>
      <c r="M72" s="55">
        <v>4.8739999999999997</v>
      </c>
      <c r="N72" s="56">
        <v>-5.0087702202299855E-2</v>
      </c>
      <c r="O72" s="77" t="s">
        <v>146</v>
      </c>
      <c r="P72" s="84" t="s">
        <v>1793</v>
      </c>
    </row>
    <row r="73" spans="1:16" ht="34">
      <c r="A73" s="13" t="s">
        <v>38</v>
      </c>
      <c r="B73" s="54">
        <v>24.654</v>
      </c>
      <c r="C73" s="76">
        <v>0</v>
      </c>
      <c r="D73" s="76">
        <v>0</v>
      </c>
      <c r="E73" s="76">
        <v>0</v>
      </c>
      <c r="F73" s="76">
        <v>0</v>
      </c>
      <c r="G73" s="55">
        <v>24.654</v>
      </c>
      <c r="H73" s="54">
        <v>27.254000000000001</v>
      </c>
      <c r="I73" s="54">
        <v>0</v>
      </c>
      <c r="J73" s="54">
        <v>0</v>
      </c>
      <c r="K73" s="54">
        <v>0</v>
      </c>
      <c r="L73" s="54">
        <v>0</v>
      </c>
      <c r="M73" s="55">
        <v>27.254000000000001</v>
      </c>
      <c r="N73" s="56">
        <v>0.10545956031475628</v>
      </c>
      <c r="O73" s="84" t="s">
        <v>147</v>
      </c>
      <c r="P73" s="84" t="s">
        <v>1803</v>
      </c>
    </row>
    <row r="74" spans="1:16" ht="34">
      <c r="A74" s="13" t="s">
        <v>39</v>
      </c>
      <c r="B74" s="54">
        <v>2.2610000000000001</v>
      </c>
      <c r="C74" s="76">
        <v>0</v>
      </c>
      <c r="D74" s="76">
        <v>0</v>
      </c>
      <c r="E74" s="76">
        <v>0</v>
      </c>
      <c r="F74" s="76">
        <v>0</v>
      </c>
      <c r="G74" s="55">
        <v>2.2610000000000001</v>
      </c>
      <c r="H74" s="54">
        <v>2.2360000000000002</v>
      </c>
      <c r="I74" s="54">
        <v>0</v>
      </c>
      <c r="J74" s="54">
        <v>0</v>
      </c>
      <c r="K74" s="54">
        <v>0</v>
      </c>
      <c r="L74" s="54">
        <v>0</v>
      </c>
      <c r="M74" s="55">
        <v>2.2360000000000002</v>
      </c>
      <c r="N74" s="56">
        <v>-1.1057054400707611E-2</v>
      </c>
      <c r="O74" s="77" t="s">
        <v>148</v>
      </c>
      <c r="P74" s="77" t="s">
        <v>1800</v>
      </c>
    </row>
    <row r="75" spans="1:16" ht="34">
      <c r="A75" s="13" t="s">
        <v>11</v>
      </c>
      <c r="B75" s="54">
        <v>37.688000000000002</v>
      </c>
      <c r="C75" s="76">
        <v>0</v>
      </c>
      <c r="D75" s="76">
        <v>0</v>
      </c>
      <c r="E75" s="76">
        <v>0</v>
      </c>
      <c r="F75" s="76">
        <v>0</v>
      </c>
      <c r="G75" s="55">
        <v>37.688000000000002</v>
      </c>
      <c r="H75" s="54">
        <v>27.93</v>
      </c>
      <c r="I75" s="54">
        <v>0</v>
      </c>
      <c r="J75" s="54">
        <v>0</v>
      </c>
      <c r="K75" s="54">
        <v>0</v>
      </c>
      <c r="L75" s="54">
        <v>0</v>
      </c>
      <c r="M75" s="55">
        <v>27.93</v>
      </c>
      <c r="N75" s="56">
        <v>-0.25891530460624079</v>
      </c>
      <c r="O75" s="62" t="s">
        <v>1776</v>
      </c>
      <c r="P75" s="77" t="s">
        <v>1804</v>
      </c>
    </row>
    <row r="76" spans="1:16" ht="17">
      <c r="A76" s="8" t="s">
        <v>2</v>
      </c>
      <c r="B76" s="55">
        <v>402.73899999999998</v>
      </c>
      <c r="C76" s="59">
        <v>0</v>
      </c>
      <c r="D76" s="59">
        <v>0</v>
      </c>
      <c r="E76" s="59">
        <v>0</v>
      </c>
      <c r="F76" s="59">
        <v>0</v>
      </c>
      <c r="G76" s="59">
        <v>402.73899999999998</v>
      </c>
      <c r="H76" s="59">
        <v>407.06200000000007</v>
      </c>
      <c r="I76" s="59">
        <v>0</v>
      </c>
      <c r="J76" s="59">
        <v>0</v>
      </c>
      <c r="K76" s="59">
        <v>0</v>
      </c>
      <c r="L76" s="59">
        <v>0</v>
      </c>
      <c r="M76" s="59">
        <v>407.06200000000007</v>
      </c>
      <c r="N76" s="60">
        <v>1.0733998942243222E-2</v>
      </c>
      <c r="O76" s="61"/>
      <c r="P76" s="61"/>
    </row>
    <row r="77" spans="1:16" ht="16">
      <c r="A77" s="5"/>
      <c r="B77" s="63"/>
      <c r="C77" s="63"/>
      <c r="D77" s="63"/>
      <c r="E77" s="63"/>
      <c r="F77" s="63"/>
      <c r="G77" s="64"/>
      <c r="H77" s="64"/>
      <c r="I77" s="64"/>
      <c r="J77" s="64"/>
      <c r="K77" s="64"/>
      <c r="L77" s="64"/>
      <c r="M77" s="64"/>
      <c r="N77" s="65"/>
      <c r="O77" s="49"/>
      <c r="P77" s="50"/>
    </row>
    <row r="78" spans="1:16" ht="17" thickBot="1">
      <c r="A78" s="17"/>
      <c r="B78" s="72"/>
      <c r="C78" s="72"/>
      <c r="D78" s="72"/>
      <c r="E78" s="72"/>
      <c r="F78" s="72"/>
      <c r="G78" s="72"/>
      <c r="H78" s="72"/>
      <c r="I78" s="72"/>
      <c r="J78" s="72"/>
      <c r="K78" s="72"/>
      <c r="L78" s="72"/>
      <c r="M78" s="72"/>
      <c r="N78" s="73"/>
      <c r="O78" s="9"/>
      <c r="P78" s="9"/>
    </row>
    <row r="79" spans="1:16" ht="17">
      <c r="A79" s="12" t="s">
        <v>40</v>
      </c>
      <c r="B79" s="74"/>
      <c r="C79" s="74"/>
      <c r="D79" s="74"/>
      <c r="E79" s="74"/>
      <c r="F79" s="74"/>
      <c r="G79" s="74"/>
      <c r="H79" s="74"/>
      <c r="I79" s="74"/>
      <c r="J79" s="74"/>
      <c r="K79" s="74"/>
      <c r="L79" s="74"/>
      <c r="M79" s="74"/>
      <c r="N79" s="75"/>
      <c r="O79" s="91"/>
      <c r="P79" s="91"/>
    </row>
    <row r="80" spans="1:16" ht="17">
      <c r="A80" s="13" t="s">
        <v>41</v>
      </c>
      <c r="B80" s="54">
        <v>21.870999999999999</v>
      </c>
      <c r="C80" s="76">
        <v>0</v>
      </c>
      <c r="D80" s="76">
        <v>0</v>
      </c>
      <c r="E80" s="76">
        <v>0</v>
      </c>
      <c r="F80" s="76">
        <v>0</v>
      </c>
      <c r="G80" s="55">
        <v>21.870999999999999</v>
      </c>
      <c r="H80" s="54">
        <v>25</v>
      </c>
      <c r="I80" s="54">
        <v>0</v>
      </c>
      <c r="J80" s="54">
        <v>0</v>
      </c>
      <c r="K80" s="54">
        <v>0</v>
      </c>
      <c r="L80" s="54">
        <v>0</v>
      </c>
      <c r="M80" s="55">
        <v>25</v>
      </c>
      <c r="N80" s="56">
        <v>0.14306616066937961</v>
      </c>
      <c r="O80" s="92" t="s">
        <v>149</v>
      </c>
      <c r="P80" s="92" t="s">
        <v>1805</v>
      </c>
    </row>
    <row r="81" spans="1:16" ht="34">
      <c r="A81" s="22" t="s">
        <v>42</v>
      </c>
      <c r="B81" s="54">
        <v>10.07</v>
      </c>
      <c r="C81" s="93">
        <v>0</v>
      </c>
      <c r="D81" s="93">
        <v>0</v>
      </c>
      <c r="E81" s="93">
        <v>0</v>
      </c>
      <c r="F81" s="93">
        <v>0</v>
      </c>
      <c r="G81" s="55">
        <v>10.07</v>
      </c>
      <c r="H81" s="54">
        <v>10.57</v>
      </c>
      <c r="I81" s="54">
        <v>0</v>
      </c>
      <c r="J81" s="54">
        <v>0</v>
      </c>
      <c r="K81" s="54">
        <v>0</v>
      </c>
      <c r="L81" s="54">
        <v>0</v>
      </c>
      <c r="M81" s="55">
        <v>10.57</v>
      </c>
      <c r="N81" s="56">
        <v>4.9652432969215489E-2</v>
      </c>
      <c r="O81" s="77" t="s">
        <v>150</v>
      </c>
      <c r="P81" s="94" t="s">
        <v>1806</v>
      </c>
    </row>
    <row r="82" spans="1:16" ht="68">
      <c r="A82" s="16" t="s">
        <v>43</v>
      </c>
      <c r="B82" s="54">
        <v>9.4420000000000002</v>
      </c>
      <c r="C82" s="76">
        <v>0</v>
      </c>
      <c r="D82" s="76">
        <v>0</v>
      </c>
      <c r="E82" s="76">
        <v>0</v>
      </c>
      <c r="F82" s="76">
        <v>0</v>
      </c>
      <c r="G82" s="55">
        <v>9.4420000000000002</v>
      </c>
      <c r="H82" s="54">
        <v>9.282</v>
      </c>
      <c r="I82" s="54">
        <v>0</v>
      </c>
      <c r="J82" s="54">
        <v>0</v>
      </c>
      <c r="K82" s="54">
        <v>0</v>
      </c>
      <c r="L82" s="54">
        <v>0</v>
      </c>
      <c r="M82" s="55">
        <v>9.282</v>
      </c>
      <c r="N82" s="56">
        <v>-1.6945562380851528E-2</v>
      </c>
      <c r="O82" s="77" t="s">
        <v>151</v>
      </c>
      <c r="P82" s="94" t="s">
        <v>1800</v>
      </c>
    </row>
    <row r="83" spans="1:16" ht="34">
      <c r="A83" s="16" t="s">
        <v>44</v>
      </c>
      <c r="B83" s="54">
        <v>3.1</v>
      </c>
      <c r="C83" s="76">
        <v>0</v>
      </c>
      <c r="D83" s="76">
        <v>0</v>
      </c>
      <c r="E83" s="76">
        <v>0</v>
      </c>
      <c r="F83" s="76">
        <v>0</v>
      </c>
      <c r="G83" s="55">
        <v>3.1</v>
      </c>
      <c r="H83" s="54">
        <v>3.1</v>
      </c>
      <c r="I83" s="54">
        <v>0</v>
      </c>
      <c r="J83" s="54">
        <v>0</v>
      </c>
      <c r="K83" s="54">
        <v>0</v>
      </c>
      <c r="L83" s="54">
        <v>0</v>
      </c>
      <c r="M83" s="55">
        <v>3.1</v>
      </c>
      <c r="N83" s="56">
        <v>0</v>
      </c>
      <c r="O83" s="77" t="s">
        <v>152</v>
      </c>
      <c r="P83" s="94" t="s">
        <v>513</v>
      </c>
    </row>
    <row r="84" spans="1:16" ht="51">
      <c r="A84" s="16" t="s">
        <v>45</v>
      </c>
      <c r="B84" s="54">
        <v>2</v>
      </c>
      <c r="C84" s="76">
        <v>0</v>
      </c>
      <c r="D84" s="76">
        <v>0</v>
      </c>
      <c r="E84" s="76">
        <v>0</v>
      </c>
      <c r="F84" s="76">
        <v>0</v>
      </c>
      <c r="G84" s="55">
        <v>2</v>
      </c>
      <c r="H84" s="54">
        <v>2</v>
      </c>
      <c r="I84" s="54">
        <v>0</v>
      </c>
      <c r="J84" s="54">
        <v>0</v>
      </c>
      <c r="K84" s="54">
        <v>0</v>
      </c>
      <c r="L84" s="54">
        <v>0</v>
      </c>
      <c r="M84" s="55">
        <v>2</v>
      </c>
      <c r="N84" s="56">
        <v>0</v>
      </c>
      <c r="O84" s="77" t="s">
        <v>153</v>
      </c>
      <c r="P84" s="94" t="s">
        <v>513</v>
      </c>
    </row>
    <row r="85" spans="1:16" ht="17">
      <c r="A85" s="16" t="s">
        <v>46</v>
      </c>
      <c r="B85" s="54">
        <v>1.6</v>
      </c>
      <c r="C85" s="76">
        <v>0</v>
      </c>
      <c r="D85" s="76">
        <v>0</v>
      </c>
      <c r="E85" s="76">
        <v>0</v>
      </c>
      <c r="F85" s="76">
        <v>0</v>
      </c>
      <c r="G85" s="55">
        <v>1.6</v>
      </c>
      <c r="H85" s="54">
        <v>2.9340000000000002</v>
      </c>
      <c r="I85" s="54">
        <v>0</v>
      </c>
      <c r="J85" s="54">
        <v>0</v>
      </c>
      <c r="K85" s="54">
        <v>0</v>
      </c>
      <c r="L85" s="54">
        <v>0</v>
      </c>
      <c r="M85" s="55">
        <v>2.9340000000000002</v>
      </c>
      <c r="N85" s="56">
        <v>0.83374999999999999</v>
      </c>
      <c r="O85" s="77" t="s">
        <v>154</v>
      </c>
      <c r="P85" s="94" t="s">
        <v>1807</v>
      </c>
    </row>
    <row r="86" spans="1:16" ht="68">
      <c r="A86" s="16" t="s">
        <v>47</v>
      </c>
      <c r="B86" s="54">
        <v>0</v>
      </c>
      <c r="C86" s="76">
        <v>0</v>
      </c>
      <c r="D86" s="76">
        <v>0</v>
      </c>
      <c r="E86" s="76">
        <v>0</v>
      </c>
      <c r="F86" s="76">
        <v>0</v>
      </c>
      <c r="G86" s="55">
        <v>0</v>
      </c>
      <c r="H86" s="54">
        <v>3.3</v>
      </c>
      <c r="I86" s="54">
        <v>0</v>
      </c>
      <c r="J86" s="54">
        <v>0</v>
      </c>
      <c r="K86" s="54">
        <v>0</v>
      </c>
      <c r="L86" s="54">
        <v>0</v>
      </c>
      <c r="M86" s="55">
        <v>3.3</v>
      </c>
      <c r="N86" s="56" t="s">
        <v>155</v>
      </c>
      <c r="O86" s="77" t="s">
        <v>156</v>
      </c>
      <c r="P86" s="94" t="s">
        <v>1808</v>
      </c>
    </row>
    <row r="87" spans="1:16" ht="51">
      <c r="A87" s="16" t="s">
        <v>9</v>
      </c>
      <c r="B87" s="54">
        <v>37.518000000000001</v>
      </c>
      <c r="C87" s="76">
        <v>0</v>
      </c>
      <c r="D87" s="76">
        <v>0</v>
      </c>
      <c r="E87" s="76">
        <v>0</v>
      </c>
      <c r="F87" s="76">
        <v>0</v>
      </c>
      <c r="G87" s="55">
        <v>37.518000000000001</v>
      </c>
      <c r="H87" s="54">
        <v>30.962</v>
      </c>
      <c r="I87" s="54">
        <v>0</v>
      </c>
      <c r="J87" s="54">
        <v>0</v>
      </c>
      <c r="K87" s="54">
        <v>0</v>
      </c>
      <c r="L87" s="54">
        <v>0</v>
      </c>
      <c r="M87" s="55">
        <v>30.962</v>
      </c>
      <c r="N87" s="56">
        <v>-0.17474279012740554</v>
      </c>
      <c r="O87" s="77" t="s">
        <v>1777</v>
      </c>
      <c r="P87" s="94" t="s">
        <v>1809</v>
      </c>
    </row>
    <row r="88" spans="1:16" ht="17">
      <c r="A88" s="8" t="s">
        <v>2</v>
      </c>
      <c r="B88" s="55">
        <v>85.600999999999999</v>
      </c>
      <c r="C88" s="59">
        <v>0</v>
      </c>
      <c r="D88" s="59">
        <v>0</v>
      </c>
      <c r="E88" s="59">
        <v>0</v>
      </c>
      <c r="F88" s="59">
        <v>0</v>
      </c>
      <c r="G88" s="59">
        <v>85.600999999999999</v>
      </c>
      <c r="H88" s="59">
        <v>87.147999999999996</v>
      </c>
      <c r="I88" s="59">
        <v>0</v>
      </c>
      <c r="J88" s="59">
        <v>0</v>
      </c>
      <c r="K88" s="59">
        <v>0</v>
      </c>
      <c r="L88" s="59">
        <v>0</v>
      </c>
      <c r="M88" s="59">
        <v>87.147999999999996</v>
      </c>
      <c r="N88" s="60">
        <v>1.8072218782490823E-2</v>
      </c>
      <c r="O88" s="61"/>
      <c r="P88" s="61"/>
    </row>
    <row r="89" spans="1:16" ht="16">
      <c r="A89" s="21"/>
      <c r="B89" s="86"/>
      <c r="C89" s="87"/>
      <c r="D89" s="87"/>
      <c r="E89" s="87"/>
      <c r="F89" s="87"/>
      <c r="G89" s="87"/>
      <c r="H89" s="87"/>
      <c r="I89" s="87"/>
      <c r="J89" s="87"/>
      <c r="K89" s="87"/>
      <c r="L89" s="87"/>
      <c r="M89" s="87"/>
      <c r="N89" s="88"/>
      <c r="O89" s="82"/>
      <c r="P89" s="89"/>
    </row>
    <row r="90" spans="1:16" ht="17" thickBot="1">
      <c r="A90" s="17"/>
      <c r="B90" s="72"/>
      <c r="C90" s="72"/>
      <c r="D90" s="72"/>
      <c r="E90" s="72"/>
      <c r="F90" s="72"/>
      <c r="G90" s="72"/>
      <c r="H90" s="72"/>
      <c r="I90" s="72"/>
      <c r="J90" s="72"/>
      <c r="K90" s="72"/>
      <c r="L90" s="72"/>
      <c r="M90" s="72"/>
      <c r="N90" s="73"/>
      <c r="O90" s="9"/>
      <c r="P90" s="9"/>
    </row>
    <row r="91" spans="1:16" ht="17">
      <c r="A91" s="12" t="s">
        <v>48</v>
      </c>
      <c r="B91" s="74"/>
      <c r="C91" s="74"/>
      <c r="D91" s="74"/>
      <c r="E91" s="74"/>
      <c r="F91" s="74"/>
      <c r="G91" s="74"/>
      <c r="H91" s="74"/>
      <c r="I91" s="74"/>
      <c r="J91" s="74"/>
      <c r="K91" s="74"/>
      <c r="L91" s="74"/>
      <c r="M91" s="74"/>
      <c r="N91" s="75"/>
      <c r="O91" s="91"/>
      <c r="P91" s="91"/>
    </row>
    <row r="92" spans="1:16" ht="68">
      <c r="A92" s="16" t="s">
        <v>49</v>
      </c>
      <c r="B92" s="54">
        <v>50</v>
      </c>
      <c r="C92" s="76">
        <v>0</v>
      </c>
      <c r="D92" s="76">
        <v>0</v>
      </c>
      <c r="E92" s="76">
        <v>0</v>
      </c>
      <c r="F92" s="76">
        <v>0</v>
      </c>
      <c r="G92" s="55">
        <v>50</v>
      </c>
      <c r="H92" s="54">
        <v>62</v>
      </c>
      <c r="I92" s="54">
        <v>0</v>
      </c>
      <c r="J92" s="54">
        <v>0</v>
      </c>
      <c r="K92" s="54">
        <v>0</v>
      </c>
      <c r="L92" s="54">
        <v>0</v>
      </c>
      <c r="M92" s="55">
        <v>62</v>
      </c>
      <c r="N92" s="56">
        <v>0.24</v>
      </c>
      <c r="O92" s="71" t="s">
        <v>157</v>
      </c>
      <c r="P92" s="71" t="s">
        <v>1810</v>
      </c>
    </row>
    <row r="93" spans="1:16" ht="51">
      <c r="A93" s="16" t="s">
        <v>50</v>
      </c>
      <c r="B93" s="54">
        <v>35.395000000000003</v>
      </c>
      <c r="C93" s="76">
        <v>0</v>
      </c>
      <c r="D93" s="76">
        <v>0</v>
      </c>
      <c r="E93" s="76">
        <v>0</v>
      </c>
      <c r="F93" s="76">
        <v>0</v>
      </c>
      <c r="G93" s="55">
        <v>35.395000000000003</v>
      </c>
      <c r="H93" s="54">
        <v>36.994999999999997</v>
      </c>
      <c r="I93" s="54">
        <v>0</v>
      </c>
      <c r="J93" s="54">
        <v>0</v>
      </c>
      <c r="K93" s="54">
        <v>0</v>
      </c>
      <c r="L93" s="54">
        <v>0</v>
      </c>
      <c r="M93" s="55">
        <v>36.994999999999997</v>
      </c>
      <c r="N93" s="56">
        <v>4.5204124876394809E-2</v>
      </c>
      <c r="O93" s="71" t="s">
        <v>158</v>
      </c>
      <c r="P93" s="71" t="s">
        <v>1791</v>
      </c>
    </row>
    <row r="94" spans="1:16" ht="17">
      <c r="A94" s="8" t="s">
        <v>2</v>
      </c>
      <c r="B94" s="55">
        <v>85.39500000000001</v>
      </c>
      <c r="C94" s="55">
        <v>0</v>
      </c>
      <c r="D94" s="55">
        <v>0</v>
      </c>
      <c r="E94" s="55">
        <v>0</v>
      </c>
      <c r="F94" s="55">
        <v>0</v>
      </c>
      <c r="G94" s="55">
        <v>85.39500000000001</v>
      </c>
      <c r="H94" s="55">
        <v>98.995000000000005</v>
      </c>
      <c r="I94" s="55">
        <v>0</v>
      </c>
      <c r="J94" s="55">
        <v>0</v>
      </c>
      <c r="K94" s="55">
        <v>0</v>
      </c>
      <c r="L94" s="55">
        <v>0</v>
      </c>
      <c r="M94" s="55">
        <v>98.995000000000005</v>
      </c>
      <c r="N94" s="60">
        <v>0.15925990983078625</v>
      </c>
      <c r="O94" s="61"/>
      <c r="P94" s="61"/>
    </row>
    <row r="95" spans="1:16" ht="16">
      <c r="A95" s="21"/>
      <c r="B95" s="86"/>
      <c r="C95" s="87"/>
      <c r="D95" s="87"/>
      <c r="E95" s="87"/>
      <c r="F95" s="87"/>
      <c r="G95" s="87"/>
      <c r="H95" s="87"/>
      <c r="I95" s="87"/>
      <c r="J95" s="87"/>
      <c r="K95" s="87"/>
      <c r="L95" s="87"/>
      <c r="M95" s="87"/>
      <c r="N95" s="88"/>
      <c r="O95" s="82"/>
      <c r="P95" s="89"/>
    </row>
    <row r="96" spans="1:16" ht="17" thickBot="1">
      <c r="A96" s="17"/>
      <c r="B96" s="72"/>
      <c r="C96" s="72"/>
      <c r="D96" s="72"/>
      <c r="E96" s="72"/>
      <c r="F96" s="72"/>
      <c r="G96" s="72"/>
      <c r="H96" s="72"/>
      <c r="I96" s="72"/>
      <c r="J96" s="72"/>
      <c r="K96" s="72"/>
      <c r="L96" s="72"/>
      <c r="M96" s="72"/>
      <c r="N96" s="73"/>
      <c r="O96" s="9"/>
      <c r="P96" s="9"/>
    </row>
    <row r="97" spans="1:16" ht="17">
      <c r="A97" s="12" t="s">
        <v>51</v>
      </c>
      <c r="B97" s="74"/>
      <c r="C97" s="74"/>
      <c r="D97" s="74"/>
      <c r="E97" s="74"/>
      <c r="F97" s="74"/>
      <c r="G97" s="74"/>
      <c r="H97" s="74"/>
      <c r="I97" s="74"/>
      <c r="J97" s="74"/>
      <c r="K97" s="74"/>
      <c r="L97" s="74"/>
      <c r="M97" s="74"/>
      <c r="N97" s="75"/>
      <c r="O97" s="91"/>
      <c r="P97" s="91"/>
    </row>
    <row r="98" spans="1:16" ht="51">
      <c r="A98" s="16" t="s">
        <v>51</v>
      </c>
      <c r="B98" s="54">
        <v>33.6</v>
      </c>
      <c r="C98" s="76">
        <v>1.05</v>
      </c>
      <c r="D98" s="76">
        <v>0</v>
      </c>
      <c r="E98" s="76">
        <v>0</v>
      </c>
      <c r="F98" s="76">
        <v>0</v>
      </c>
      <c r="G98" s="55">
        <v>34.65</v>
      </c>
      <c r="H98" s="54">
        <v>33.6</v>
      </c>
      <c r="I98" s="54">
        <v>1.05</v>
      </c>
      <c r="J98" s="54">
        <v>0</v>
      </c>
      <c r="K98" s="54">
        <v>0</v>
      </c>
      <c r="L98" s="54">
        <v>0</v>
      </c>
      <c r="M98" s="55">
        <v>34.65</v>
      </c>
      <c r="N98" s="56">
        <v>0</v>
      </c>
      <c r="O98" s="71" t="s">
        <v>159</v>
      </c>
      <c r="P98" s="71" t="s">
        <v>513</v>
      </c>
    </row>
    <row r="99" spans="1:16" ht="17">
      <c r="A99" s="8" t="s">
        <v>2</v>
      </c>
      <c r="B99" s="55">
        <v>33.6</v>
      </c>
      <c r="C99" s="59">
        <v>1.05</v>
      </c>
      <c r="D99" s="59">
        <v>0</v>
      </c>
      <c r="E99" s="59">
        <v>0</v>
      </c>
      <c r="F99" s="59">
        <v>0</v>
      </c>
      <c r="G99" s="59">
        <v>34.65</v>
      </c>
      <c r="H99" s="59">
        <v>33.6</v>
      </c>
      <c r="I99" s="59">
        <v>1.05</v>
      </c>
      <c r="J99" s="59">
        <v>0</v>
      </c>
      <c r="K99" s="59">
        <v>0</v>
      </c>
      <c r="L99" s="59">
        <v>0</v>
      </c>
      <c r="M99" s="59">
        <v>34.65</v>
      </c>
      <c r="N99" s="60">
        <v>0</v>
      </c>
      <c r="O99" s="61"/>
      <c r="P99" s="61"/>
    </row>
    <row r="100" spans="1:16" ht="16">
      <c r="A100" s="21"/>
      <c r="B100" s="86"/>
      <c r="C100" s="87"/>
      <c r="D100" s="87"/>
      <c r="E100" s="87"/>
      <c r="F100" s="87"/>
      <c r="G100" s="87"/>
      <c r="H100" s="87"/>
      <c r="I100" s="87"/>
      <c r="J100" s="87"/>
      <c r="K100" s="87"/>
      <c r="L100" s="87"/>
      <c r="M100" s="87"/>
      <c r="N100" s="95"/>
      <c r="O100" s="96"/>
      <c r="P100" s="96"/>
    </row>
    <row r="101" spans="1:16" ht="17" thickBot="1">
      <c r="A101" s="17"/>
      <c r="B101" s="72"/>
      <c r="C101" s="72"/>
      <c r="D101" s="72"/>
      <c r="E101" s="72"/>
      <c r="F101" s="72"/>
      <c r="G101" s="72"/>
      <c r="H101" s="72"/>
      <c r="I101" s="72"/>
      <c r="J101" s="72"/>
      <c r="K101" s="72"/>
      <c r="L101" s="72"/>
      <c r="M101" s="72"/>
      <c r="N101" s="73"/>
      <c r="O101" s="9"/>
      <c r="P101" s="9"/>
    </row>
    <row r="102" spans="1:16" ht="17">
      <c r="A102" s="12" t="s">
        <v>52</v>
      </c>
      <c r="B102" s="74"/>
      <c r="C102" s="74"/>
      <c r="D102" s="74"/>
      <c r="E102" s="74"/>
      <c r="F102" s="74"/>
      <c r="G102" s="74"/>
      <c r="H102" s="74"/>
      <c r="I102" s="74"/>
      <c r="J102" s="74"/>
      <c r="K102" s="74"/>
      <c r="L102" s="74"/>
      <c r="M102" s="74"/>
      <c r="N102" s="75"/>
      <c r="O102" s="91"/>
      <c r="P102" s="91"/>
    </row>
    <row r="103" spans="1:16" ht="51">
      <c r="A103" s="16" t="s">
        <v>52</v>
      </c>
      <c r="B103" s="54">
        <v>19.399999999999999</v>
      </c>
      <c r="C103" s="76">
        <v>0</v>
      </c>
      <c r="D103" s="76">
        <v>0</v>
      </c>
      <c r="E103" s="76">
        <v>0</v>
      </c>
      <c r="F103" s="76">
        <v>0</v>
      </c>
      <c r="G103" s="55">
        <v>19.399999999999999</v>
      </c>
      <c r="H103" s="54">
        <v>16.530999999999999</v>
      </c>
      <c r="I103" s="54">
        <v>0</v>
      </c>
      <c r="J103" s="54">
        <v>0</v>
      </c>
      <c r="K103" s="54">
        <v>0</v>
      </c>
      <c r="L103" s="54">
        <v>0</v>
      </c>
      <c r="M103" s="55">
        <v>16.530999999999999</v>
      </c>
      <c r="N103" s="56">
        <v>-0.14788659793814432</v>
      </c>
      <c r="O103" s="71" t="s">
        <v>160</v>
      </c>
      <c r="P103" s="71" t="s">
        <v>1811</v>
      </c>
    </row>
    <row r="104" spans="1:16" ht="17">
      <c r="A104" s="8" t="s">
        <v>2</v>
      </c>
      <c r="B104" s="55">
        <v>19.399999999999999</v>
      </c>
      <c r="C104" s="59">
        <v>0</v>
      </c>
      <c r="D104" s="59">
        <v>0</v>
      </c>
      <c r="E104" s="59">
        <v>0</v>
      </c>
      <c r="F104" s="59">
        <v>0</v>
      </c>
      <c r="G104" s="59">
        <v>19.399999999999999</v>
      </c>
      <c r="H104" s="59">
        <v>16.530999999999999</v>
      </c>
      <c r="I104" s="59">
        <v>0</v>
      </c>
      <c r="J104" s="59">
        <v>0</v>
      </c>
      <c r="K104" s="59">
        <v>0</v>
      </c>
      <c r="L104" s="59">
        <v>0</v>
      </c>
      <c r="M104" s="59">
        <v>16.530999999999999</v>
      </c>
      <c r="N104" s="60">
        <v>-0.14788659793814432</v>
      </c>
      <c r="O104" s="61"/>
      <c r="P104" s="61"/>
    </row>
    <row r="105" spans="1:16" ht="16">
      <c r="A105" s="5"/>
      <c r="B105" s="63"/>
      <c r="C105" s="63"/>
      <c r="D105" s="63"/>
      <c r="E105" s="63"/>
      <c r="F105" s="63"/>
      <c r="G105" s="64"/>
      <c r="H105" s="64"/>
      <c r="I105" s="64"/>
      <c r="J105" s="64"/>
      <c r="K105" s="64"/>
      <c r="L105" s="64"/>
      <c r="M105" s="64"/>
      <c r="N105" s="65"/>
      <c r="O105" s="49"/>
      <c r="P105" s="50"/>
    </row>
    <row r="106" spans="1:16" ht="17">
      <c r="A106" s="9" t="s">
        <v>53</v>
      </c>
      <c r="B106" s="67"/>
      <c r="C106" s="67"/>
      <c r="D106" s="67"/>
      <c r="E106" s="67"/>
      <c r="F106" s="67"/>
      <c r="G106" s="67"/>
      <c r="H106" s="67"/>
      <c r="I106" s="67"/>
      <c r="J106" s="67"/>
      <c r="K106" s="67"/>
      <c r="L106" s="67"/>
      <c r="M106" s="67"/>
      <c r="N106" s="68"/>
      <c r="O106" s="9"/>
      <c r="P106" s="9"/>
    </row>
    <row r="107" spans="1:16" ht="34">
      <c r="A107" s="6" t="s">
        <v>54</v>
      </c>
      <c r="B107" s="69"/>
      <c r="C107" s="69"/>
      <c r="D107" s="69"/>
      <c r="E107" s="69"/>
      <c r="F107" s="69"/>
      <c r="G107" s="69"/>
      <c r="H107" s="69"/>
      <c r="I107" s="69"/>
      <c r="J107" s="69"/>
      <c r="K107" s="69"/>
      <c r="L107" s="69"/>
      <c r="M107" s="69"/>
      <c r="N107" s="70"/>
      <c r="O107" s="53"/>
      <c r="P107" s="53"/>
    </row>
    <row r="108" spans="1:16" ht="34">
      <c r="A108" s="16" t="s">
        <v>55</v>
      </c>
      <c r="B108" s="54">
        <v>1007.4</v>
      </c>
      <c r="C108" s="76">
        <v>0</v>
      </c>
      <c r="D108" s="76">
        <v>0</v>
      </c>
      <c r="E108" s="76">
        <v>0</v>
      </c>
      <c r="F108" s="76">
        <v>0</v>
      </c>
      <c r="G108" s="55">
        <v>1007.4</v>
      </c>
      <c r="H108" s="54">
        <v>1067.3</v>
      </c>
      <c r="I108" s="54">
        <v>0</v>
      </c>
      <c r="J108" s="54">
        <v>0</v>
      </c>
      <c r="K108" s="54">
        <v>0</v>
      </c>
      <c r="L108" s="54">
        <v>0</v>
      </c>
      <c r="M108" s="55">
        <v>1067.3</v>
      </c>
      <c r="N108" s="56">
        <v>5.9459996029382546E-2</v>
      </c>
      <c r="O108" s="71" t="str">
        <f t="shared" ref="O108" si="0">IF(BY108="","",BY108)</f>
        <v/>
      </c>
      <c r="P108" s="71" t="s">
        <v>1825</v>
      </c>
    </row>
    <row r="109" spans="1:16" ht="34">
      <c r="A109" s="13" t="s">
        <v>56</v>
      </c>
      <c r="B109" s="54">
        <v>53.3</v>
      </c>
      <c r="C109" s="76">
        <v>0.1</v>
      </c>
      <c r="D109" s="76">
        <v>0</v>
      </c>
      <c r="E109" s="76">
        <v>0</v>
      </c>
      <c r="F109" s="76">
        <v>0</v>
      </c>
      <c r="G109" s="55">
        <v>53.4</v>
      </c>
      <c r="H109" s="54">
        <v>53.3</v>
      </c>
      <c r="I109" s="54">
        <v>0.1</v>
      </c>
      <c r="J109" s="54">
        <v>0</v>
      </c>
      <c r="K109" s="54">
        <v>0</v>
      </c>
      <c r="L109" s="54">
        <v>0</v>
      </c>
      <c r="M109" s="55">
        <v>53.4</v>
      </c>
      <c r="N109" s="56">
        <v>0</v>
      </c>
      <c r="O109" s="97" t="s">
        <v>161</v>
      </c>
      <c r="P109" s="71" t="s">
        <v>513</v>
      </c>
    </row>
    <row r="110" spans="1:16" ht="34">
      <c r="A110" s="23" t="s">
        <v>57</v>
      </c>
      <c r="B110" s="54">
        <v>25.388999999999999</v>
      </c>
      <c r="C110" s="76">
        <v>0.1</v>
      </c>
      <c r="D110" s="76">
        <v>0</v>
      </c>
      <c r="E110" s="76">
        <v>0</v>
      </c>
      <c r="F110" s="76">
        <v>0</v>
      </c>
      <c r="G110" s="55">
        <v>25.489000000000001</v>
      </c>
      <c r="H110" s="54">
        <v>27.388999999999999</v>
      </c>
      <c r="I110" s="54">
        <v>0.1</v>
      </c>
      <c r="J110" s="54">
        <v>0</v>
      </c>
      <c r="K110" s="54">
        <v>0</v>
      </c>
      <c r="L110" s="54">
        <v>0</v>
      </c>
      <c r="M110" s="55">
        <v>27.489000000000001</v>
      </c>
      <c r="N110" s="56">
        <v>7.8465220291105961E-2</v>
      </c>
      <c r="O110" s="77" t="s">
        <v>162</v>
      </c>
      <c r="P110" s="77" t="s">
        <v>1812</v>
      </c>
    </row>
    <row r="111" spans="1:16" ht="85">
      <c r="A111" s="24" t="s">
        <v>58</v>
      </c>
      <c r="B111" s="54">
        <v>14</v>
      </c>
      <c r="C111" s="76">
        <v>0</v>
      </c>
      <c r="D111" s="76">
        <v>0</v>
      </c>
      <c r="E111" s="76">
        <v>0</v>
      </c>
      <c r="F111" s="76">
        <v>0</v>
      </c>
      <c r="G111" s="55">
        <v>14</v>
      </c>
      <c r="H111" s="54">
        <v>14</v>
      </c>
      <c r="I111" s="54">
        <v>0</v>
      </c>
      <c r="J111" s="54">
        <v>0</v>
      </c>
      <c r="K111" s="54">
        <v>0</v>
      </c>
      <c r="L111" s="54">
        <v>0</v>
      </c>
      <c r="M111" s="55">
        <v>14</v>
      </c>
      <c r="N111" s="56">
        <v>0</v>
      </c>
      <c r="O111" s="77" t="s">
        <v>163</v>
      </c>
      <c r="P111" s="77" t="s">
        <v>513</v>
      </c>
    </row>
    <row r="112" spans="1:16" ht="85">
      <c r="A112" s="13" t="s">
        <v>59</v>
      </c>
      <c r="B112" s="54">
        <v>10.23</v>
      </c>
      <c r="C112" s="76">
        <v>0</v>
      </c>
      <c r="D112" s="76">
        <v>0</v>
      </c>
      <c r="E112" s="76">
        <v>0</v>
      </c>
      <c r="F112" s="76">
        <v>0</v>
      </c>
      <c r="G112" s="55">
        <v>10.23</v>
      </c>
      <c r="H112" s="54">
        <v>10.23</v>
      </c>
      <c r="I112" s="54">
        <v>0</v>
      </c>
      <c r="J112" s="54">
        <v>0</v>
      </c>
      <c r="K112" s="54">
        <v>0</v>
      </c>
      <c r="L112" s="54">
        <v>0</v>
      </c>
      <c r="M112" s="55">
        <v>10.23</v>
      </c>
      <c r="N112" s="56">
        <v>0</v>
      </c>
      <c r="O112" s="62" t="s">
        <v>164</v>
      </c>
      <c r="P112" s="77" t="s">
        <v>513</v>
      </c>
    </row>
    <row r="113" spans="1:16" ht="17">
      <c r="A113" s="13" t="s">
        <v>60</v>
      </c>
      <c r="B113" s="54">
        <v>8</v>
      </c>
      <c r="C113" s="76">
        <v>0</v>
      </c>
      <c r="D113" s="76">
        <v>0</v>
      </c>
      <c r="E113" s="76">
        <v>0</v>
      </c>
      <c r="F113" s="76">
        <v>0</v>
      </c>
      <c r="G113" s="55">
        <v>8</v>
      </c>
      <c r="H113" s="54">
        <v>8</v>
      </c>
      <c r="I113" s="54">
        <v>0</v>
      </c>
      <c r="J113" s="54">
        <v>0</v>
      </c>
      <c r="K113" s="54">
        <v>0</v>
      </c>
      <c r="L113" s="54">
        <v>0</v>
      </c>
      <c r="M113" s="55">
        <v>8</v>
      </c>
      <c r="N113" s="56">
        <v>0</v>
      </c>
      <c r="O113" s="57" t="s">
        <v>165</v>
      </c>
      <c r="P113" s="77" t="s">
        <v>513</v>
      </c>
    </row>
    <row r="114" spans="1:16" ht="17">
      <c r="A114" s="19" t="s">
        <v>61</v>
      </c>
      <c r="B114" s="54">
        <v>3.6</v>
      </c>
      <c r="C114" s="83">
        <v>0</v>
      </c>
      <c r="D114" s="83">
        <v>0</v>
      </c>
      <c r="E114" s="83">
        <v>0</v>
      </c>
      <c r="F114" s="83">
        <v>0</v>
      </c>
      <c r="G114" s="55">
        <v>3.6</v>
      </c>
      <c r="H114" s="54">
        <v>3.6</v>
      </c>
      <c r="I114" s="54">
        <v>0</v>
      </c>
      <c r="J114" s="54">
        <v>0</v>
      </c>
      <c r="K114" s="54">
        <v>0</v>
      </c>
      <c r="L114" s="54">
        <v>0</v>
      </c>
      <c r="M114" s="55">
        <v>3.6</v>
      </c>
      <c r="N114" s="56">
        <v>0</v>
      </c>
      <c r="O114" s="77" t="s">
        <v>166</v>
      </c>
      <c r="P114" s="77" t="s">
        <v>513</v>
      </c>
    </row>
    <row r="115" spans="1:16" ht="85">
      <c r="A115" s="25" t="s">
        <v>62</v>
      </c>
      <c r="B115" s="54">
        <v>2.3119999999999998</v>
      </c>
      <c r="C115" s="76">
        <v>0</v>
      </c>
      <c r="D115" s="76">
        <v>0</v>
      </c>
      <c r="E115" s="76">
        <v>0</v>
      </c>
      <c r="F115" s="76">
        <v>0</v>
      </c>
      <c r="G115" s="55">
        <v>2.3119999999999998</v>
      </c>
      <c r="H115" s="54">
        <v>2.3119999999999998</v>
      </c>
      <c r="I115" s="54">
        <v>0</v>
      </c>
      <c r="J115" s="54">
        <v>0</v>
      </c>
      <c r="K115" s="54">
        <v>0</v>
      </c>
      <c r="L115" s="54">
        <v>0</v>
      </c>
      <c r="M115" s="55">
        <v>2.3119999999999998</v>
      </c>
      <c r="N115" s="56">
        <v>0</v>
      </c>
      <c r="O115" s="77" t="s">
        <v>167</v>
      </c>
      <c r="P115" s="77" t="s">
        <v>513</v>
      </c>
    </row>
    <row r="116" spans="1:16" ht="85">
      <c r="A116" s="19" t="s">
        <v>11</v>
      </c>
      <c r="B116" s="54">
        <v>12.622</v>
      </c>
      <c r="C116" s="76">
        <v>0</v>
      </c>
      <c r="D116" s="76">
        <v>0</v>
      </c>
      <c r="E116" s="76">
        <v>0</v>
      </c>
      <c r="F116" s="76">
        <v>0</v>
      </c>
      <c r="G116" s="55">
        <v>12.622</v>
      </c>
      <c r="H116" s="54">
        <v>12.622</v>
      </c>
      <c r="I116" s="54">
        <v>0</v>
      </c>
      <c r="J116" s="54">
        <v>0</v>
      </c>
      <c r="K116" s="54">
        <v>0</v>
      </c>
      <c r="L116" s="54">
        <v>0</v>
      </c>
      <c r="M116" s="55">
        <v>12.622</v>
      </c>
      <c r="N116" s="56">
        <v>0</v>
      </c>
      <c r="O116" s="57" t="s">
        <v>168</v>
      </c>
      <c r="P116" s="77" t="s">
        <v>513</v>
      </c>
    </row>
    <row r="117" spans="1:16" ht="17">
      <c r="A117" s="8" t="s">
        <v>2</v>
      </c>
      <c r="B117" s="55">
        <v>1136.8529999999998</v>
      </c>
      <c r="C117" s="59">
        <v>0.2</v>
      </c>
      <c r="D117" s="59">
        <v>0</v>
      </c>
      <c r="E117" s="59">
        <v>0</v>
      </c>
      <c r="F117" s="59">
        <v>0</v>
      </c>
      <c r="G117" s="59">
        <v>1137.0529999999999</v>
      </c>
      <c r="H117" s="59">
        <v>1198.7529999999997</v>
      </c>
      <c r="I117" s="59">
        <v>0.2</v>
      </c>
      <c r="J117" s="59">
        <v>0</v>
      </c>
      <c r="K117" s="59">
        <v>0</v>
      </c>
      <c r="L117" s="59">
        <v>0</v>
      </c>
      <c r="M117" s="59">
        <v>1198.953</v>
      </c>
      <c r="N117" s="60">
        <v>5.4438975140121082E-2</v>
      </c>
      <c r="O117" s="61"/>
      <c r="P117" s="61"/>
    </row>
    <row r="118" spans="1:16" ht="16">
      <c r="A118" s="21"/>
      <c r="B118" s="86"/>
      <c r="C118" s="87"/>
      <c r="D118" s="87"/>
      <c r="E118" s="87"/>
      <c r="F118" s="87"/>
      <c r="G118" s="87"/>
      <c r="H118" s="87"/>
      <c r="I118" s="87"/>
      <c r="J118" s="87"/>
      <c r="K118" s="87"/>
      <c r="L118" s="87"/>
      <c r="M118" s="87"/>
      <c r="N118" s="88"/>
      <c r="O118" s="82"/>
      <c r="P118" s="89"/>
    </row>
    <row r="119" spans="1:16" ht="16">
      <c r="A119" s="14"/>
      <c r="B119" s="67"/>
      <c r="C119" s="67"/>
      <c r="D119" s="67"/>
      <c r="E119" s="67"/>
      <c r="F119" s="67"/>
      <c r="G119" s="67"/>
      <c r="H119" s="67"/>
      <c r="I119" s="67"/>
      <c r="J119" s="67"/>
      <c r="K119" s="67"/>
      <c r="L119" s="67"/>
      <c r="M119" s="67"/>
      <c r="N119" s="68"/>
      <c r="O119" s="9"/>
      <c r="P119" s="9"/>
    </row>
    <row r="120" spans="1:16" ht="17">
      <c r="A120" s="6" t="s">
        <v>63</v>
      </c>
      <c r="B120" s="69"/>
      <c r="C120" s="69"/>
      <c r="D120" s="69"/>
      <c r="E120" s="69"/>
      <c r="F120" s="69"/>
      <c r="G120" s="69"/>
      <c r="H120" s="69"/>
      <c r="I120" s="69"/>
      <c r="J120" s="69"/>
      <c r="K120" s="69"/>
      <c r="L120" s="69"/>
      <c r="M120" s="69"/>
      <c r="N120" s="70"/>
      <c r="O120" s="53"/>
      <c r="P120" s="53"/>
    </row>
    <row r="121" spans="1:16" ht="34">
      <c r="A121" s="13" t="s">
        <v>63</v>
      </c>
      <c r="B121" s="54">
        <v>108.729</v>
      </c>
      <c r="C121" s="76">
        <v>0</v>
      </c>
      <c r="D121" s="76">
        <v>0</v>
      </c>
      <c r="E121" s="76">
        <v>0</v>
      </c>
      <c r="F121" s="76">
        <v>0</v>
      </c>
      <c r="G121" s="55">
        <v>108.729</v>
      </c>
      <c r="H121" s="54">
        <v>108.729</v>
      </c>
      <c r="I121" s="54">
        <v>0</v>
      </c>
      <c r="J121" s="54">
        <v>0</v>
      </c>
      <c r="K121" s="54">
        <v>0</v>
      </c>
      <c r="L121" s="54">
        <v>0</v>
      </c>
      <c r="M121" s="55">
        <v>108.729</v>
      </c>
      <c r="N121" s="56">
        <v>0</v>
      </c>
      <c r="O121" s="77" t="s">
        <v>169</v>
      </c>
      <c r="P121" s="77" t="s">
        <v>513</v>
      </c>
    </row>
    <row r="122" spans="1:16" ht="17">
      <c r="A122" s="13" t="s">
        <v>11</v>
      </c>
      <c r="B122" s="54">
        <v>4.1779999999999999</v>
      </c>
      <c r="C122" s="76">
        <v>0</v>
      </c>
      <c r="D122" s="76">
        <v>0</v>
      </c>
      <c r="E122" s="76">
        <v>0</v>
      </c>
      <c r="F122" s="76">
        <v>0</v>
      </c>
      <c r="G122" s="55">
        <v>4.1779999999999999</v>
      </c>
      <c r="H122" s="54">
        <v>4.1779999999999999</v>
      </c>
      <c r="I122" s="54">
        <v>0</v>
      </c>
      <c r="J122" s="54">
        <v>0</v>
      </c>
      <c r="K122" s="54">
        <v>0</v>
      </c>
      <c r="L122" s="54">
        <v>0</v>
      </c>
      <c r="M122" s="55">
        <v>4.1779999999999999</v>
      </c>
      <c r="N122" s="56">
        <v>0</v>
      </c>
      <c r="O122" s="77" t="s">
        <v>170</v>
      </c>
      <c r="P122" s="77" t="s">
        <v>513</v>
      </c>
    </row>
    <row r="123" spans="1:16" ht="17">
      <c r="A123" s="8" t="s">
        <v>2</v>
      </c>
      <c r="B123" s="55">
        <v>112.907</v>
      </c>
      <c r="C123" s="59">
        <v>0</v>
      </c>
      <c r="D123" s="59">
        <v>0</v>
      </c>
      <c r="E123" s="59">
        <v>0</v>
      </c>
      <c r="F123" s="59">
        <v>0</v>
      </c>
      <c r="G123" s="59">
        <v>112.907</v>
      </c>
      <c r="H123" s="59">
        <v>112.907</v>
      </c>
      <c r="I123" s="59">
        <v>0</v>
      </c>
      <c r="J123" s="59">
        <v>0</v>
      </c>
      <c r="K123" s="59">
        <v>0</v>
      </c>
      <c r="L123" s="59">
        <v>0</v>
      </c>
      <c r="M123" s="59">
        <v>112.907</v>
      </c>
      <c r="N123" s="60">
        <v>0</v>
      </c>
      <c r="O123" s="61" t="s">
        <v>53</v>
      </c>
      <c r="P123" s="61" t="s">
        <v>53</v>
      </c>
    </row>
    <row r="124" spans="1:16" ht="16">
      <c r="A124" s="21"/>
      <c r="B124" s="86"/>
      <c r="C124" s="87"/>
      <c r="D124" s="87"/>
      <c r="E124" s="87"/>
      <c r="F124" s="87"/>
      <c r="G124" s="87"/>
      <c r="H124" s="87"/>
      <c r="I124" s="87"/>
      <c r="J124" s="87"/>
      <c r="K124" s="87"/>
      <c r="L124" s="87"/>
      <c r="M124" s="87"/>
      <c r="N124" s="88"/>
      <c r="O124" s="82"/>
      <c r="P124" s="89"/>
    </row>
    <row r="125" spans="1:16" ht="16">
      <c r="A125" s="14"/>
      <c r="B125" s="67"/>
      <c r="C125" s="67"/>
      <c r="D125" s="67"/>
      <c r="E125" s="67"/>
      <c r="F125" s="67"/>
      <c r="G125" s="67"/>
      <c r="H125" s="67"/>
      <c r="I125" s="67"/>
      <c r="J125" s="67"/>
      <c r="K125" s="67"/>
      <c r="L125" s="67"/>
      <c r="M125" s="67"/>
      <c r="N125" s="68"/>
      <c r="O125" s="9"/>
      <c r="P125" s="9"/>
    </row>
    <row r="126" spans="1:16" ht="17">
      <c r="A126" s="6" t="s">
        <v>64</v>
      </c>
      <c r="B126" s="69"/>
      <c r="C126" s="69"/>
      <c r="D126" s="69"/>
      <c r="E126" s="69"/>
      <c r="F126" s="69"/>
      <c r="G126" s="69"/>
      <c r="H126" s="69"/>
      <c r="I126" s="69"/>
      <c r="J126" s="69"/>
      <c r="K126" s="69"/>
      <c r="L126" s="69"/>
      <c r="M126" s="69"/>
      <c r="N126" s="70"/>
      <c r="O126" s="53"/>
      <c r="P126" s="53"/>
    </row>
    <row r="127" spans="1:16" ht="68">
      <c r="A127" s="13" t="s">
        <v>65</v>
      </c>
      <c r="B127" s="54">
        <v>17</v>
      </c>
      <c r="C127" s="76">
        <v>0</v>
      </c>
      <c r="D127" s="76">
        <v>0</v>
      </c>
      <c r="E127" s="76">
        <v>0</v>
      </c>
      <c r="F127" s="76">
        <v>0</v>
      </c>
      <c r="G127" s="55">
        <v>17</v>
      </c>
      <c r="H127" s="54">
        <v>17.5</v>
      </c>
      <c r="I127" s="54">
        <v>0</v>
      </c>
      <c r="J127" s="54">
        <v>0</v>
      </c>
      <c r="K127" s="54">
        <v>0</v>
      </c>
      <c r="L127" s="54">
        <v>0</v>
      </c>
      <c r="M127" s="55">
        <v>17.5</v>
      </c>
      <c r="N127" s="56">
        <v>2.9411764705882353E-2</v>
      </c>
      <c r="O127" s="77" t="s">
        <v>171</v>
      </c>
      <c r="P127" s="77" t="s">
        <v>1813</v>
      </c>
    </row>
    <row r="128" spans="1:16" ht="17">
      <c r="A128" s="13" t="s">
        <v>66</v>
      </c>
      <c r="B128" s="54">
        <v>9.0399999999999991</v>
      </c>
      <c r="C128" s="76">
        <v>0</v>
      </c>
      <c r="D128" s="76">
        <v>0</v>
      </c>
      <c r="E128" s="76">
        <v>0</v>
      </c>
      <c r="F128" s="76">
        <v>0</v>
      </c>
      <c r="G128" s="55">
        <v>9.0399999999999991</v>
      </c>
      <c r="H128" s="54">
        <v>9.0399999999999991</v>
      </c>
      <c r="I128" s="54">
        <v>0</v>
      </c>
      <c r="J128" s="54">
        <v>0</v>
      </c>
      <c r="K128" s="54">
        <v>0</v>
      </c>
      <c r="L128" s="54">
        <v>0</v>
      </c>
      <c r="M128" s="55">
        <v>9.0399999999999991</v>
      </c>
      <c r="N128" s="56">
        <v>0</v>
      </c>
      <c r="O128" s="77" t="s">
        <v>172</v>
      </c>
      <c r="P128" s="98" t="s">
        <v>513</v>
      </c>
    </row>
    <row r="129" spans="1:16" ht="51">
      <c r="A129" s="13" t="s">
        <v>67</v>
      </c>
      <c r="B129" s="54">
        <v>12.5</v>
      </c>
      <c r="C129" s="76">
        <v>0</v>
      </c>
      <c r="D129" s="76">
        <v>0</v>
      </c>
      <c r="E129" s="76">
        <v>0</v>
      </c>
      <c r="F129" s="76">
        <v>0</v>
      </c>
      <c r="G129" s="55">
        <v>12.5</v>
      </c>
      <c r="H129" s="54">
        <v>12.5</v>
      </c>
      <c r="I129" s="54">
        <v>0</v>
      </c>
      <c r="J129" s="54">
        <v>0</v>
      </c>
      <c r="K129" s="54">
        <v>0</v>
      </c>
      <c r="L129" s="54">
        <v>0</v>
      </c>
      <c r="M129" s="55">
        <v>12.5</v>
      </c>
      <c r="N129" s="56">
        <v>0</v>
      </c>
      <c r="O129" s="77" t="s">
        <v>173</v>
      </c>
      <c r="P129" s="98" t="s">
        <v>513</v>
      </c>
    </row>
    <row r="130" spans="1:16" ht="17">
      <c r="A130" s="13" t="s">
        <v>68</v>
      </c>
      <c r="B130" s="54">
        <v>4.5</v>
      </c>
      <c r="C130" s="76">
        <v>0</v>
      </c>
      <c r="D130" s="76">
        <v>0</v>
      </c>
      <c r="E130" s="76">
        <v>0</v>
      </c>
      <c r="F130" s="76">
        <v>0</v>
      </c>
      <c r="G130" s="55">
        <v>4.5</v>
      </c>
      <c r="H130" s="54">
        <v>4.5</v>
      </c>
      <c r="I130" s="54">
        <v>0</v>
      </c>
      <c r="J130" s="54">
        <v>0</v>
      </c>
      <c r="K130" s="54">
        <v>0</v>
      </c>
      <c r="L130" s="54">
        <v>0</v>
      </c>
      <c r="M130" s="55">
        <v>4.5</v>
      </c>
      <c r="N130" s="56">
        <v>0</v>
      </c>
      <c r="O130" s="77" t="s">
        <v>174</v>
      </c>
      <c r="P130" s="77" t="s">
        <v>513</v>
      </c>
    </row>
    <row r="131" spans="1:16" ht="51">
      <c r="A131" s="13" t="s">
        <v>69</v>
      </c>
      <c r="B131" s="54">
        <v>3.5</v>
      </c>
      <c r="C131" s="76">
        <v>0</v>
      </c>
      <c r="D131" s="76">
        <v>0</v>
      </c>
      <c r="E131" s="76">
        <v>0</v>
      </c>
      <c r="F131" s="76">
        <v>0</v>
      </c>
      <c r="G131" s="55">
        <v>3.5</v>
      </c>
      <c r="H131" s="54">
        <v>3.5</v>
      </c>
      <c r="I131" s="54">
        <v>0</v>
      </c>
      <c r="J131" s="54">
        <v>0</v>
      </c>
      <c r="K131" s="54">
        <v>0</v>
      </c>
      <c r="L131" s="54">
        <v>0</v>
      </c>
      <c r="M131" s="55">
        <v>3.5</v>
      </c>
      <c r="N131" s="56">
        <v>0</v>
      </c>
      <c r="O131" s="77" t="s">
        <v>175</v>
      </c>
      <c r="P131" s="77" t="s">
        <v>513</v>
      </c>
    </row>
    <row r="132" spans="1:16" ht="51">
      <c r="A132" s="13" t="s">
        <v>70</v>
      </c>
      <c r="B132" s="54">
        <v>4</v>
      </c>
      <c r="C132" s="76">
        <v>0</v>
      </c>
      <c r="D132" s="76">
        <v>0</v>
      </c>
      <c r="E132" s="76">
        <v>0</v>
      </c>
      <c r="F132" s="76">
        <v>0</v>
      </c>
      <c r="G132" s="55">
        <v>4</v>
      </c>
      <c r="H132" s="54">
        <v>4</v>
      </c>
      <c r="I132" s="54">
        <v>0</v>
      </c>
      <c r="J132" s="54">
        <v>0</v>
      </c>
      <c r="K132" s="54">
        <v>0</v>
      </c>
      <c r="L132" s="54">
        <v>0</v>
      </c>
      <c r="M132" s="55">
        <v>4</v>
      </c>
      <c r="N132" s="56">
        <v>0</v>
      </c>
      <c r="O132" s="77" t="s">
        <v>176</v>
      </c>
      <c r="P132" s="77" t="s">
        <v>513</v>
      </c>
    </row>
    <row r="133" spans="1:16" ht="34">
      <c r="A133" s="13" t="s">
        <v>71</v>
      </c>
      <c r="B133" s="54">
        <v>2</v>
      </c>
      <c r="C133" s="76">
        <v>0</v>
      </c>
      <c r="D133" s="76">
        <v>0</v>
      </c>
      <c r="E133" s="76">
        <v>0</v>
      </c>
      <c r="F133" s="76">
        <v>0</v>
      </c>
      <c r="G133" s="55">
        <v>2</v>
      </c>
      <c r="H133" s="54">
        <v>2</v>
      </c>
      <c r="I133" s="54">
        <v>0</v>
      </c>
      <c r="J133" s="54">
        <v>0</v>
      </c>
      <c r="K133" s="54">
        <v>0</v>
      </c>
      <c r="L133" s="54">
        <v>0</v>
      </c>
      <c r="M133" s="55">
        <v>2</v>
      </c>
      <c r="N133" s="56">
        <v>0</v>
      </c>
      <c r="O133" s="77" t="s">
        <v>177</v>
      </c>
      <c r="P133" s="77" t="s">
        <v>513</v>
      </c>
    </row>
    <row r="134" spans="1:16" ht="17">
      <c r="A134" s="13" t="s">
        <v>11</v>
      </c>
      <c r="B134" s="54">
        <v>6.4029999999999996</v>
      </c>
      <c r="C134" s="76">
        <v>0</v>
      </c>
      <c r="D134" s="76">
        <v>0</v>
      </c>
      <c r="E134" s="76">
        <v>0</v>
      </c>
      <c r="F134" s="76">
        <v>0</v>
      </c>
      <c r="G134" s="55">
        <v>6.4029999999999996</v>
      </c>
      <c r="H134" s="54">
        <v>5.9029999999999996</v>
      </c>
      <c r="I134" s="54">
        <v>0</v>
      </c>
      <c r="J134" s="54">
        <v>0</v>
      </c>
      <c r="K134" s="54">
        <v>0</v>
      </c>
      <c r="L134" s="54">
        <v>0</v>
      </c>
      <c r="M134" s="55">
        <v>5.9029999999999996</v>
      </c>
      <c r="N134" s="56">
        <v>-7.8088396064344839E-2</v>
      </c>
      <c r="O134" s="77" t="s">
        <v>1778</v>
      </c>
      <c r="P134" s="77" t="s">
        <v>1814</v>
      </c>
    </row>
    <row r="135" spans="1:16" ht="17">
      <c r="A135" s="8" t="s">
        <v>2</v>
      </c>
      <c r="B135" s="55">
        <v>58.942999999999998</v>
      </c>
      <c r="C135" s="59">
        <v>0</v>
      </c>
      <c r="D135" s="59">
        <v>0</v>
      </c>
      <c r="E135" s="59">
        <v>0</v>
      </c>
      <c r="F135" s="59">
        <v>0</v>
      </c>
      <c r="G135" s="59">
        <v>58.942999999999998</v>
      </c>
      <c r="H135" s="59">
        <v>58.942999999999998</v>
      </c>
      <c r="I135" s="59">
        <v>0</v>
      </c>
      <c r="J135" s="59">
        <v>0</v>
      </c>
      <c r="K135" s="59">
        <v>0</v>
      </c>
      <c r="L135" s="59">
        <v>0</v>
      </c>
      <c r="M135" s="59">
        <v>58.942999999999998</v>
      </c>
      <c r="N135" s="60">
        <v>0</v>
      </c>
      <c r="O135" s="61"/>
      <c r="P135" s="61"/>
    </row>
    <row r="136" spans="1:16" ht="16">
      <c r="A136" s="21"/>
      <c r="B136" s="86"/>
      <c r="C136" s="87"/>
      <c r="D136" s="87"/>
      <c r="E136" s="87"/>
      <c r="F136" s="87"/>
      <c r="G136" s="87"/>
      <c r="H136" s="87"/>
      <c r="I136" s="87"/>
      <c r="J136" s="87"/>
      <c r="K136" s="87"/>
      <c r="L136" s="87"/>
      <c r="M136" s="87"/>
      <c r="N136" s="88"/>
      <c r="O136" s="82"/>
      <c r="P136" s="89"/>
    </row>
    <row r="137" spans="1:16" ht="17" thickBot="1">
      <c r="A137" s="17"/>
      <c r="B137" s="72"/>
      <c r="C137" s="72"/>
      <c r="D137" s="72"/>
      <c r="E137" s="72"/>
      <c r="F137" s="72"/>
      <c r="G137" s="72"/>
      <c r="H137" s="72"/>
      <c r="I137" s="72"/>
      <c r="J137" s="72"/>
      <c r="K137" s="72"/>
      <c r="L137" s="72"/>
      <c r="M137" s="72"/>
      <c r="N137" s="73"/>
      <c r="O137" s="99"/>
      <c r="P137" s="99"/>
    </row>
    <row r="138" spans="1:16" ht="17">
      <c r="A138" s="12" t="s">
        <v>72</v>
      </c>
      <c r="B138" s="74"/>
      <c r="C138" s="74"/>
      <c r="D138" s="74"/>
      <c r="E138" s="74"/>
      <c r="F138" s="74"/>
      <c r="G138" s="74"/>
      <c r="H138" s="74"/>
      <c r="I138" s="74"/>
      <c r="J138" s="74"/>
      <c r="K138" s="74"/>
      <c r="L138" s="74"/>
      <c r="M138" s="74"/>
      <c r="N138" s="75"/>
      <c r="O138" s="53"/>
      <c r="P138" s="53"/>
    </row>
    <row r="139" spans="1:16" ht="34">
      <c r="A139" s="26" t="s">
        <v>73</v>
      </c>
      <c r="B139" s="54">
        <v>4.5590000000000002</v>
      </c>
      <c r="C139" s="78">
        <v>0</v>
      </c>
      <c r="D139" s="78">
        <v>0</v>
      </c>
      <c r="E139" s="78">
        <v>0</v>
      </c>
      <c r="F139" s="78">
        <v>0</v>
      </c>
      <c r="G139" s="55">
        <v>4.5590000000000002</v>
      </c>
      <c r="H139" s="54">
        <v>3.8719999999999999</v>
      </c>
      <c r="I139" s="54">
        <v>0</v>
      </c>
      <c r="J139" s="54">
        <v>0</v>
      </c>
      <c r="K139" s="54">
        <v>0</v>
      </c>
      <c r="L139" s="54">
        <v>0</v>
      </c>
      <c r="M139" s="55">
        <v>3.8719999999999999</v>
      </c>
      <c r="N139" s="56">
        <v>-0.15069094099583247</v>
      </c>
      <c r="O139" s="71" t="s">
        <v>178</v>
      </c>
      <c r="P139" s="71" t="s">
        <v>1815</v>
      </c>
    </row>
    <row r="140" spans="1:16" ht="34">
      <c r="A140" s="22" t="s">
        <v>74</v>
      </c>
      <c r="B140" s="54">
        <v>2.7869999999999999</v>
      </c>
      <c r="C140" s="93">
        <v>0</v>
      </c>
      <c r="D140" s="93">
        <v>0</v>
      </c>
      <c r="E140" s="93">
        <v>0</v>
      </c>
      <c r="F140" s="93">
        <v>0</v>
      </c>
      <c r="G140" s="55">
        <v>2.7869999999999999</v>
      </c>
      <c r="H140" s="54">
        <v>2.7869999999999999</v>
      </c>
      <c r="I140" s="54">
        <v>0</v>
      </c>
      <c r="J140" s="54">
        <v>0</v>
      </c>
      <c r="K140" s="54">
        <v>0</v>
      </c>
      <c r="L140" s="54">
        <v>0</v>
      </c>
      <c r="M140" s="55">
        <v>2.7869999999999999</v>
      </c>
      <c r="N140" s="56">
        <v>0</v>
      </c>
      <c r="O140" s="77" t="s">
        <v>179</v>
      </c>
      <c r="P140" s="77" t="s">
        <v>513</v>
      </c>
    </row>
    <row r="141" spans="1:16" ht="34">
      <c r="A141" s="22" t="s">
        <v>75</v>
      </c>
      <c r="B141" s="54">
        <v>12.5</v>
      </c>
      <c r="C141" s="93">
        <v>0</v>
      </c>
      <c r="D141" s="93">
        <v>0</v>
      </c>
      <c r="E141" s="93">
        <v>0</v>
      </c>
      <c r="F141" s="93">
        <v>0</v>
      </c>
      <c r="G141" s="55">
        <v>12.5</v>
      </c>
      <c r="H141" s="54">
        <v>12.5</v>
      </c>
      <c r="I141" s="54">
        <v>0</v>
      </c>
      <c r="J141" s="54">
        <v>0</v>
      </c>
      <c r="K141" s="54">
        <v>0</v>
      </c>
      <c r="L141" s="54">
        <v>0</v>
      </c>
      <c r="M141" s="55">
        <v>12.5</v>
      </c>
      <c r="N141" s="56">
        <v>0</v>
      </c>
      <c r="O141" s="100" t="s">
        <v>180</v>
      </c>
      <c r="P141" s="77" t="s">
        <v>513</v>
      </c>
    </row>
    <row r="142" spans="1:16" ht="68">
      <c r="A142" s="22" t="s">
        <v>76</v>
      </c>
      <c r="B142" s="54">
        <v>6.2</v>
      </c>
      <c r="C142" s="93">
        <v>0</v>
      </c>
      <c r="D142" s="93">
        <v>0</v>
      </c>
      <c r="E142" s="93">
        <v>0</v>
      </c>
      <c r="F142" s="93">
        <v>0</v>
      </c>
      <c r="G142" s="55">
        <v>6.2</v>
      </c>
      <c r="H142" s="54">
        <v>5</v>
      </c>
      <c r="I142" s="54">
        <v>0</v>
      </c>
      <c r="J142" s="54">
        <v>0</v>
      </c>
      <c r="K142" s="54">
        <v>0</v>
      </c>
      <c r="L142" s="54">
        <v>0</v>
      </c>
      <c r="M142" s="55">
        <v>5</v>
      </c>
      <c r="N142" s="56">
        <v>-0.19354838709677422</v>
      </c>
      <c r="O142" s="101" t="s">
        <v>181</v>
      </c>
      <c r="P142" s="77" t="s">
        <v>1815</v>
      </c>
    </row>
    <row r="143" spans="1:16" ht="51">
      <c r="A143" s="22" t="s">
        <v>77</v>
      </c>
      <c r="B143" s="54">
        <v>3</v>
      </c>
      <c r="C143" s="93">
        <v>0</v>
      </c>
      <c r="D143" s="93">
        <v>0</v>
      </c>
      <c r="E143" s="93">
        <v>0</v>
      </c>
      <c r="F143" s="93">
        <v>0</v>
      </c>
      <c r="G143" s="55">
        <v>3</v>
      </c>
      <c r="H143" s="54">
        <v>3</v>
      </c>
      <c r="I143" s="54">
        <v>0</v>
      </c>
      <c r="J143" s="54">
        <v>0</v>
      </c>
      <c r="K143" s="54">
        <v>0</v>
      </c>
      <c r="L143" s="54">
        <v>0</v>
      </c>
      <c r="M143" s="55">
        <v>3</v>
      </c>
      <c r="N143" s="56">
        <v>0</v>
      </c>
      <c r="O143" s="101" t="s">
        <v>182</v>
      </c>
      <c r="P143" s="77" t="s">
        <v>513</v>
      </c>
    </row>
    <row r="144" spans="1:16" ht="17">
      <c r="A144" s="26" t="s">
        <v>78</v>
      </c>
      <c r="B144" s="54">
        <v>15.5</v>
      </c>
      <c r="C144" s="93">
        <v>0</v>
      </c>
      <c r="D144" s="93">
        <v>0</v>
      </c>
      <c r="E144" s="93">
        <v>0</v>
      </c>
      <c r="F144" s="93">
        <v>0</v>
      </c>
      <c r="G144" s="55">
        <v>15.5</v>
      </c>
      <c r="H144" s="54">
        <v>14.5</v>
      </c>
      <c r="I144" s="54">
        <v>0</v>
      </c>
      <c r="J144" s="54">
        <v>0</v>
      </c>
      <c r="K144" s="54">
        <v>0</v>
      </c>
      <c r="L144" s="54">
        <v>0</v>
      </c>
      <c r="M144" s="55">
        <v>14.5</v>
      </c>
      <c r="N144" s="56">
        <v>-6.4516129032258063E-2</v>
      </c>
      <c r="O144" s="101" t="s">
        <v>183</v>
      </c>
      <c r="P144" s="77" t="s">
        <v>1816</v>
      </c>
    </row>
    <row r="145" spans="1:16" ht="51">
      <c r="A145" s="13" t="s">
        <v>11</v>
      </c>
      <c r="B145" s="54">
        <v>21.8</v>
      </c>
      <c r="C145" s="76">
        <v>0</v>
      </c>
      <c r="D145" s="76">
        <v>0</v>
      </c>
      <c r="E145" s="76">
        <v>0</v>
      </c>
      <c r="F145" s="76">
        <v>0</v>
      </c>
      <c r="G145" s="55">
        <v>21.8</v>
      </c>
      <c r="H145" s="54">
        <v>19.495999999999999</v>
      </c>
      <c r="I145" s="54">
        <v>0</v>
      </c>
      <c r="J145" s="54">
        <v>0</v>
      </c>
      <c r="K145" s="54">
        <v>0</v>
      </c>
      <c r="L145" s="54">
        <v>0</v>
      </c>
      <c r="M145" s="55">
        <v>19.495999999999999</v>
      </c>
      <c r="N145" s="56">
        <v>-0.1056880733944955</v>
      </c>
      <c r="O145" s="77" t="s">
        <v>184</v>
      </c>
      <c r="P145" s="77" t="s">
        <v>1817</v>
      </c>
    </row>
    <row r="146" spans="1:16" ht="17">
      <c r="A146" s="8" t="s">
        <v>2</v>
      </c>
      <c r="B146" s="55">
        <v>66.346000000000004</v>
      </c>
      <c r="C146" s="59">
        <v>0</v>
      </c>
      <c r="D146" s="59">
        <v>0</v>
      </c>
      <c r="E146" s="59">
        <v>0</v>
      </c>
      <c r="F146" s="59">
        <v>0</v>
      </c>
      <c r="G146" s="59">
        <v>66.346000000000004</v>
      </c>
      <c r="H146" s="59">
        <v>61.155000000000001</v>
      </c>
      <c r="I146" s="59">
        <v>0</v>
      </c>
      <c r="J146" s="59">
        <v>0</v>
      </c>
      <c r="K146" s="59">
        <v>0</v>
      </c>
      <c r="L146" s="59">
        <v>0</v>
      </c>
      <c r="M146" s="59">
        <v>61.155000000000001</v>
      </c>
      <c r="N146" s="60">
        <v>-7.8241340849486057E-2</v>
      </c>
      <c r="O146" s="61"/>
      <c r="P146" s="61"/>
    </row>
    <row r="147" spans="1:16" ht="17">
      <c r="A147" s="27" t="s">
        <v>53</v>
      </c>
      <c r="B147" s="102"/>
      <c r="C147" s="103"/>
      <c r="D147" s="103"/>
      <c r="E147" s="103"/>
      <c r="F147" s="103"/>
      <c r="G147" s="103"/>
      <c r="H147" s="103"/>
      <c r="I147" s="103"/>
      <c r="J147" s="103"/>
      <c r="K147" s="103"/>
      <c r="L147" s="103"/>
      <c r="M147" s="103"/>
      <c r="N147" s="104"/>
      <c r="O147" s="105"/>
      <c r="P147" s="106"/>
    </row>
    <row r="148" spans="1:16" ht="16">
      <c r="A148" s="14"/>
      <c r="B148" s="67"/>
      <c r="C148" s="67"/>
      <c r="D148" s="67"/>
      <c r="E148" s="67"/>
      <c r="F148" s="67"/>
      <c r="G148" s="67"/>
      <c r="H148" s="67"/>
      <c r="I148" s="67"/>
      <c r="J148" s="67"/>
      <c r="K148" s="67"/>
      <c r="L148" s="67"/>
      <c r="M148" s="67"/>
      <c r="N148" s="68"/>
      <c r="O148" s="9"/>
      <c r="P148" s="9"/>
    </row>
    <row r="149" spans="1:16" ht="34">
      <c r="A149" s="6" t="s">
        <v>79</v>
      </c>
      <c r="B149" s="69"/>
      <c r="C149" s="69"/>
      <c r="D149" s="69"/>
      <c r="E149" s="69"/>
      <c r="F149" s="69"/>
      <c r="G149" s="69"/>
      <c r="H149" s="69"/>
      <c r="I149" s="69"/>
      <c r="J149" s="69"/>
      <c r="K149" s="69"/>
      <c r="L149" s="69"/>
      <c r="M149" s="69"/>
      <c r="N149" s="70"/>
      <c r="O149" s="53"/>
      <c r="P149" s="53"/>
    </row>
    <row r="150" spans="1:16" ht="68">
      <c r="A150" s="13" t="s">
        <v>80</v>
      </c>
      <c r="B150" s="54">
        <v>47.341999999999999</v>
      </c>
      <c r="C150" s="76">
        <v>0</v>
      </c>
      <c r="D150" s="76">
        <v>0</v>
      </c>
      <c r="E150" s="76">
        <v>0</v>
      </c>
      <c r="F150" s="76">
        <v>0</v>
      </c>
      <c r="G150" s="55">
        <v>47.341999999999999</v>
      </c>
      <c r="H150" s="54">
        <v>42.529000000000003</v>
      </c>
      <c r="I150" s="54">
        <v>0</v>
      </c>
      <c r="J150" s="54">
        <v>0</v>
      </c>
      <c r="K150" s="54">
        <v>0</v>
      </c>
      <c r="L150" s="54">
        <v>0</v>
      </c>
      <c r="M150" s="55">
        <v>42.529000000000003</v>
      </c>
      <c r="N150" s="56">
        <v>-0.10166448396772412</v>
      </c>
      <c r="O150" s="107" t="s">
        <v>185</v>
      </c>
      <c r="P150" s="71" t="s">
        <v>1818</v>
      </c>
    </row>
    <row r="151" spans="1:16" ht="51">
      <c r="A151" s="13" t="s">
        <v>81</v>
      </c>
      <c r="B151" s="54">
        <v>4.5599999999999996</v>
      </c>
      <c r="C151" s="76">
        <v>0</v>
      </c>
      <c r="D151" s="76">
        <v>0</v>
      </c>
      <c r="E151" s="76">
        <v>0</v>
      </c>
      <c r="F151" s="76">
        <v>0</v>
      </c>
      <c r="G151" s="55">
        <v>4.5599999999999996</v>
      </c>
      <c r="H151" s="54">
        <v>4.0599999999999996</v>
      </c>
      <c r="I151" s="54">
        <v>0</v>
      </c>
      <c r="J151" s="54">
        <v>0</v>
      </c>
      <c r="K151" s="54">
        <v>0</v>
      </c>
      <c r="L151" s="54">
        <v>0</v>
      </c>
      <c r="M151" s="55">
        <v>4.0599999999999996</v>
      </c>
      <c r="N151" s="56">
        <v>-0.10964912280701755</v>
      </c>
      <c r="O151" s="108" t="s">
        <v>186</v>
      </c>
      <c r="P151" s="77" t="s">
        <v>1818</v>
      </c>
    </row>
    <row r="152" spans="1:16" ht="68">
      <c r="A152" s="15" t="s">
        <v>82</v>
      </c>
      <c r="B152" s="54">
        <v>2.29</v>
      </c>
      <c r="C152" s="78">
        <v>0</v>
      </c>
      <c r="D152" s="78">
        <v>0</v>
      </c>
      <c r="E152" s="78">
        <v>0</v>
      </c>
      <c r="F152" s="78">
        <v>0</v>
      </c>
      <c r="G152" s="55">
        <v>2.29</v>
      </c>
      <c r="H152" s="54">
        <v>2.02</v>
      </c>
      <c r="I152" s="54">
        <v>0</v>
      </c>
      <c r="J152" s="54">
        <v>0</v>
      </c>
      <c r="K152" s="54">
        <v>0</v>
      </c>
      <c r="L152" s="54">
        <v>0</v>
      </c>
      <c r="M152" s="55">
        <v>2.02</v>
      </c>
      <c r="N152" s="56">
        <v>-0.11790393013100438</v>
      </c>
      <c r="O152" s="108" t="s">
        <v>187</v>
      </c>
      <c r="P152" s="77" t="s">
        <v>1819</v>
      </c>
    </row>
    <row r="153" spans="1:16" ht="85">
      <c r="A153" s="15" t="s">
        <v>83</v>
      </c>
      <c r="B153" s="54">
        <v>3.35</v>
      </c>
      <c r="C153" s="78">
        <v>0</v>
      </c>
      <c r="D153" s="78">
        <v>0</v>
      </c>
      <c r="E153" s="78">
        <v>0</v>
      </c>
      <c r="F153" s="78">
        <v>0</v>
      </c>
      <c r="G153" s="55">
        <v>3.35</v>
      </c>
      <c r="H153" s="54">
        <v>3.35</v>
      </c>
      <c r="I153" s="54">
        <v>0</v>
      </c>
      <c r="J153" s="54">
        <v>0</v>
      </c>
      <c r="K153" s="54">
        <v>0</v>
      </c>
      <c r="L153" s="54">
        <v>0</v>
      </c>
      <c r="M153" s="55">
        <v>3.35</v>
      </c>
      <c r="N153" s="56">
        <v>0</v>
      </c>
      <c r="O153" s="108" t="s">
        <v>188</v>
      </c>
      <c r="P153" s="77" t="s">
        <v>513</v>
      </c>
    </row>
    <row r="154" spans="1:16" ht="17">
      <c r="A154" s="13" t="s">
        <v>84</v>
      </c>
      <c r="B154" s="54">
        <v>4</v>
      </c>
      <c r="C154" s="76">
        <v>0</v>
      </c>
      <c r="D154" s="76">
        <v>0</v>
      </c>
      <c r="E154" s="76">
        <v>0</v>
      </c>
      <c r="F154" s="76">
        <v>0</v>
      </c>
      <c r="G154" s="55">
        <v>4</v>
      </c>
      <c r="H154" s="54">
        <v>3.492</v>
      </c>
      <c r="I154" s="54">
        <v>0</v>
      </c>
      <c r="J154" s="54">
        <v>0</v>
      </c>
      <c r="K154" s="54">
        <v>0</v>
      </c>
      <c r="L154" s="54">
        <v>0</v>
      </c>
      <c r="M154" s="55">
        <v>3.492</v>
      </c>
      <c r="N154" s="56">
        <v>-0.127</v>
      </c>
      <c r="O154" s="77" t="s">
        <v>189</v>
      </c>
      <c r="P154" s="77" t="s">
        <v>1820</v>
      </c>
    </row>
    <row r="155" spans="1:16" ht="17">
      <c r="A155" s="28" t="s">
        <v>85</v>
      </c>
      <c r="B155" s="54">
        <v>2.5</v>
      </c>
      <c r="C155" s="109">
        <v>0</v>
      </c>
      <c r="D155" s="109">
        <v>0</v>
      </c>
      <c r="E155" s="109">
        <v>0</v>
      </c>
      <c r="F155" s="109">
        <v>0</v>
      </c>
      <c r="G155" s="55">
        <v>2.5</v>
      </c>
      <c r="H155" s="54">
        <v>2.5</v>
      </c>
      <c r="I155" s="54">
        <v>0</v>
      </c>
      <c r="J155" s="54">
        <v>0</v>
      </c>
      <c r="K155" s="54">
        <v>0</v>
      </c>
      <c r="L155" s="54">
        <v>0</v>
      </c>
      <c r="M155" s="55">
        <v>2.5</v>
      </c>
      <c r="N155" s="56">
        <v>0</v>
      </c>
      <c r="O155" s="77" t="s">
        <v>190</v>
      </c>
      <c r="P155" s="77" t="s">
        <v>513</v>
      </c>
    </row>
    <row r="156" spans="1:16" ht="17">
      <c r="A156" s="29" t="s">
        <v>86</v>
      </c>
      <c r="B156" s="54">
        <v>2.5</v>
      </c>
      <c r="C156" s="78">
        <v>0</v>
      </c>
      <c r="D156" s="78">
        <v>0</v>
      </c>
      <c r="E156" s="78">
        <v>0</v>
      </c>
      <c r="F156" s="78">
        <v>0</v>
      </c>
      <c r="G156" s="55">
        <v>2.5</v>
      </c>
      <c r="H156" s="54">
        <v>2.5</v>
      </c>
      <c r="I156" s="54">
        <v>0</v>
      </c>
      <c r="J156" s="54">
        <v>0</v>
      </c>
      <c r="K156" s="54">
        <v>0</v>
      </c>
      <c r="L156" s="54">
        <v>0</v>
      </c>
      <c r="M156" s="55">
        <v>2.5</v>
      </c>
      <c r="N156" s="56">
        <v>0</v>
      </c>
      <c r="O156" s="108" t="s">
        <v>191</v>
      </c>
      <c r="P156" s="77" t="s">
        <v>513</v>
      </c>
    </row>
    <row r="157" spans="1:16" ht="34">
      <c r="A157" s="28" t="s">
        <v>87</v>
      </c>
      <c r="B157" s="54">
        <v>2.2999999999999998</v>
      </c>
      <c r="C157" s="78">
        <v>0</v>
      </c>
      <c r="D157" s="78">
        <v>0</v>
      </c>
      <c r="E157" s="78">
        <v>0</v>
      </c>
      <c r="F157" s="78">
        <v>0</v>
      </c>
      <c r="G157" s="55">
        <v>2.2999999999999998</v>
      </c>
      <c r="H157" s="54">
        <v>1.8</v>
      </c>
      <c r="I157" s="54">
        <v>0</v>
      </c>
      <c r="J157" s="54">
        <v>0</v>
      </c>
      <c r="K157" s="54">
        <v>0</v>
      </c>
      <c r="L157" s="54">
        <v>0</v>
      </c>
      <c r="M157" s="55">
        <v>1.8</v>
      </c>
      <c r="N157" s="56">
        <v>-0.217391304347826</v>
      </c>
      <c r="O157" s="77" t="s">
        <v>192</v>
      </c>
      <c r="P157" s="77" t="s">
        <v>1818</v>
      </c>
    </row>
    <row r="158" spans="1:16" ht="34">
      <c r="A158" s="28" t="s">
        <v>88</v>
      </c>
      <c r="B158" s="54">
        <v>14.865</v>
      </c>
      <c r="C158" s="109">
        <v>0</v>
      </c>
      <c r="D158" s="109">
        <v>0</v>
      </c>
      <c r="E158" s="109">
        <v>0</v>
      </c>
      <c r="F158" s="109">
        <v>0</v>
      </c>
      <c r="G158" s="55">
        <v>14.865</v>
      </c>
      <c r="H158" s="54">
        <v>12.177</v>
      </c>
      <c r="I158" s="54">
        <v>0</v>
      </c>
      <c r="J158" s="54">
        <v>0</v>
      </c>
      <c r="K158" s="54">
        <v>0</v>
      </c>
      <c r="L158" s="54">
        <v>0</v>
      </c>
      <c r="M158" s="55">
        <v>12.177</v>
      </c>
      <c r="N158" s="56">
        <v>-0.18082744702320891</v>
      </c>
      <c r="O158" s="77" t="s">
        <v>193</v>
      </c>
      <c r="P158" s="77" t="s">
        <v>1818</v>
      </c>
    </row>
    <row r="159" spans="1:16" ht="34">
      <c r="A159" s="10" t="s">
        <v>89</v>
      </c>
      <c r="B159" s="54">
        <v>31.224</v>
      </c>
      <c r="C159" s="54">
        <v>0</v>
      </c>
      <c r="D159" s="54">
        <v>0</v>
      </c>
      <c r="E159" s="54">
        <v>0</v>
      </c>
      <c r="F159" s="54">
        <v>0</v>
      </c>
      <c r="G159" s="55">
        <v>31.224</v>
      </c>
      <c r="H159" s="54">
        <v>30.173999999999999</v>
      </c>
      <c r="I159" s="54">
        <v>0</v>
      </c>
      <c r="J159" s="54">
        <v>0</v>
      </c>
      <c r="K159" s="54">
        <v>0</v>
      </c>
      <c r="L159" s="54">
        <v>0</v>
      </c>
      <c r="M159" s="55">
        <v>30.173999999999999</v>
      </c>
      <c r="N159" s="56">
        <v>-3.3627978478093797E-2</v>
      </c>
      <c r="O159" s="77" t="s">
        <v>194</v>
      </c>
      <c r="P159" s="77" t="s">
        <v>1821</v>
      </c>
    </row>
    <row r="160" spans="1:16" ht="34">
      <c r="A160" s="13" t="s">
        <v>90</v>
      </c>
      <c r="B160" s="54">
        <v>-105.41</v>
      </c>
      <c r="C160" s="76">
        <v>0</v>
      </c>
      <c r="D160" s="76">
        <v>0</v>
      </c>
      <c r="E160" s="76">
        <v>0</v>
      </c>
      <c r="F160" s="76">
        <v>0</v>
      </c>
      <c r="G160" s="55">
        <v>-105.41</v>
      </c>
      <c r="H160" s="54">
        <v>118.471</v>
      </c>
      <c r="I160" s="54">
        <v>29</v>
      </c>
      <c r="J160" s="54">
        <v>0</v>
      </c>
      <c r="K160" s="54">
        <v>0</v>
      </c>
      <c r="L160" s="54">
        <v>0</v>
      </c>
      <c r="M160" s="55">
        <v>147.471</v>
      </c>
      <c r="N160" s="56">
        <v>-2.3990228631059671</v>
      </c>
      <c r="O160" s="77" t="s">
        <v>1779</v>
      </c>
      <c r="P160" s="77" t="s">
        <v>1822</v>
      </c>
    </row>
    <row r="161" spans="1:16" ht="17">
      <c r="A161" s="8" t="s">
        <v>2</v>
      </c>
      <c r="B161" s="55">
        <v>9.5210000000000008</v>
      </c>
      <c r="C161" s="59">
        <v>0</v>
      </c>
      <c r="D161" s="59">
        <v>0</v>
      </c>
      <c r="E161" s="59">
        <v>0</v>
      </c>
      <c r="F161" s="59">
        <v>0</v>
      </c>
      <c r="G161" s="59">
        <v>9.5210000000000008</v>
      </c>
      <c r="H161" s="59">
        <v>223.07300000000001</v>
      </c>
      <c r="I161" s="59">
        <v>29</v>
      </c>
      <c r="J161" s="59">
        <v>0</v>
      </c>
      <c r="K161" s="59">
        <v>0</v>
      </c>
      <c r="L161" s="59">
        <v>0</v>
      </c>
      <c r="M161" s="59">
        <v>252.07300000000001</v>
      </c>
      <c r="N161" s="60">
        <v>25.475475265203237</v>
      </c>
      <c r="O161" s="110"/>
      <c r="P161" s="110"/>
    </row>
    <row r="162" spans="1:16" ht="16">
      <c r="A162" s="5"/>
      <c r="B162" s="63"/>
      <c r="C162" s="63"/>
      <c r="D162" s="63"/>
      <c r="E162" s="63"/>
      <c r="F162" s="63"/>
      <c r="G162" s="64"/>
      <c r="H162" s="64"/>
      <c r="I162" s="64"/>
      <c r="J162" s="64"/>
      <c r="K162" s="64"/>
      <c r="L162" s="64"/>
      <c r="M162" s="64"/>
      <c r="N162" s="65"/>
      <c r="O162" s="49"/>
      <c r="P162" s="50"/>
    </row>
    <row r="163" spans="1:16" ht="16">
      <c r="A163" s="21"/>
      <c r="B163" s="86"/>
      <c r="C163" s="87"/>
      <c r="D163" s="87"/>
      <c r="E163" s="87"/>
      <c r="F163" s="87"/>
      <c r="G163" s="87"/>
      <c r="H163" s="87"/>
      <c r="I163" s="87"/>
      <c r="J163" s="87"/>
      <c r="K163" s="87"/>
      <c r="L163" s="87"/>
      <c r="M163" s="87"/>
      <c r="N163" s="88"/>
      <c r="O163" s="111"/>
      <c r="P163" s="112"/>
    </row>
    <row r="164" spans="1:16" ht="34">
      <c r="A164" s="6" t="s">
        <v>91</v>
      </c>
      <c r="B164" s="69"/>
      <c r="C164" s="69"/>
      <c r="D164" s="69"/>
      <c r="E164" s="69"/>
      <c r="F164" s="69"/>
      <c r="G164" s="69"/>
      <c r="H164" s="69"/>
      <c r="I164" s="69"/>
      <c r="J164" s="69"/>
      <c r="K164" s="69"/>
      <c r="L164" s="69"/>
      <c r="M164" s="69"/>
      <c r="N164" s="70"/>
      <c r="O164" s="53"/>
      <c r="P164" s="53"/>
    </row>
    <row r="165" spans="1:16" ht="17">
      <c r="A165" s="30" t="s">
        <v>91</v>
      </c>
      <c r="B165" s="54">
        <v>75</v>
      </c>
      <c r="C165" s="113">
        <v>0</v>
      </c>
      <c r="D165" s="113">
        <v>0</v>
      </c>
      <c r="E165" s="113">
        <v>0</v>
      </c>
      <c r="F165" s="113">
        <v>0</v>
      </c>
      <c r="G165" s="55">
        <v>75</v>
      </c>
      <c r="H165" s="54">
        <v>75</v>
      </c>
      <c r="I165" s="54">
        <v>0</v>
      </c>
      <c r="J165" s="54">
        <v>0</v>
      </c>
      <c r="K165" s="54">
        <v>0</v>
      </c>
      <c r="L165" s="54">
        <v>0</v>
      </c>
      <c r="M165" s="55">
        <v>75</v>
      </c>
      <c r="N165" s="56">
        <v>0</v>
      </c>
      <c r="O165" s="71" t="s">
        <v>195</v>
      </c>
      <c r="P165" s="71" t="s">
        <v>1823</v>
      </c>
    </row>
    <row r="166" spans="1:16" ht="17">
      <c r="A166" s="8" t="s">
        <v>2</v>
      </c>
      <c r="B166" s="55">
        <v>75</v>
      </c>
      <c r="C166" s="59">
        <v>0</v>
      </c>
      <c r="D166" s="59">
        <v>0</v>
      </c>
      <c r="E166" s="59">
        <v>0</v>
      </c>
      <c r="F166" s="59">
        <v>0</v>
      </c>
      <c r="G166" s="59">
        <v>75</v>
      </c>
      <c r="H166" s="59">
        <v>75</v>
      </c>
      <c r="I166" s="59">
        <v>0</v>
      </c>
      <c r="J166" s="59">
        <v>0</v>
      </c>
      <c r="K166" s="59">
        <v>0</v>
      </c>
      <c r="L166" s="59">
        <v>0</v>
      </c>
      <c r="M166" s="59">
        <v>75</v>
      </c>
      <c r="N166" s="60">
        <v>0</v>
      </c>
      <c r="O166" s="61"/>
      <c r="P166" s="61"/>
    </row>
    <row r="167" spans="1:16" ht="17" thickBot="1">
      <c r="A167" s="21"/>
      <c r="B167" s="86"/>
      <c r="C167" s="87"/>
      <c r="D167" s="87"/>
      <c r="E167" s="87"/>
      <c r="F167" s="87"/>
      <c r="G167" s="87"/>
      <c r="H167" s="87"/>
      <c r="I167" s="87"/>
      <c r="J167" s="87"/>
      <c r="K167" s="87"/>
      <c r="L167" s="87"/>
      <c r="M167" s="87"/>
      <c r="N167" s="88"/>
      <c r="O167" s="114"/>
      <c r="P167" s="115"/>
    </row>
    <row r="168" spans="1:16" ht="17">
      <c r="A168" s="12" t="s">
        <v>92</v>
      </c>
      <c r="B168" s="74"/>
      <c r="C168" s="74"/>
      <c r="D168" s="74"/>
      <c r="E168" s="74"/>
      <c r="F168" s="74"/>
      <c r="G168" s="74"/>
      <c r="H168" s="74"/>
      <c r="I168" s="74"/>
      <c r="J168" s="74"/>
      <c r="K168" s="74"/>
      <c r="L168" s="74"/>
      <c r="M168" s="74"/>
      <c r="N168" s="75"/>
      <c r="O168" s="53"/>
      <c r="P168" s="53"/>
    </row>
    <row r="169" spans="1:16" ht="102">
      <c r="A169" s="31" t="s">
        <v>92</v>
      </c>
      <c r="B169" s="54">
        <v>0</v>
      </c>
      <c r="C169" s="54">
        <v>0</v>
      </c>
      <c r="D169" s="54">
        <v>0</v>
      </c>
      <c r="E169" s="54">
        <v>0</v>
      </c>
      <c r="F169" s="54">
        <v>100</v>
      </c>
      <c r="G169" s="55">
        <v>100</v>
      </c>
      <c r="H169" s="54">
        <v>0</v>
      </c>
      <c r="I169" s="54">
        <v>0</v>
      </c>
      <c r="J169" s="54">
        <v>0</v>
      </c>
      <c r="K169" s="54">
        <v>0</v>
      </c>
      <c r="L169" s="54">
        <v>100</v>
      </c>
      <c r="M169" s="55">
        <v>100</v>
      </c>
      <c r="N169" s="56">
        <v>0</v>
      </c>
      <c r="O169" s="71" t="s">
        <v>196</v>
      </c>
      <c r="P169" s="71" t="s">
        <v>513</v>
      </c>
    </row>
    <row r="170" spans="1:16" ht="17">
      <c r="A170" s="8" t="s">
        <v>2</v>
      </c>
      <c r="B170" s="55">
        <v>0</v>
      </c>
      <c r="C170" s="59">
        <v>0</v>
      </c>
      <c r="D170" s="59">
        <v>0</v>
      </c>
      <c r="E170" s="59">
        <v>0</v>
      </c>
      <c r="F170" s="59">
        <v>100</v>
      </c>
      <c r="G170" s="59">
        <v>100</v>
      </c>
      <c r="H170" s="59">
        <v>0</v>
      </c>
      <c r="I170" s="59">
        <v>0</v>
      </c>
      <c r="J170" s="59">
        <v>0</v>
      </c>
      <c r="K170" s="59">
        <v>0</v>
      </c>
      <c r="L170" s="59">
        <v>100</v>
      </c>
      <c r="M170" s="59">
        <v>100</v>
      </c>
      <c r="N170" s="60">
        <v>0</v>
      </c>
      <c r="O170" s="61"/>
      <c r="P170" s="61"/>
    </row>
    <row r="171" spans="1:16" ht="16">
      <c r="A171" s="5"/>
      <c r="B171" s="63"/>
      <c r="C171" s="63"/>
      <c r="D171" s="63"/>
      <c r="E171" s="63"/>
      <c r="F171" s="63"/>
      <c r="G171" s="64"/>
      <c r="H171" s="64"/>
      <c r="I171" s="64"/>
      <c r="J171" s="64"/>
      <c r="K171" s="64"/>
      <c r="L171" s="64"/>
      <c r="M171" s="64"/>
      <c r="N171" s="65"/>
      <c r="O171" s="49"/>
      <c r="P171" s="50"/>
    </row>
    <row r="172" spans="1:16" ht="16">
      <c r="A172" s="14"/>
      <c r="B172" s="67"/>
      <c r="C172" s="67"/>
      <c r="D172" s="67"/>
      <c r="E172" s="67"/>
      <c r="F172" s="67"/>
      <c r="G172" s="67"/>
      <c r="H172" s="67"/>
      <c r="I172" s="67"/>
      <c r="J172" s="67"/>
      <c r="K172" s="67"/>
      <c r="L172" s="67"/>
      <c r="M172" s="67"/>
      <c r="N172" s="68"/>
      <c r="O172" s="9"/>
      <c r="P172" s="9"/>
    </row>
    <row r="173" spans="1:16" ht="17">
      <c r="A173" s="6" t="s">
        <v>93</v>
      </c>
      <c r="B173" s="69"/>
      <c r="C173" s="69"/>
      <c r="D173" s="69"/>
      <c r="E173" s="69"/>
      <c r="F173" s="69"/>
      <c r="G173" s="69"/>
      <c r="H173" s="69"/>
      <c r="I173" s="69"/>
      <c r="J173" s="69"/>
      <c r="K173" s="69"/>
      <c r="L173" s="69"/>
      <c r="M173" s="69"/>
      <c r="N173" s="70"/>
      <c r="O173" s="53"/>
      <c r="P173" s="53"/>
    </row>
    <row r="174" spans="1:16" ht="34">
      <c r="A174" s="32" t="s">
        <v>94</v>
      </c>
      <c r="B174" s="54">
        <v>0</v>
      </c>
      <c r="C174" s="54">
        <v>0</v>
      </c>
      <c r="D174" s="54">
        <v>0</v>
      </c>
      <c r="E174" s="54">
        <v>10</v>
      </c>
      <c r="F174" s="54">
        <v>0</v>
      </c>
      <c r="G174" s="55">
        <v>10</v>
      </c>
      <c r="H174" s="54">
        <v>0</v>
      </c>
      <c r="I174" s="54">
        <v>0</v>
      </c>
      <c r="J174" s="54">
        <v>0</v>
      </c>
      <c r="K174" s="54">
        <v>5</v>
      </c>
      <c r="L174" s="54">
        <v>0</v>
      </c>
      <c r="M174" s="55">
        <v>5</v>
      </c>
      <c r="N174" s="56">
        <v>-0.5</v>
      </c>
      <c r="O174" s="71" t="s">
        <v>197</v>
      </c>
      <c r="P174" s="71" t="s">
        <v>1824</v>
      </c>
    </row>
    <row r="175" spans="1:16" ht="17">
      <c r="A175" s="8" t="s">
        <v>2</v>
      </c>
      <c r="B175" s="55">
        <v>0</v>
      </c>
      <c r="C175" s="55">
        <v>0</v>
      </c>
      <c r="D175" s="55">
        <v>0</v>
      </c>
      <c r="E175" s="55">
        <v>10</v>
      </c>
      <c r="F175" s="55">
        <v>0</v>
      </c>
      <c r="G175" s="55">
        <v>10</v>
      </c>
      <c r="H175" s="55">
        <v>0</v>
      </c>
      <c r="I175" s="55">
        <v>0</v>
      </c>
      <c r="J175" s="55">
        <v>0</v>
      </c>
      <c r="K175" s="55">
        <v>5</v>
      </c>
      <c r="L175" s="55">
        <v>0</v>
      </c>
      <c r="M175" s="55">
        <v>5</v>
      </c>
      <c r="N175" s="60">
        <v>-0.5</v>
      </c>
      <c r="O175" s="61"/>
      <c r="P175" s="61"/>
    </row>
    <row r="176" spans="1:16" ht="16">
      <c r="A176" s="33"/>
      <c r="B176" s="116"/>
      <c r="C176" s="117"/>
      <c r="D176" s="117"/>
      <c r="E176" s="117"/>
      <c r="F176" s="117"/>
      <c r="G176" s="117"/>
      <c r="H176" s="117"/>
      <c r="I176" s="117"/>
      <c r="J176" s="117"/>
      <c r="K176" s="117"/>
      <c r="L176" s="117"/>
      <c r="M176" s="117"/>
      <c r="N176" s="118"/>
      <c r="O176" s="119"/>
      <c r="P176" s="120"/>
    </row>
    <row r="177" spans="1:16" ht="16">
      <c r="A177" s="14"/>
      <c r="B177" s="67"/>
      <c r="C177" s="67"/>
      <c r="D177" s="67"/>
      <c r="E177" s="67"/>
      <c r="F177" s="67"/>
      <c r="G177" s="67"/>
      <c r="H177" s="67"/>
      <c r="I177" s="67"/>
      <c r="J177" s="67"/>
      <c r="K177" s="67"/>
      <c r="L177" s="67"/>
      <c r="M177" s="67"/>
      <c r="N177" s="68"/>
      <c r="O177" s="9"/>
      <c r="P177" s="9"/>
    </row>
    <row r="178" spans="1:16" ht="17">
      <c r="A178" s="6" t="s">
        <v>95</v>
      </c>
      <c r="B178" s="69"/>
      <c r="C178" s="69"/>
      <c r="D178" s="69"/>
      <c r="E178" s="69"/>
      <c r="F178" s="69"/>
      <c r="G178" s="69"/>
      <c r="H178" s="69"/>
      <c r="I178" s="69"/>
      <c r="J178" s="69"/>
      <c r="K178" s="69"/>
      <c r="L178" s="69"/>
      <c r="M178" s="69"/>
      <c r="N178" s="70"/>
      <c r="O178" s="53"/>
      <c r="P178" s="53"/>
    </row>
    <row r="179" spans="1:16" ht="17">
      <c r="A179" s="10" t="s">
        <v>96</v>
      </c>
      <c r="B179" s="54">
        <v>0</v>
      </c>
      <c r="C179" s="54">
        <v>0</v>
      </c>
      <c r="D179" s="54">
        <v>-20</v>
      </c>
      <c r="E179" s="54">
        <v>0</v>
      </c>
      <c r="F179" s="54">
        <v>0</v>
      </c>
      <c r="G179" s="55">
        <v>-20</v>
      </c>
      <c r="H179" s="54">
        <v>0</v>
      </c>
      <c r="I179" s="54">
        <v>0</v>
      </c>
      <c r="J179" s="54">
        <v>-20</v>
      </c>
      <c r="K179" s="54">
        <v>0</v>
      </c>
      <c r="L179" s="54">
        <v>0</v>
      </c>
      <c r="M179" s="55">
        <v>-20</v>
      </c>
      <c r="N179" s="56">
        <v>0</v>
      </c>
      <c r="O179" s="71" t="s">
        <v>198</v>
      </c>
      <c r="P179" s="71" t="s">
        <v>513</v>
      </c>
    </row>
    <row r="180" spans="1:16" ht="17">
      <c r="A180" s="8" t="s">
        <v>2</v>
      </c>
      <c r="B180" s="55">
        <v>0</v>
      </c>
      <c r="C180" s="59">
        <v>0</v>
      </c>
      <c r="D180" s="59">
        <v>-20</v>
      </c>
      <c r="E180" s="59">
        <v>0</v>
      </c>
      <c r="F180" s="59">
        <v>0</v>
      </c>
      <c r="G180" s="59">
        <v>-20</v>
      </c>
      <c r="H180" s="59">
        <v>0</v>
      </c>
      <c r="I180" s="59">
        <v>0</v>
      </c>
      <c r="J180" s="59">
        <v>-20</v>
      </c>
      <c r="K180" s="59">
        <v>0</v>
      </c>
      <c r="L180" s="59">
        <v>0</v>
      </c>
      <c r="M180" s="59">
        <v>-20</v>
      </c>
      <c r="N180" s="60">
        <v>0</v>
      </c>
      <c r="O180" s="61"/>
      <c r="P180" s="61"/>
    </row>
    <row r="181" spans="1:16" ht="16">
      <c r="A181" s="21"/>
      <c r="B181" s="86"/>
      <c r="C181" s="87"/>
      <c r="D181" s="87"/>
      <c r="E181" s="87"/>
      <c r="F181" s="87"/>
      <c r="G181" s="87"/>
      <c r="H181" s="87"/>
      <c r="I181" s="87"/>
      <c r="J181" s="87"/>
      <c r="K181" s="87"/>
      <c r="L181" s="87"/>
      <c r="M181" s="87"/>
      <c r="N181" s="88"/>
      <c r="O181" s="114"/>
      <c r="P181" s="115"/>
    </row>
    <row r="182" spans="1:16" ht="16">
      <c r="A182" s="5"/>
      <c r="B182" s="63"/>
      <c r="C182" s="63"/>
      <c r="D182" s="63"/>
      <c r="E182" s="63"/>
      <c r="F182" s="63"/>
      <c r="G182" s="64"/>
      <c r="H182" s="64"/>
      <c r="I182" s="64"/>
      <c r="J182" s="64"/>
      <c r="K182" s="64"/>
      <c r="L182" s="64"/>
      <c r="M182" s="64"/>
      <c r="N182" s="65"/>
      <c r="O182" s="49"/>
      <c r="P182" s="50"/>
    </row>
    <row r="183" spans="1:16" ht="17">
      <c r="A183" s="34" t="s">
        <v>97</v>
      </c>
      <c r="B183" s="121">
        <v>17084.29</v>
      </c>
      <c r="C183" s="121">
        <v>272.25</v>
      </c>
      <c r="D183" s="121">
        <v>554</v>
      </c>
      <c r="E183" s="121">
        <v>10</v>
      </c>
      <c r="F183" s="121">
        <v>100</v>
      </c>
      <c r="G183" s="121">
        <v>18020.54</v>
      </c>
      <c r="H183" s="121">
        <v>18153.915000000001</v>
      </c>
      <c r="I183" s="121">
        <v>301.25</v>
      </c>
      <c r="J183" s="121">
        <v>578</v>
      </c>
      <c r="K183" s="121">
        <v>5</v>
      </c>
      <c r="L183" s="121">
        <v>100</v>
      </c>
      <c r="M183" s="121">
        <v>19138.165000000001</v>
      </c>
      <c r="N183" s="122">
        <v>6.2019506629657044E-2</v>
      </c>
      <c r="O183" s="123"/>
      <c r="P183" s="124"/>
    </row>
    <row r="184" spans="1:16" ht="16">
      <c r="A184" s="5"/>
      <c r="B184" s="63"/>
      <c r="C184" s="63"/>
      <c r="D184" s="63"/>
      <c r="E184" s="63"/>
      <c r="F184" s="63"/>
      <c r="G184" s="64"/>
      <c r="H184" s="64"/>
      <c r="I184" s="64"/>
      <c r="J184" s="64"/>
      <c r="K184" s="64"/>
      <c r="L184" s="64"/>
      <c r="M184" s="64"/>
      <c r="N184" s="65"/>
      <c r="O184" s="49"/>
      <c r="P184" s="50"/>
    </row>
    <row r="185" spans="1:16" ht="17">
      <c r="A185" s="6" t="s">
        <v>98</v>
      </c>
      <c r="B185" s="69"/>
      <c r="C185" s="69"/>
      <c r="D185" s="69"/>
      <c r="E185" s="69"/>
      <c r="F185" s="69"/>
      <c r="G185" s="69"/>
      <c r="H185" s="69"/>
      <c r="I185" s="69"/>
      <c r="J185" s="69"/>
      <c r="K185" s="69"/>
      <c r="L185" s="69"/>
      <c r="M185" s="69"/>
      <c r="N185" s="70"/>
      <c r="O185" s="53"/>
      <c r="P185" s="53"/>
    </row>
    <row r="186" spans="1:16" ht="34">
      <c r="A186" s="35" t="s">
        <v>2</v>
      </c>
      <c r="B186" s="125">
        <v>22.45</v>
      </c>
      <c r="C186" s="125">
        <v>0.2</v>
      </c>
      <c r="D186" s="125">
        <v>0</v>
      </c>
      <c r="E186" s="125">
        <v>0</v>
      </c>
      <c r="F186" s="125">
        <v>0.35</v>
      </c>
      <c r="G186" s="55">
        <v>23</v>
      </c>
      <c r="H186" s="54">
        <v>22.45</v>
      </c>
      <c r="I186" s="54">
        <v>0.2</v>
      </c>
      <c r="J186" s="54">
        <v>0</v>
      </c>
      <c r="K186" s="54">
        <v>0</v>
      </c>
      <c r="L186" s="54">
        <v>0.35</v>
      </c>
      <c r="M186" s="55">
        <v>23</v>
      </c>
      <c r="N186" s="56">
        <v>0</v>
      </c>
      <c r="O186" s="126" t="s">
        <v>199</v>
      </c>
      <c r="P186" s="71" t="s">
        <v>1823</v>
      </c>
    </row>
    <row r="187" spans="1:16" ht="16">
      <c r="A187" s="36"/>
      <c r="B187" s="127"/>
      <c r="C187" s="127"/>
      <c r="D187" s="127"/>
      <c r="E187" s="127"/>
      <c r="F187" s="127"/>
      <c r="G187" s="128"/>
      <c r="H187" s="128"/>
      <c r="I187" s="128"/>
      <c r="J187" s="128"/>
      <c r="K187" s="128"/>
      <c r="L187" s="128"/>
      <c r="M187" s="128"/>
      <c r="N187" s="129"/>
      <c r="O187" s="130"/>
      <c r="P187" s="131"/>
    </row>
    <row r="188" spans="1:16" ht="17">
      <c r="A188" s="34" t="s">
        <v>99</v>
      </c>
      <c r="B188" s="121">
        <v>17106.740000000002</v>
      </c>
      <c r="C188" s="121">
        <v>272.45</v>
      </c>
      <c r="D188" s="121">
        <v>554</v>
      </c>
      <c r="E188" s="121">
        <v>10</v>
      </c>
      <c r="F188" s="121">
        <v>100.35</v>
      </c>
      <c r="G188" s="121">
        <v>18043.54</v>
      </c>
      <c r="H188" s="121">
        <f>H183+H186</f>
        <v>18176.365000000002</v>
      </c>
      <c r="I188" s="121">
        <f t="shared" ref="I188:K188" si="1">I183+I186</f>
        <v>301.45</v>
      </c>
      <c r="J188" s="121">
        <f t="shared" si="1"/>
        <v>578</v>
      </c>
      <c r="K188" s="121">
        <f t="shared" si="1"/>
        <v>5</v>
      </c>
      <c r="L188" s="121">
        <f>L183+L186</f>
        <v>100.35</v>
      </c>
      <c r="M188" s="121">
        <v>19161.165000000001</v>
      </c>
      <c r="N188" s="122">
        <v>6.1940450709783108E-2</v>
      </c>
      <c r="O188" s="130"/>
      <c r="P188" s="131"/>
    </row>
    <row r="189" spans="1:16" ht="16">
      <c r="A189"/>
      <c r="O189" s="130"/>
      <c r="P189" s="131"/>
    </row>
    <row r="190" spans="1:16" ht="16">
      <c r="A190"/>
      <c r="O190" s="130"/>
      <c r="P190" s="131"/>
    </row>
    <row r="191" spans="1:16" ht="16">
      <c r="A191"/>
      <c r="O191" s="130"/>
      <c r="P191" s="1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131"/>
  <sheetViews>
    <sheetView showGridLines="0" topLeftCell="A34" zoomScale="60" zoomScaleNormal="60" workbookViewId="0">
      <selection activeCell="N52" sqref="N52"/>
    </sheetView>
  </sheetViews>
  <sheetFormatPr baseColWidth="10" defaultColWidth="8.83203125" defaultRowHeight="15" outlineLevelCol="2"/>
  <cols>
    <col min="1" max="1" width="40.6640625" style="2" customWidth="1"/>
    <col min="2" max="13" width="17.6640625" customWidth="1" outlineLevel="2"/>
    <col min="14" max="14" width="17.6640625" style="173" customWidth="1" outlineLevel="2"/>
    <col min="15" max="16" width="75.6640625" customWidth="1" outlineLevel="2"/>
  </cols>
  <sheetData>
    <row r="2" spans="1:16" ht="21">
      <c r="A2" s="132"/>
      <c r="B2" s="174"/>
      <c r="C2" s="174"/>
      <c r="D2" s="174"/>
      <c r="E2" s="174"/>
      <c r="F2" s="174"/>
      <c r="G2" s="174"/>
      <c r="H2" s="174"/>
      <c r="I2" s="174"/>
      <c r="J2" s="174"/>
      <c r="K2" s="174"/>
      <c r="L2" s="174"/>
      <c r="M2" s="174"/>
      <c r="N2" s="175"/>
      <c r="O2" s="176"/>
      <c r="P2" s="176"/>
    </row>
    <row r="3" spans="1:16" ht="136">
      <c r="A3" s="4" t="s">
        <v>200</v>
      </c>
      <c r="B3" s="42" t="s">
        <v>100</v>
      </c>
      <c r="C3" s="42" t="s">
        <v>101</v>
      </c>
      <c r="D3" s="42" t="s">
        <v>102</v>
      </c>
      <c r="E3" s="42" t="s">
        <v>103</v>
      </c>
      <c r="F3" s="42" t="s">
        <v>104</v>
      </c>
      <c r="G3" s="42" t="s">
        <v>105</v>
      </c>
      <c r="H3" s="42" t="s">
        <v>106</v>
      </c>
      <c r="I3" s="42" t="s">
        <v>107</v>
      </c>
      <c r="J3" s="42" t="s">
        <v>108</v>
      </c>
      <c r="K3" s="42" t="s">
        <v>109</v>
      </c>
      <c r="L3" s="42" t="s">
        <v>110</v>
      </c>
      <c r="M3" s="42" t="s">
        <v>111</v>
      </c>
      <c r="N3" s="177" t="s">
        <v>112</v>
      </c>
      <c r="O3" s="44" t="s">
        <v>113</v>
      </c>
      <c r="P3" s="178" t="s">
        <v>114</v>
      </c>
    </row>
    <row r="4" spans="1:16" ht="22" thickBot="1">
      <c r="A4" s="133"/>
      <c r="B4" s="179"/>
      <c r="C4" s="179"/>
      <c r="D4" s="179"/>
      <c r="E4" s="179"/>
      <c r="F4" s="179"/>
      <c r="G4" s="179"/>
      <c r="H4" s="179"/>
      <c r="I4" s="179"/>
      <c r="J4" s="179"/>
      <c r="K4" s="179"/>
      <c r="L4" s="179"/>
      <c r="M4" s="179"/>
      <c r="N4" s="180"/>
      <c r="O4" s="181"/>
      <c r="P4" s="181"/>
    </row>
    <row r="5" spans="1:16" ht="16">
      <c r="A5" s="134"/>
      <c r="B5" s="182"/>
      <c r="C5" s="182"/>
      <c r="D5" s="182"/>
      <c r="E5" s="182"/>
      <c r="F5" s="182"/>
      <c r="G5" s="182"/>
      <c r="H5" s="182"/>
      <c r="I5" s="182"/>
      <c r="J5" s="182"/>
      <c r="K5" s="182"/>
      <c r="L5" s="182"/>
      <c r="M5" s="182"/>
      <c r="N5" s="183"/>
      <c r="O5" s="184"/>
      <c r="P5" s="184"/>
    </row>
    <row r="6" spans="1:16" ht="17">
      <c r="A6" s="135" t="s">
        <v>201</v>
      </c>
      <c r="B6" s="185"/>
      <c r="C6" s="185"/>
      <c r="D6" s="185"/>
      <c r="E6" s="185"/>
      <c r="F6" s="185"/>
      <c r="G6" s="185"/>
      <c r="H6" s="185"/>
      <c r="I6" s="185"/>
      <c r="J6" s="185"/>
      <c r="K6" s="185"/>
      <c r="L6" s="185"/>
      <c r="M6" s="185"/>
      <c r="N6" s="186"/>
      <c r="O6" s="187"/>
      <c r="P6" s="187"/>
    </row>
    <row r="7" spans="1:16" ht="68">
      <c r="A7" s="136" t="s">
        <v>202</v>
      </c>
      <c r="B7" s="188">
        <v>43.843000000000004</v>
      </c>
      <c r="C7" s="188">
        <v>0</v>
      </c>
      <c r="D7" s="188">
        <v>0</v>
      </c>
      <c r="E7" s="188">
        <v>0</v>
      </c>
      <c r="F7" s="188">
        <v>0</v>
      </c>
      <c r="G7" s="189">
        <v>43.843000000000004</v>
      </c>
      <c r="H7" s="188">
        <v>0</v>
      </c>
      <c r="I7" s="188">
        <v>0</v>
      </c>
      <c r="J7" s="188">
        <v>0</v>
      </c>
      <c r="K7" s="188">
        <v>0</v>
      </c>
      <c r="L7" s="188">
        <v>0</v>
      </c>
      <c r="M7" s="189">
        <v>0</v>
      </c>
      <c r="N7" s="190">
        <v>-1</v>
      </c>
      <c r="O7" s="191" t="s">
        <v>287</v>
      </c>
      <c r="P7" s="192" t="s">
        <v>288</v>
      </c>
    </row>
    <row r="8" spans="1:16" ht="68">
      <c r="A8" s="137" t="s">
        <v>203</v>
      </c>
      <c r="B8" s="193">
        <v>5.181</v>
      </c>
      <c r="C8" s="193">
        <v>0</v>
      </c>
      <c r="D8" s="193">
        <v>0</v>
      </c>
      <c r="E8" s="193">
        <v>0</v>
      </c>
      <c r="F8" s="193">
        <v>0</v>
      </c>
      <c r="G8" s="194">
        <v>5.181</v>
      </c>
      <c r="H8" s="188">
        <v>5.29378812724</v>
      </c>
      <c r="I8" s="188">
        <v>0</v>
      </c>
      <c r="J8" s="188">
        <v>0</v>
      </c>
      <c r="K8" s="188">
        <v>0</v>
      </c>
      <c r="L8" s="188">
        <v>0</v>
      </c>
      <c r="M8" s="194">
        <v>5.29378812724</v>
      </c>
      <c r="N8" s="190">
        <v>2.1769567118316922E-2</v>
      </c>
      <c r="O8" s="191" t="s">
        <v>283</v>
      </c>
      <c r="P8" s="157" t="s">
        <v>289</v>
      </c>
    </row>
    <row r="9" spans="1:16" ht="85">
      <c r="A9" s="136" t="s">
        <v>204</v>
      </c>
      <c r="B9" s="188">
        <v>0</v>
      </c>
      <c r="C9" s="188">
        <v>0</v>
      </c>
      <c r="D9" s="188">
        <v>0</v>
      </c>
      <c r="E9" s="188">
        <v>0</v>
      </c>
      <c r="F9" s="188">
        <v>0</v>
      </c>
      <c r="G9" s="189">
        <v>0</v>
      </c>
      <c r="H9" s="188">
        <v>2.9695407992000002</v>
      </c>
      <c r="I9" s="188">
        <v>0</v>
      </c>
      <c r="J9" s="188">
        <v>0</v>
      </c>
      <c r="K9" s="188">
        <v>0</v>
      </c>
      <c r="L9" s="188">
        <v>0</v>
      </c>
      <c r="M9" s="189">
        <v>2.9695407992000002</v>
      </c>
      <c r="N9" s="190" t="s">
        <v>155</v>
      </c>
      <c r="O9" s="191" t="s">
        <v>284</v>
      </c>
      <c r="P9" s="192" t="s">
        <v>290</v>
      </c>
    </row>
    <row r="10" spans="1:16" ht="68">
      <c r="A10" s="136" t="s">
        <v>205</v>
      </c>
      <c r="B10" s="188">
        <v>0</v>
      </c>
      <c r="C10" s="188">
        <v>0</v>
      </c>
      <c r="D10" s="188">
        <v>0</v>
      </c>
      <c r="E10" s="188">
        <v>0</v>
      </c>
      <c r="F10" s="188">
        <v>0</v>
      </c>
      <c r="G10" s="189">
        <v>0</v>
      </c>
      <c r="H10" s="188">
        <v>39.055382805420003</v>
      </c>
      <c r="I10" s="188">
        <v>0</v>
      </c>
      <c r="J10" s="188">
        <v>0</v>
      </c>
      <c r="K10" s="188">
        <v>0</v>
      </c>
      <c r="L10" s="188">
        <v>0</v>
      </c>
      <c r="M10" s="189">
        <v>39.055382805420003</v>
      </c>
      <c r="N10" s="190" t="s">
        <v>155</v>
      </c>
      <c r="O10" s="191" t="s">
        <v>285</v>
      </c>
      <c r="P10" s="192" t="s">
        <v>291</v>
      </c>
    </row>
    <row r="11" spans="1:16" ht="34">
      <c r="A11" s="136" t="s">
        <v>206</v>
      </c>
      <c r="B11" s="188">
        <v>0</v>
      </c>
      <c r="C11" s="188">
        <v>0</v>
      </c>
      <c r="D11" s="188">
        <v>0</v>
      </c>
      <c r="E11" s="188">
        <v>0</v>
      </c>
      <c r="F11" s="188">
        <v>0</v>
      </c>
      <c r="G11" s="189">
        <v>0</v>
      </c>
      <c r="H11" s="188">
        <v>1.6049831030599999</v>
      </c>
      <c r="I11" s="188">
        <v>0</v>
      </c>
      <c r="J11" s="188">
        <v>0</v>
      </c>
      <c r="K11" s="188">
        <v>0</v>
      </c>
      <c r="L11" s="188">
        <v>0</v>
      </c>
      <c r="M11" s="189">
        <v>1.6049831030599999</v>
      </c>
      <c r="N11" s="190" t="s">
        <v>155</v>
      </c>
      <c r="O11" s="191" t="s">
        <v>286</v>
      </c>
      <c r="P11" s="192" t="s">
        <v>291</v>
      </c>
    </row>
    <row r="12" spans="1:16" ht="34">
      <c r="A12" s="138" t="s">
        <v>207</v>
      </c>
      <c r="B12" s="195">
        <v>49.024000000000001</v>
      </c>
      <c r="C12" s="195">
        <v>0</v>
      </c>
      <c r="D12" s="195">
        <v>0</v>
      </c>
      <c r="E12" s="195">
        <v>0</v>
      </c>
      <c r="F12" s="195">
        <v>0</v>
      </c>
      <c r="G12" s="195">
        <v>49.024000000000001</v>
      </c>
      <c r="H12" s="195">
        <v>48.923694834920006</v>
      </c>
      <c r="I12" s="195">
        <v>0</v>
      </c>
      <c r="J12" s="195">
        <v>0</v>
      </c>
      <c r="K12" s="195">
        <v>0</v>
      </c>
      <c r="L12" s="195">
        <v>0</v>
      </c>
      <c r="M12" s="195">
        <v>48.923694834920006</v>
      </c>
      <c r="N12" s="196">
        <v>-2.0460420422649039E-3</v>
      </c>
      <c r="O12" s="197"/>
      <c r="P12" s="198"/>
    </row>
    <row r="13" spans="1:16" ht="16">
      <c r="A13" s="139"/>
      <c r="B13" s="199"/>
      <c r="C13" s="199"/>
      <c r="D13" s="199"/>
      <c r="E13" s="199"/>
      <c r="F13" s="199"/>
      <c r="G13" s="199"/>
      <c r="H13" s="199"/>
      <c r="I13" s="199"/>
      <c r="J13" s="199"/>
      <c r="K13" s="199"/>
      <c r="L13" s="199"/>
      <c r="M13" s="199"/>
      <c r="N13" s="200"/>
      <c r="O13" s="201"/>
      <c r="P13" s="201"/>
    </row>
    <row r="14" spans="1:16" ht="17">
      <c r="A14" s="140" t="s">
        <v>208</v>
      </c>
      <c r="B14" s="202"/>
      <c r="C14" s="202"/>
      <c r="D14" s="202"/>
      <c r="E14" s="202"/>
      <c r="F14" s="202"/>
      <c r="G14" s="202"/>
      <c r="H14" s="202"/>
      <c r="I14" s="202"/>
      <c r="J14" s="202"/>
      <c r="K14" s="202"/>
      <c r="L14" s="202"/>
      <c r="M14" s="202"/>
      <c r="N14" s="203"/>
      <c r="O14" s="187"/>
      <c r="P14" s="187"/>
    </row>
    <row r="15" spans="1:16" ht="34">
      <c r="A15" s="141" t="s">
        <v>209</v>
      </c>
      <c r="B15" s="188">
        <v>5.4729999999999999</v>
      </c>
      <c r="C15" s="188">
        <v>0</v>
      </c>
      <c r="D15" s="188">
        <v>0</v>
      </c>
      <c r="E15" s="188">
        <v>0</v>
      </c>
      <c r="F15" s="188">
        <v>0</v>
      </c>
      <c r="G15" s="189">
        <v>5.4729999999999999</v>
      </c>
      <c r="H15" s="188">
        <v>5.4729999999999999</v>
      </c>
      <c r="I15" s="188">
        <v>0</v>
      </c>
      <c r="J15" s="188">
        <v>0</v>
      </c>
      <c r="K15" s="188">
        <v>0</v>
      </c>
      <c r="L15" s="188">
        <v>0</v>
      </c>
      <c r="M15" s="189">
        <v>5.4729999999999999</v>
      </c>
      <c r="N15" s="190">
        <v>0</v>
      </c>
      <c r="O15" s="58" t="s">
        <v>292</v>
      </c>
      <c r="P15" s="204" t="s">
        <v>293</v>
      </c>
    </row>
    <row r="16" spans="1:16" ht="68">
      <c r="A16" s="141" t="s">
        <v>210</v>
      </c>
      <c r="B16" s="188">
        <v>96.489000000000004</v>
      </c>
      <c r="C16" s="188">
        <v>40.762</v>
      </c>
      <c r="D16" s="188">
        <v>81.7</v>
      </c>
      <c r="E16" s="188">
        <v>0</v>
      </c>
      <c r="F16" s="188">
        <v>0</v>
      </c>
      <c r="G16" s="189">
        <v>218.95100000000002</v>
      </c>
      <c r="H16" s="188">
        <v>93.834000000000003</v>
      </c>
      <c r="I16" s="188">
        <v>61.15</v>
      </c>
      <c r="J16" s="188">
        <v>62.7</v>
      </c>
      <c r="K16" s="188">
        <v>0</v>
      </c>
      <c r="L16" s="188">
        <v>0</v>
      </c>
      <c r="M16" s="189">
        <v>217.68400000000003</v>
      </c>
      <c r="N16" s="190">
        <v>-5.7866828651159203E-3</v>
      </c>
      <c r="O16" s="205" t="s">
        <v>294</v>
      </c>
      <c r="P16" s="192" t="s">
        <v>295</v>
      </c>
    </row>
    <row r="17" spans="1:16" ht="51">
      <c r="A17" s="141" t="s">
        <v>211</v>
      </c>
      <c r="B17" s="188">
        <v>301.60000000000002</v>
      </c>
      <c r="C17" s="188">
        <v>9.3000000000000007</v>
      </c>
      <c r="D17" s="188">
        <v>0</v>
      </c>
      <c r="E17" s="188">
        <v>0</v>
      </c>
      <c r="F17" s="188">
        <v>0</v>
      </c>
      <c r="G17" s="189">
        <v>310.90000000000003</v>
      </c>
      <c r="H17" s="188">
        <v>292.5</v>
      </c>
      <c r="I17" s="188">
        <v>5.5129999999999999</v>
      </c>
      <c r="J17" s="188">
        <v>4.5</v>
      </c>
      <c r="K17" s="188">
        <v>0</v>
      </c>
      <c r="L17" s="188">
        <v>0</v>
      </c>
      <c r="M17" s="189">
        <v>302.51299999999998</v>
      </c>
      <c r="N17" s="190">
        <v>-2.6976519781280336E-2</v>
      </c>
      <c r="O17" s="205" t="s">
        <v>296</v>
      </c>
      <c r="P17" s="192" t="s">
        <v>297</v>
      </c>
    </row>
    <row r="18" spans="1:16" ht="17">
      <c r="A18" s="142" t="s">
        <v>212</v>
      </c>
      <c r="B18" s="195">
        <v>403.56200000000001</v>
      </c>
      <c r="C18" s="195">
        <v>50.061999999999998</v>
      </c>
      <c r="D18" s="195">
        <v>81.7</v>
      </c>
      <c r="E18" s="195">
        <v>0</v>
      </c>
      <c r="F18" s="195">
        <v>0</v>
      </c>
      <c r="G18" s="195">
        <v>535.32400000000007</v>
      </c>
      <c r="H18" s="195">
        <v>391.80700000000002</v>
      </c>
      <c r="I18" s="195">
        <v>66.662999999999997</v>
      </c>
      <c r="J18" s="195">
        <v>67.2</v>
      </c>
      <c r="K18" s="195">
        <v>0</v>
      </c>
      <c r="L18" s="195">
        <v>0</v>
      </c>
      <c r="M18" s="195">
        <v>525.67000000000007</v>
      </c>
      <c r="N18" s="196">
        <v>-1.8033938325201178E-2</v>
      </c>
      <c r="O18" s="206"/>
      <c r="P18" s="207"/>
    </row>
    <row r="19" spans="1:16" ht="16">
      <c r="A19" s="143"/>
      <c r="B19" s="208"/>
      <c r="C19" s="208"/>
      <c r="D19" s="208"/>
      <c r="E19" s="208"/>
      <c r="F19" s="208"/>
      <c r="G19" s="208"/>
      <c r="H19" s="208"/>
      <c r="I19" s="208"/>
      <c r="J19" s="208"/>
      <c r="K19" s="208"/>
      <c r="L19" s="208"/>
      <c r="M19" s="208"/>
      <c r="N19" s="209"/>
      <c r="O19" s="210"/>
      <c r="P19" s="210"/>
    </row>
    <row r="20" spans="1:16" ht="17">
      <c r="A20" s="144" t="s">
        <v>213</v>
      </c>
      <c r="B20" s="211"/>
      <c r="C20" s="211"/>
      <c r="D20" s="211"/>
      <c r="E20" s="211"/>
      <c r="F20" s="211"/>
      <c r="G20" s="211"/>
      <c r="H20" s="211"/>
      <c r="I20" s="211"/>
      <c r="J20" s="211"/>
      <c r="K20" s="211"/>
      <c r="L20" s="211"/>
      <c r="M20" s="211"/>
      <c r="N20" s="212"/>
      <c r="O20" s="187"/>
      <c r="P20" s="187"/>
    </row>
    <row r="21" spans="1:16" ht="68">
      <c r="A21" s="141" t="s">
        <v>214</v>
      </c>
      <c r="B21" s="188">
        <v>35.5</v>
      </c>
      <c r="C21" s="188">
        <v>0</v>
      </c>
      <c r="D21" s="188">
        <v>0</v>
      </c>
      <c r="E21" s="188">
        <v>0</v>
      </c>
      <c r="F21" s="188">
        <v>0</v>
      </c>
      <c r="G21" s="189">
        <v>35.5</v>
      </c>
      <c r="H21" s="188">
        <v>35.5</v>
      </c>
      <c r="I21" s="188">
        <v>0</v>
      </c>
      <c r="J21" s="188">
        <v>0</v>
      </c>
      <c r="K21" s="188">
        <v>0</v>
      </c>
      <c r="L21" s="188">
        <v>0</v>
      </c>
      <c r="M21" s="189">
        <v>35.5</v>
      </c>
      <c r="N21" s="190">
        <v>0</v>
      </c>
      <c r="O21" s="205" t="s">
        <v>298</v>
      </c>
      <c r="P21" s="192" t="s">
        <v>299</v>
      </c>
    </row>
    <row r="22" spans="1:16" ht="51">
      <c r="A22" s="141" t="s">
        <v>215</v>
      </c>
      <c r="B22" s="188">
        <v>314.89999999999998</v>
      </c>
      <c r="C22" s="188">
        <v>0</v>
      </c>
      <c r="D22" s="188">
        <v>0</v>
      </c>
      <c r="E22" s="188">
        <v>0</v>
      </c>
      <c r="F22" s="188">
        <v>0</v>
      </c>
      <c r="G22" s="189">
        <v>314.89999999999998</v>
      </c>
      <c r="H22" s="188">
        <v>371.8</v>
      </c>
      <c r="I22" s="188">
        <v>0</v>
      </c>
      <c r="J22" s="188">
        <v>0</v>
      </c>
      <c r="K22" s="188">
        <v>0</v>
      </c>
      <c r="L22" s="188">
        <v>0</v>
      </c>
      <c r="M22" s="189">
        <v>371.8</v>
      </c>
      <c r="N22" s="190">
        <v>0.18069228326452855</v>
      </c>
      <c r="O22" s="205" t="s">
        <v>300</v>
      </c>
      <c r="P22" s="192" t="s">
        <v>301</v>
      </c>
    </row>
    <row r="23" spans="1:16" ht="51">
      <c r="A23" s="141" t="s">
        <v>216</v>
      </c>
      <c r="B23" s="188">
        <v>41.8</v>
      </c>
      <c r="C23" s="188">
        <v>0</v>
      </c>
      <c r="D23" s="188">
        <v>0</v>
      </c>
      <c r="E23" s="188">
        <v>0</v>
      </c>
      <c r="F23" s="188">
        <v>0</v>
      </c>
      <c r="G23" s="189">
        <v>41.8</v>
      </c>
      <c r="H23" s="188">
        <v>50</v>
      </c>
      <c r="I23" s="188">
        <v>0</v>
      </c>
      <c r="J23" s="188">
        <v>0</v>
      </c>
      <c r="K23" s="188">
        <v>0</v>
      </c>
      <c r="L23" s="188">
        <v>0</v>
      </c>
      <c r="M23" s="189">
        <v>50</v>
      </c>
      <c r="N23" s="190">
        <v>0.19617224880382783</v>
      </c>
      <c r="O23" s="205" t="s">
        <v>302</v>
      </c>
      <c r="P23" s="192" t="s">
        <v>301</v>
      </c>
    </row>
    <row r="24" spans="1:16" ht="51">
      <c r="A24" s="141" t="s">
        <v>217</v>
      </c>
      <c r="B24" s="188">
        <v>1948.5</v>
      </c>
      <c r="C24" s="188">
        <v>0</v>
      </c>
      <c r="D24" s="188">
        <v>0</v>
      </c>
      <c r="E24" s="188">
        <v>0</v>
      </c>
      <c r="F24" s="188">
        <v>0</v>
      </c>
      <c r="G24" s="189">
        <v>1948.5</v>
      </c>
      <c r="H24" s="188">
        <v>2689.6</v>
      </c>
      <c r="I24" s="188">
        <v>0</v>
      </c>
      <c r="J24" s="188">
        <v>0</v>
      </c>
      <c r="K24" s="188">
        <v>0</v>
      </c>
      <c r="L24" s="188">
        <v>0</v>
      </c>
      <c r="M24" s="189">
        <v>2689.6</v>
      </c>
      <c r="N24" s="190">
        <v>0.38034385424685652</v>
      </c>
      <c r="O24" s="205" t="s">
        <v>303</v>
      </c>
      <c r="P24" s="192" t="s">
        <v>301</v>
      </c>
    </row>
    <row r="25" spans="1:16" ht="51">
      <c r="A25" s="141" t="s">
        <v>218</v>
      </c>
      <c r="B25" s="188">
        <v>544.6</v>
      </c>
      <c r="C25" s="188">
        <v>0</v>
      </c>
      <c r="D25" s="188">
        <v>0</v>
      </c>
      <c r="E25" s="188">
        <v>0</v>
      </c>
      <c r="F25" s="188">
        <v>0</v>
      </c>
      <c r="G25" s="189">
        <v>544.6</v>
      </c>
      <c r="H25" s="188">
        <v>614.1</v>
      </c>
      <c r="I25" s="188">
        <v>0</v>
      </c>
      <c r="J25" s="188">
        <v>0</v>
      </c>
      <c r="K25" s="188">
        <v>0</v>
      </c>
      <c r="L25" s="188">
        <v>0</v>
      </c>
      <c r="M25" s="189">
        <v>614.1</v>
      </c>
      <c r="N25" s="190">
        <v>0.12761659933896438</v>
      </c>
      <c r="O25" s="205" t="s">
        <v>304</v>
      </c>
      <c r="P25" s="192" t="s">
        <v>301</v>
      </c>
    </row>
    <row r="26" spans="1:16" ht="51">
      <c r="A26" s="141" t="s">
        <v>219</v>
      </c>
      <c r="B26" s="188">
        <v>444.6</v>
      </c>
      <c r="C26" s="188">
        <v>0</v>
      </c>
      <c r="D26" s="188">
        <v>0</v>
      </c>
      <c r="E26" s="188">
        <v>0</v>
      </c>
      <c r="F26" s="188">
        <v>0</v>
      </c>
      <c r="G26" s="189">
        <v>444.6</v>
      </c>
      <c r="H26" s="188">
        <v>437.6</v>
      </c>
      <c r="I26" s="188">
        <v>0</v>
      </c>
      <c r="J26" s="188">
        <v>0</v>
      </c>
      <c r="K26" s="188">
        <v>0</v>
      </c>
      <c r="L26" s="188">
        <v>0</v>
      </c>
      <c r="M26" s="189">
        <v>437.6</v>
      </c>
      <c r="N26" s="190">
        <v>-1.5744489428699954E-2</v>
      </c>
      <c r="O26" s="205" t="s">
        <v>305</v>
      </c>
      <c r="P26" s="192" t="s">
        <v>301</v>
      </c>
    </row>
    <row r="27" spans="1:16" ht="51">
      <c r="A27" s="141" t="s">
        <v>220</v>
      </c>
      <c r="B27" s="188">
        <v>265.2</v>
      </c>
      <c r="C27" s="188">
        <v>0</v>
      </c>
      <c r="D27" s="188">
        <v>0</v>
      </c>
      <c r="E27" s="188">
        <v>0</v>
      </c>
      <c r="F27" s="188">
        <v>0</v>
      </c>
      <c r="G27" s="189">
        <v>265.2</v>
      </c>
      <c r="H27" s="188">
        <v>327.60000000000002</v>
      </c>
      <c r="I27" s="188">
        <v>0</v>
      </c>
      <c r="J27" s="188">
        <v>0</v>
      </c>
      <c r="K27" s="188">
        <v>0</v>
      </c>
      <c r="L27" s="188">
        <v>0</v>
      </c>
      <c r="M27" s="189">
        <v>327.60000000000002</v>
      </c>
      <c r="N27" s="190">
        <v>0.23529411764705896</v>
      </c>
      <c r="O27" s="205" t="s">
        <v>306</v>
      </c>
      <c r="P27" s="192" t="s">
        <v>301</v>
      </c>
    </row>
    <row r="28" spans="1:16" ht="51">
      <c r="A28" s="141" t="s">
        <v>221</v>
      </c>
      <c r="B28" s="188">
        <v>80.5</v>
      </c>
      <c r="C28" s="188">
        <v>0</v>
      </c>
      <c r="D28" s="188">
        <v>0</v>
      </c>
      <c r="E28" s="188">
        <v>0</v>
      </c>
      <c r="F28" s="188">
        <v>0</v>
      </c>
      <c r="G28" s="189">
        <v>80.5</v>
      </c>
      <c r="H28" s="188">
        <v>84.4</v>
      </c>
      <c r="I28" s="188">
        <v>0</v>
      </c>
      <c r="J28" s="188">
        <v>0</v>
      </c>
      <c r="K28" s="188">
        <v>0</v>
      </c>
      <c r="L28" s="188">
        <v>0</v>
      </c>
      <c r="M28" s="189">
        <v>84.4</v>
      </c>
      <c r="N28" s="190">
        <v>4.8447204968944169E-2</v>
      </c>
      <c r="O28" s="205" t="s">
        <v>307</v>
      </c>
      <c r="P28" s="192" t="s">
        <v>301</v>
      </c>
    </row>
    <row r="29" spans="1:16" ht="51">
      <c r="A29" s="141" t="s">
        <v>222</v>
      </c>
      <c r="B29" s="188">
        <v>6.2</v>
      </c>
      <c r="C29" s="188">
        <v>0</v>
      </c>
      <c r="D29" s="188">
        <v>0</v>
      </c>
      <c r="E29" s="188">
        <v>0</v>
      </c>
      <c r="F29" s="188">
        <v>0</v>
      </c>
      <c r="G29" s="189">
        <v>6.2</v>
      </c>
      <c r="H29" s="188">
        <v>5.8</v>
      </c>
      <c r="I29" s="188">
        <v>0</v>
      </c>
      <c r="J29" s="188">
        <v>0</v>
      </c>
      <c r="K29" s="188">
        <v>0</v>
      </c>
      <c r="L29" s="188">
        <v>0</v>
      </c>
      <c r="M29" s="189">
        <v>5.8</v>
      </c>
      <c r="N29" s="190">
        <v>-6.4516129032258118E-2</v>
      </c>
      <c r="O29" s="205" t="s">
        <v>308</v>
      </c>
      <c r="P29" s="192" t="s">
        <v>301</v>
      </c>
    </row>
    <row r="30" spans="1:16" ht="85">
      <c r="A30" s="141" t="s">
        <v>223</v>
      </c>
      <c r="B30" s="188">
        <v>17.8</v>
      </c>
      <c r="C30" s="188">
        <v>0</v>
      </c>
      <c r="D30" s="188">
        <v>0</v>
      </c>
      <c r="E30" s="188">
        <v>0</v>
      </c>
      <c r="F30" s="188">
        <v>0</v>
      </c>
      <c r="G30" s="189">
        <v>17.8</v>
      </c>
      <c r="H30" s="188">
        <v>19.8</v>
      </c>
      <c r="I30" s="188">
        <v>0</v>
      </c>
      <c r="J30" s="188">
        <v>0</v>
      </c>
      <c r="K30" s="188">
        <v>0</v>
      </c>
      <c r="L30" s="188">
        <v>0</v>
      </c>
      <c r="M30" s="189">
        <v>19.8</v>
      </c>
      <c r="N30" s="190">
        <v>0.11235955056179775</v>
      </c>
      <c r="O30" s="205" t="s">
        <v>309</v>
      </c>
      <c r="P30" s="192" t="s">
        <v>310</v>
      </c>
    </row>
    <row r="31" spans="1:16" ht="51">
      <c r="A31" s="141" t="s">
        <v>224</v>
      </c>
      <c r="B31" s="188">
        <v>13.1</v>
      </c>
      <c r="C31" s="188">
        <v>0</v>
      </c>
      <c r="D31" s="188">
        <v>0</v>
      </c>
      <c r="E31" s="188">
        <v>0</v>
      </c>
      <c r="F31" s="188">
        <v>0</v>
      </c>
      <c r="G31" s="189">
        <v>13.1</v>
      </c>
      <c r="H31" s="188">
        <v>17</v>
      </c>
      <c r="I31" s="188">
        <v>0</v>
      </c>
      <c r="J31" s="188">
        <v>0</v>
      </c>
      <c r="K31" s="188">
        <v>0</v>
      </c>
      <c r="L31" s="188">
        <v>0</v>
      </c>
      <c r="M31" s="189">
        <v>17</v>
      </c>
      <c r="N31" s="190">
        <v>0.29770992366412219</v>
      </c>
      <c r="O31" s="205" t="s">
        <v>311</v>
      </c>
      <c r="P31" s="192" t="s">
        <v>301</v>
      </c>
    </row>
    <row r="32" spans="1:16" ht="51">
      <c r="A32" s="141" t="s">
        <v>225</v>
      </c>
      <c r="B32" s="188">
        <v>11.9</v>
      </c>
      <c r="C32" s="188">
        <v>0</v>
      </c>
      <c r="D32" s="188">
        <v>0</v>
      </c>
      <c r="E32" s="188">
        <v>0</v>
      </c>
      <c r="F32" s="188">
        <v>0</v>
      </c>
      <c r="G32" s="189">
        <v>11.9</v>
      </c>
      <c r="H32" s="188">
        <v>12.1</v>
      </c>
      <c r="I32" s="188">
        <v>0</v>
      </c>
      <c r="J32" s="188">
        <v>0</v>
      </c>
      <c r="K32" s="188">
        <v>0</v>
      </c>
      <c r="L32" s="188">
        <v>0</v>
      </c>
      <c r="M32" s="189">
        <v>12.1</v>
      </c>
      <c r="N32" s="190">
        <v>1.6806722689075571E-2</v>
      </c>
      <c r="O32" s="205" t="s">
        <v>312</v>
      </c>
      <c r="P32" s="192" t="s">
        <v>301</v>
      </c>
    </row>
    <row r="33" spans="1:16" ht="51">
      <c r="A33" s="141" t="s">
        <v>226</v>
      </c>
      <c r="B33" s="188">
        <v>1.1000000000000001</v>
      </c>
      <c r="C33" s="188">
        <v>0</v>
      </c>
      <c r="D33" s="188">
        <v>0</v>
      </c>
      <c r="E33" s="188">
        <v>0</v>
      </c>
      <c r="F33" s="188">
        <v>0</v>
      </c>
      <c r="G33" s="189">
        <v>1.1000000000000001</v>
      </c>
      <c r="H33" s="188">
        <v>1.2</v>
      </c>
      <c r="I33" s="188">
        <v>0</v>
      </c>
      <c r="J33" s="188">
        <v>0</v>
      </c>
      <c r="K33" s="188">
        <v>0</v>
      </c>
      <c r="L33" s="188">
        <v>0</v>
      </c>
      <c r="M33" s="189">
        <v>1.2</v>
      </c>
      <c r="N33" s="190">
        <v>9.0909090909090787E-2</v>
      </c>
      <c r="O33" s="205" t="s">
        <v>313</v>
      </c>
      <c r="P33" s="192" t="s">
        <v>314</v>
      </c>
    </row>
    <row r="34" spans="1:16" ht="34">
      <c r="A34" s="141" t="s">
        <v>227</v>
      </c>
      <c r="B34" s="188">
        <v>1</v>
      </c>
      <c r="C34" s="188">
        <v>0</v>
      </c>
      <c r="D34" s="188">
        <v>0</v>
      </c>
      <c r="E34" s="188">
        <v>0</v>
      </c>
      <c r="F34" s="188">
        <v>0</v>
      </c>
      <c r="G34" s="189">
        <v>1</v>
      </c>
      <c r="H34" s="188">
        <v>1</v>
      </c>
      <c r="I34" s="188">
        <v>0</v>
      </c>
      <c r="J34" s="188">
        <v>0</v>
      </c>
      <c r="K34" s="188">
        <v>0</v>
      </c>
      <c r="L34" s="188">
        <v>0</v>
      </c>
      <c r="M34" s="189">
        <v>1</v>
      </c>
      <c r="N34" s="190">
        <v>0</v>
      </c>
      <c r="O34" s="205" t="s">
        <v>315</v>
      </c>
      <c r="P34" s="192" t="s">
        <v>316</v>
      </c>
    </row>
    <row r="35" spans="1:16" ht="51">
      <c r="A35" s="141" t="s">
        <v>228</v>
      </c>
      <c r="B35" s="188">
        <v>4</v>
      </c>
      <c r="C35" s="188">
        <v>0</v>
      </c>
      <c r="D35" s="188">
        <v>0</v>
      </c>
      <c r="E35" s="188">
        <v>0</v>
      </c>
      <c r="F35" s="188">
        <v>0</v>
      </c>
      <c r="G35" s="189">
        <v>4</v>
      </c>
      <c r="H35" s="188">
        <v>4.7</v>
      </c>
      <c r="I35" s="188">
        <v>0</v>
      </c>
      <c r="J35" s="188">
        <v>0</v>
      </c>
      <c r="K35" s="188">
        <v>0</v>
      </c>
      <c r="L35" s="188">
        <v>0</v>
      </c>
      <c r="M35" s="189">
        <v>4.7</v>
      </c>
      <c r="N35" s="190">
        <v>0.17500000000000004</v>
      </c>
      <c r="O35" s="205" t="s">
        <v>317</v>
      </c>
      <c r="P35" s="192" t="s">
        <v>301</v>
      </c>
    </row>
    <row r="36" spans="1:16" ht="51">
      <c r="A36" s="141" t="s">
        <v>229</v>
      </c>
      <c r="B36" s="188">
        <v>197.4</v>
      </c>
      <c r="C36" s="188">
        <v>0</v>
      </c>
      <c r="D36" s="188">
        <v>0</v>
      </c>
      <c r="E36" s="188">
        <v>0</v>
      </c>
      <c r="F36" s="188">
        <v>0</v>
      </c>
      <c r="G36" s="189">
        <v>197.4</v>
      </c>
      <c r="H36" s="188">
        <v>442.1</v>
      </c>
      <c r="I36" s="188">
        <v>0</v>
      </c>
      <c r="J36" s="188">
        <v>0</v>
      </c>
      <c r="K36" s="188">
        <v>0</v>
      </c>
      <c r="L36" s="188">
        <v>0</v>
      </c>
      <c r="M36" s="189">
        <v>442.1</v>
      </c>
      <c r="N36" s="190">
        <v>1.239614994934144</v>
      </c>
      <c r="O36" s="205" t="s">
        <v>318</v>
      </c>
      <c r="P36" s="192" t="s">
        <v>301</v>
      </c>
    </row>
    <row r="37" spans="1:16" ht="51">
      <c r="A37" s="141" t="s">
        <v>230</v>
      </c>
      <c r="B37" s="188">
        <v>21.1</v>
      </c>
      <c r="C37" s="188">
        <v>0</v>
      </c>
      <c r="D37" s="188">
        <v>0</v>
      </c>
      <c r="E37" s="188">
        <v>0</v>
      </c>
      <c r="F37" s="188">
        <v>0</v>
      </c>
      <c r="G37" s="189">
        <v>21.1</v>
      </c>
      <c r="H37" s="188">
        <v>23.6</v>
      </c>
      <c r="I37" s="188">
        <v>0</v>
      </c>
      <c r="J37" s="188">
        <v>0</v>
      </c>
      <c r="K37" s="188">
        <v>0</v>
      </c>
      <c r="L37" s="188">
        <v>0</v>
      </c>
      <c r="M37" s="189">
        <v>23.6</v>
      </c>
      <c r="N37" s="190">
        <v>0.11848341232227487</v>
      </c>
      <c r="O37" s="205" t="s">
        <v>319</v>
      </c>
      <c r="P37" s="192" t="s">
        <v>301</v>
      </c>
    </row>
    <row r="38" spans="1:16" ht="34">
      <c r="A38" s="142" t="s">
        <v>231</v>
      </c>
      <c r="B38" s="213">
        <v>3949.1999999999994</v>
      </c>
      <c r="C38" s="213">
        <v>0</v>
      </c>
      <c r="D38" s="213">
        <v>0</v>
      </c>
      <c r="E38" s="213">
        <v>0</v>
      </c>
      <c r="F38" s="213">
        <v>0</v>
      </c>
      <c r="G38" s="213">
        <v>3949.1999999999994</v>
      </c>
      <c r="H38" s="213">
        <v>5137.9000000000015</v>
      </c>
      <c r="I38" s="213">
        <v>0</v>
      </c>
      <c r="J38" s="213">
        <v>0</v>
      </c>
      <c r="K38" s="213">
        <v>0</v>
      </c>
      <c r="L38" s="213">
        <v>0</v>
      </c>
      <c r="M38" s="213">
        <v>5137.9000000000015</v>
      </c>
      <c r="N38" s="214">
        <v>0.30099767041426168</v>
      </c>
      <c r="O38" s="206"/>
      <c r="P38" s="207"/>
    </row>
    <row r="39" spans="1:16" ht="16">
      <c r="A39" s="145"/>
      <c r="B39" s="215"/>
      <c r="C39" s="215"/>
      <c r="D39" s="215"/>
      <c r="E39" s="215"/>
      <c r="F39" s="215"/>
      <c r="G39" s="215"/>
      <c r="H39" s="215"/>
      <c r="I39" s="215"/>
      <c r="J39" s="215"/>
      <c r="K39" s="215"/>
      <c r="L39" s="215"/>
      <c r="M39" s="215"/>
      <c r="N39" s="216"/>
      <c r="O39" s="217"/>
      <c r="P39" s="217"/>
    </row>
    <row r="40" spans="1:16" ht="17">
      <c r="A40" s="146" t="s">
        <v>232</v>
      </c>
      <c r="B40" s="218"/>
      <c r="C40" s="218"/>
      <c r="D40" s="218"/>
      <c r="E40" s="218"/>
      <c r="F40" s="218"/>
      <c r="G40" s="218"/>
      <c r="H40" s="218"/>
      <c r="I40" s="218"/>
      <c r="J40" s="218"/>
      <c r="K40" s="218"/>
      <c r="L40" s="218"/>
      <c r="M40" s="218"/>
      <c r="N40" s="219"/>
      <c r="O40" s="220"/>
      <c r="P40" s="220"/>
    </row>
    <row r="41" spans="1:16" ht="51">
      <c r="A41" s="147" t="s">
        <v>232</v>
      </c>
      <c r="B41" s="193">
        <v>21.797000000000001</v>
      </c>
      <c r="C41" s="193">
        <v>0</v>
      </c>
      <c r="D41" s="193">
        <v>0</v>
      </c>
      <c r="E41" s="193">
        <v>4</v>
      </c>
      <c r="F41" s="193">
        <v>0</v>
      </c>
      <c r="G41" s="194">
        <v>25.797000000000001</v>
      </c>
      <c r="H41" s="188">
        <v>21.768000000000001</v>
      </c>
      <c r="I41" s="188">
        <v>0</v>
      </c>
      <c r="J41" s="188">
        <v>0</v>
      </c>
      <c r="K41" s="188">
        <v>0</v>
      </c>
      <c r="L41" s="188">
        <v>0</v>
      </c>
      <c r="M41" s="194">
        <v>21.768000000000001</v>
      </c>
      <c r="N41" s="190">
        <v>-0.15618095127340387</v>
      </c>
      <c r="O41" s="156" t="s">
        <v>320</v>
      </c>
      <c r="P41" s="157" t="s">
        <v>321</v>
      </c>
    </row>
    <row r="42" spans="1:16" ht="17">
      <c r="A42" s="148" t="s">
        <v>233</v>
      </c>
      <c r="B42" s="221">
        <v>21.797000000000001</v>
      </c>
      <c r="C42" s="221">
        <v>0</v>
      </c>
      <c r="D42" s="221">
        <v>0</v>
      </c>
      <c r="E42" s="221">
        <v>4</v>
      </c>
      <c r="F42" s="221">
        <v>0</v>
      </c>
      <c r="G42" s="221">
        <v>25.797000000000001</v>
      </c>
      <c r="H42" s="221">
        <v>21.768000000000001</v>
      </c>
      <c r="I42" s="221">
        <v>0</v>
      </c>
      <c r="J42" s="221">
        <v>0</v>
      </c>
      <c r="K42" s="221">
        <v>0</v>
      </c>
      <c r="L42" s="221">
        <v>0</v>
      </c>
      <c r="M42" s="221">
        <v>21.768000000000001</v>
      </c>
      <c r="N42" s="222">
        <v>-0.15618095127340387</v>
      </c>
      <c r="O42" s="223"/>
      <c r="P42" s="223"/>
    </row>
    <row r="44" spans="1:16" ht="16">
      <c r="A44" s="149"/>
      <c r="B44" s="217"/>
      <c r="C44" s="217"/>
      <c r="D44" s="217"/>
      <c r="E44" s="217"/>
      <c r="F44" s="217"/>
      <c r="G44" s="217"/>
      <c r="H44" s="217"/>
      <c r="I44" s="217"/>
      <c r="J44" s="217"/>
      <c r="K44" s="217"/>
      <c r="L44" s="217"/>
      <c r="M44" s="217"/>
      <c r="N44" s="183"/>
      <c r="O44" s="217"/>
      <c r="P44" s="217"/>
    </row>
    <row r="45" spans="1:16" ht="17">
      <c r="A45" s="146" t="s">
        <v>234</v>
      </c>
      <c r="B45" s="202"/>
      <c r="C45" s="202"/>
      <c r="D45" s="202"/>
      <c r="E45" s="202"/>
      <c r="F45" s="202"/>
      <c r="G45" s="202"/>
      <c r="H45" s="202"/>
      <c r="I45" s="202"/>
      <c r="J45" s="202"/>
      <c r="K45" s="202"/>
      <c r="L45" s="202"/>
      <c r="M45" s="202"/>
      <c r="N45" s="203"/>
      <c r="O45" s="220"/>
      <c r="P45" s="220"/>
    </row>
    <row r="46" spans="1:16" ht="16">
      <c r="A46" s="149"/>
      <c r="B46" s="217"/>
      <c r="C46" s="217"/>
      <c r="D46" s="217"/>
      <c r="E46" s="217"/>
      <c r="F46" s="217"/>
      <c r="G46" s="217"/>
      <c r="H46" s="217"/>
      <c r="I46" s="217"/>
      <c r="J46" s="217"/>
      <c r="K46" s="217"/>
      <c r="L46" s="217"/>
      <c r="M46" s="217"/>
      <c r="N46" s="183"/>
      <c r="O46" s="217"/>
      <c r="P46" s="217"/>
    </row>
    <row r="47" spans="1:16" ht="17">
      <c r="A47" s="150" t="s">
        <v>235</v>
      </c>
      <c r="B47" s="224"/>
      <c r="C47" s="224"/>
      <c r="D47" s="224"/>
      <c r="E47" s="224"/>
      <c r="F47" s="224"/>
      <c r="G47" s="224"/>
      <c r="H47" s="224"/>
      <c r="I47" s="224"/>
      <c r="J47" s="224"/>
      <c r="K47" s="224"/>
      <c r="L47" s="224"/>
      <c r="M47" s="224"/>
      <c r="N47" s="225"/>
      <c r="O47" s="226"/>
      <c r="P47" s="226"/>
    </row>
    <row r="48" spans="1:16" ht="51">
      <c r="A48" s="147" t="s">
        <v>236</v>
      </c>
      <c r="B48" s="193">
        <v>12.452</v>
      </c>
      <c r="C48" s="193">
        <v>0</v>
      </c>
      <c r="D48" s="193">
        <v>605.20000000000005</v>
      </c>
      <c r="E48" s="193">
        <v>0</v>
      </c>
      <c r="F48" s="193">
        <v>0</v>
      </c>
      <c r="G48" s="194">
        <v>617.65200000000004</v>
      </c>
      <c r="H48" s="188">
        <v>10.071</v>
      </c>
      <c r="I48" s="188">
        <v>0</v>
      </c>
      <c r="J48" s="188">
        <v>489.1</v>
      </c>
      <c r="K48" s="188">
        <v>0</v>
      </c>
      <c r="L48" s="188">
        <v>0</v>
      </c>
      <c r="M48" s="194">
        <v>499.17100000000005</v>
      </c>
      <c r="N48" s="190">
        <v>-0.19182484635361011</v>
      </c>
      <c r="O48" s="156" t="s">
        <v>322</v>
      </c>
      <c r="P48" s="157" t="s">
        <v>323</v>
      </c>
    </row>
    <row r="49" spans="1:16" ht="34">
      <c r="A49" s="151" t="s">
        <v>237</v>
      </c>
      <c r="B49" s="188">
        <v>0</v>
      </c>
      <c r="C49" s="188">
        <v>0</v>
      </c>
      <c r="D49" s="188">
        <v>0</v>
      </c>
      <c r="E49" s="188">
        <v>226</v>
      </c>
      <c r="F49" s="188">
        <v>0</v>
      </c>
      <c r="G49" s="189">
        <v>226</v>
      </c>
      <c r="H49" s="188">
        <v>0</v>
      </c>
      <c r="I49" s="188">
        <v>0</v>
      </c>
      <c r="J49" s="188">
        <v>0</v>
      </c>
      <c r="K49" s="188">
        <v>170.6</v>
      </c>
      <c r="L49" s="188">
        <v>0</v>
      </c>
      <c r="M49" s="189">
        <v>170.6</v>
      </c>
      <c r="N49" s="190">
        <v>-0.24513274336283189</v>
      </c>
      <c r="O49" s="159" t="s">
        <v>324</v>
      </c>
      <c r="P49" s="227" t="s">
        <v>325</v>
      </c>
    </row>
    <row r="50" spans="1:16" ht="34">
      <c r="A50" s="151" t="s">
        <v>238</v>
      </c>
      <c r="B50" s="188">
        <v>0</v>
      </c>
      <c r="C50" s="188">
        <v>0</v>
      </c>
      <c r="D50" s="188">
        <v>0</v>
      </c>
      <c r="E50" s="188">
        <v>-81</v>
      </c>
      <c r="F50" s="188">
        <v>0</v>
      </c>
      <c r="G50" s="189">
        <v>-81</v>
      </c>
      <c r="H50" s="188">
        <v>0</v>
      </c>
      <c r="I50" s="188">
        <v>0</v>
      </c>
      <c r="J50" s="188">
        <v>0</v>
      </c>
      <c r="K50" s="188">
        <v>-86</v>
      </c>
      <c r="L50" s="188">
        <v>0</v>
      </c>
      <c r="M50" s="189">
        <v>-86</v>
      </c>
      <c r="N50" s="190">
        <v>6.1728395061728392E-2</v>
      </c>
      <c r="O50" s="159" t="s">
        <v>326</v>
      </c>
      <c r="P50" s="227" t="s">
        <v>327</v>
      </c>
    </row>
    <row r="51" spans="1:16" ht="17">
      <c r="A51" s="151" t="s">
        <v>239</v>
      </c>
      <c r="B51" s="188">
        <v>0</v>
      </c>
      <c r="C51" s="188">
        <v>0</v>
      </c>
      <c r="D51" s="188">
        <v>-18.399999999999999</v>
      </c>
      <c r="E51" s="188">
        <v>0</v>
      </c>
      <c r="F51" s="188">
        <v>0</v>
      </c>
      <c r="G51" s="189">
        <v>-18.399999999999999</v>
      </c>
      <c r="H51" s="188">
        <v>0</v>
      </c>
      <c r="I51" s="188">
        <v>0</v>
      </c>
      <c r="J51" s="188">
        <v>-16.3</v>
      </c>
      <c r="K51" s="188">
        <v>0</v>
      </c>
      <c r="L51" s="188">
        <v>0</v>
      </c>
      <c r="M51" s="189">
        <v>-16.3</v>
      </c>
      <c r="N51" s="190">
        <v>-0.11413043478260859</v>
      </c>
      <c r="O51" s="159" t="s">
        <v>328</v>
      </c>
      <c r="P51" s="157" t="s">
        <v>329</v>
      </c>
    </row>
    <row r="52" spans="1:16" ht="17">
      <c r="A52" s="152" t="s">
        <v>240</v>
      </c>
      <c r="B52" s="228">
        <v>12.452</v>
      </c>
      <c r="C52" s="228">
        <v>0</v>
      </c>
      <c r="D52" s="228">
        <v>586.80000000000007</v>
      </c>
      <c r="E52" s="228">
        <v>145</v>
      </c>
      <c r="F52" s="228">
        <v>0</v>
      </c>
      <c r="G52" s="228">
        <v>744.25200000000007</v>
      </c>
      <c r="H52" s="228">
        <v>10.071</v>
      </c>
      <c r="I52" s="228">
        <v>0</v>
      </c>
      <c r="J52" s="228">
        <v>472.8</v>
      </c>
      <c r="K52" s="228">
        <v>84.6</v>
      </c>
      <c r="L52" s="228">
        <v>0</v>
      </c>
      <c r="M52" s="228">
        <v>567.47100000000012</v>
      </c>
      <c r="N52" s="229">
        <v>-0.23752841779397291</v>
      </c>
      <c r="O52" s="230"/>
      <c r="P52" s="231"/>
    </row>
    <row r="53" spans="1:16" ht="16">
      <c r="A53" s="149"/>
      <c r="B53" s="217"/>
      <c r="C53" s="217"/>
      <c r="D53" s="217"/>
      <c r="E53" s="217"/>
      <c r="F53" s="217"/>
      <c r="G53" s="217"/>
      <c r="H53" s="217"/>
      <c r="I53" s="217"/>
      <c r="J53" s="217"/>
      <c r="K53" s="217"/>
      <c r="L53" s="217"/>
      <c r="M53" s="217"/>
      <c r="N53" s="183"/>
      <c r="O53" s="217"/>
      <c r="P53" s="217"/>
    </row>
    <row r="54" spans="1:16" ht="17">
      <c r="A54" s="153" t="s">
        <v>241</v>
      </c>
      <c r="B54" s="224"/>
      <c r="C54" s="224"/>
      <c r="D54" s="224"/>
      <c r="E54" s="224"/>
      <c r="F54" s="224"/>
      <c r="G54" s="224"/>
      <c r="H54" s="224"/>
      <c r="I54" s="224"/>
      <c r="J54" s="224"/>
      <c r="K54" s="224"/>
      <c r="L54" s="224"/>
      <c r="M54" s="224"/>
      <c r="N54" s="225"/>
      <c r="O54" s="232"/>
      <c r="P54" s="232"/>
    </row>
    <row r="55" spans="1:16" ht="34">
      <c r="A55" s="154" t="s">
        <v>241</v>
      </c>
      <c r="B55" s="193">
        <v>2.5009999999999999</v>
      </c>
      <c r="C55" s="193">
        <v>0</v>
      </c>
      <c r="D55" s="193">
        <v>0</v>
      </c>
      <c r="E55" s="193">
        <v>0</v>
      </c>
      <c r="F55" s="193">
        <v>0</v>
      </c>
      <c r="G55" s="194">
        <v>2.5009999999999999</v>
      </c>
      <c r="H55" s="188">
        <v>2.2759999999999998</v>
      </c>
      <c r="I55" s="188">
        <v>0</v>
      </c>
      <c r="J55" s="188">
        <v>0</v>
      </c>
      <c r="K55" s="188">
        <v>0</v>
      </c>
      <c r="L55" s="188">
        <v>0</v>
      </c>
      <c r="M55" s="194">
        <v>2.2759999999999998</v>
      </c>
      <c r="N55" s="190">
        <v>-8.9964014394242342E-2</v>
      </c>
      <c r="O55" s="156" t="s">
        <v>330</v>
      </c>
      <c r="P55" s="157" t="s">
        <v>331</v>
      </c>
    </row>
    <row r="56" spans="1:16" ht="17">
      <c r="A56" s="155" t="s">
        <v>242</v>
      </c>
      <c r="B56" s="228">
        <v>2.5009999999999999</v>
      </c>
      <c r="C56" s="228">
        <v>0</v>
      </c>
      <c r="D56" s="228">
        <v>0</v>
      </c>
      <c r="E56" s="228">
        <v>0</v>
      </c>
      <c r="F56" s="228">
        <v>0</v>
      </c>
      <c r="G56" s="228">
        <v>2.5009999999999999</v>
      </c>
      <c r="H56" s="228">
        <v>2.2759999999999998</v>
      </c>
      <c r="I56" s="228">
        <v>0</v>
      </c>
      <c r="J56" s="228">
        <v>0</v>
      </c>
      <c r="K56" s="228">
        <v>0</v>
      </c>
      <c r="L56" s="228">
        <v>0</v>
      </c>
      <c r="M56" s="228">
        <v>2.2759999999999998</v>
      </c>
      <c r="N56" s="229">
        <v>-8.9964014394242342E-2</v>
      </c>
      <c r="O56" s="230"/>
      <c r="P56" s="231"/>
    </row>
    <row r="57" spans="1:16" ht="16">
      <c r="A57" s="149"/>
      <c r="B57" s="217"/>
      <c r="C57" s="217"/>
      <c r="D57" s="217"/>
      <c r="E57" s="217"/>
      <c r="F57" s="217"/>
      <c r="G57" s="217"/>
      <c r="H57" s="217"/>
      <c r="I57" s="217"/>
      <c r="J57" s="217"/>
      <c r="K57" s="217"/>
      <c r="L57" s="217"/>
      <c r="M57" s="217"/>
      <c r="N57" s="183"/>
      <c r="O57" s="217"/>
      <c r="P57" s="217"/>
    </row>
    <row r="58" spans="1:16" ht="17">
      <c r="A58" s="150" t="s">
        <v>243</v>
      </c>
      <c r="B58" s="224"/>
      <c r="C58" s="224"/>
      <c r="D58" s="224"/>
      <c r="E58" s="224"/>
      <c r="F58" s="224"/>
      <c r="G58" s="224"/>
      <c r="H58" s="224"/>
      <c r="I58" s="224"/>
      <c r="J58" s="224"/>
      <c r="K58" s="224"/>
      <c r="L58" s="224"/>
      <c r="M58" s="224"/>
      <c r="N58" s="225"/>
      <c r="O58" s="232"/>
      <c r="P58" s="232"/>
    </row>
    <row r="59" spans="1:16" ht="170">
      <c r="A59" s="156" t="s">
        <v>244</v>
      </c>
      <c r="B59" s="193">
        <v>46.048999999999999</v>
      </c>
      <c r="C59" s="193">
        <v>0</v>
      </c>
      <c r="D59" s="193">
        <v>15</v>
      </c>
      <c r="E59" s="193">
        <v>0</v>
      </c>
      <c r="F59" s="193">
        <v>0</v>
      </c>
      <c r="G59" s="194">
        <v>61.048999999999999</v>
      </c>
      <c r="H59" s="188">
        <v>49.727000000000004</v>
      </c>
      <c r="I59" s="188">
        <v>0</v>
      </c>
      <c r="J59" s="188">
        <v>16.2</v>
      </c>
      <c r="K59" s="188">
        <v>0</v>
      </c>
      <c r="L59" s="188">
        <v>0</v>
      </c>
      <c r="M59" s="194">
        <v>65.927000000000007</v>
      </c>
      <c r="N59" s="190">
        <v>7.9903028714639182E-2</v>
      </c>
      <c r="O59" s="156" t="s">
        <v>332</v>
      </c>
      <c r="P59" s="157" t="s">
        <v>333</v>
      </c>
    </row>
    <row r="60" spans="1:16" ht="102">
      <c r="A60" s="156" t="s">
        <v>245</v>
      </c>
      <c r="B60" s="193">
        <v>80.2</v>
      </c>
      <c r="C60" s="193">
        <v>0</v>
      </c>
      <c r="D60" s="193">
        <v>0</v>
      </c>
      <c r="E60" s="193">
        <v>0</v>
      </c>
      <c r="F60" s="193">
        <v>0</v>
      </c>
      <c r="G60" s="194">
        <v>80.2</v>
      </c>
      <c r="H60" s="188">
        <v>85.929000000000016</v>
      </c>
      <c r="I60" s="188">
        <v>0</v>
      </c>
      <c r="J60" s="188">
        <v>0</v>
      </c>
      <c r="K60" s="188">
        <v>0</v>
      </c>
      <c r="L60" s="188">
        <v>0</v>
      </c>
      <c r="M60" s="194">
        <v>85.929000000000016</v>
      </c>
      <c r="N60" s="190">
        <v>7.1433915211970234E-2</v>
      </c>
      <c r="O60" s="156" t="s">
        <v>334</v>
      </c>
      <c r="P60" s="157" t="s">
        <v>335</v>
      </c>
    </row>
    <row r="61" spans="1:16" ht="17">
      <c r="A61" s="152" t="s">
        <v>246</v>
      </c>
      <c r="B61" s="228">
        <v>126.249</v>
      </c>
      <c r="C61" s="228">
        <v>0</v>
      </c>
      <c r="D61" s="228">
        <v>15</v>
      </c>
      <c r="E61" s="228">
        <v>0</v>
      </c>
      <c r="F61" s="228">
        <v>0</v>
      </c>
      <c r="G61" s="228">
        <v>141.249</v>
      </c>
      <c r="H61" s="228">
        <v>135.65600000000001</v>
      </c>
      <c r="I61" s="228">
        <v>0</v>
      </c>
      <c r="J61" s="228">
        <v>16.2</v>
      </c>
      <c r="K61" s="228">
        <v>0</v>
      </c>
      <c r="L61" s="228">
        <v>0</v>
      </c>
      <c r="M61" s="228">
        <v>151.85600000000002</v>
      </c>
      <c r="N61" s="229">
        <v>7.5094336951058258E-2</v>
      </c>
      <c r="O61" s="230"/>
      <c r="P61" s="231"/>
    </row>
    <row r="62" spans="1:16" ht="16">
      <c r="A62" s="149"/>
      <c r="B62" s="217"/>
      <c r="C62" s="217"/>
      <c r="D62" s="217"/>
      <c r="E62" s="217"/>
      <c r="F62" s="217"/>
      <c r="G62" s="217"/>
      <c r="H62" s="217"/>
      <c r="I62" s="217"/>
      <c r="J62" s="217"/>
      <c r="K62" s="217"/>
      <c r="L62" s="217"/>
      <c r="M62" s="217"/>
      <c r="N62" s="183"/>
      <c r="O62" s="217"/>
      <c r="P62" s="217"/>
    </row>
    <row r="63" spans="1:16" ht="16">
      <c r="A63" s="150"/>
      <c r="B63" s="224"/>
      <c r="C63" s="224"/>
      <c r="D63" s="224"/>
      <c r="E63" s="224"/>
      <c r="F63" s="224"/>
      <c r="G63" s="224"/>
      <c r="H63" s="224"/>
      <c r="I63" s="224"/>
      <c r="J63" s="224"/>
      <c r="K63" s="224"/>
      <c r="L63" s="224"/>
      <c r="M63" s="224"/>
      <c r="N63" s="225"/>
      <c r="O63" s="232"/>
      <c r="P63" s="232"/>
    </row>
    <row r="64" spans="1:16" ht="16">
      <c r="A64" s="156"/>
      <c r="B64" s="193"/>
      <c r="C64" s="193"/>
      <c r="D64" s="193"/>
      <c r="E64" s="193"/>
      <c r="F64" s="193"/>
      <c r="G64" s="194"/>
      <c r="H64" s="188"/>
      <c r="I64" s="188"/>
      <c r="J64" s="188"/>
      <c r="K64" s="188"/>
      <c r="L64" s="188"/>
      <c r="M64" s="194"/>
      <c r="N64" s="190"/>
      <c r="O64" s="156"/>
      <c r="P64" s="157"/>
    </row>
    <row r="65" spans="1:16" ht="16">
      <c r="A65" s="152"/>
      <c r="B65" s="228"/>
      <c r="C65" s="228"/>
      <c r="D65" s="228"/>
      <c r="E65" s="228"/>
      <c r="F65" s="228"/>
      <c r="G65" s="228"/>
      <c r="H65" s="228"/>
      <c r="I65" s="228"/>
      <c r="J65" s="228"/>
      <c r="K65" s="228"/>
      <c r="L65" s="228"/>
      <c r="M65" s="228"/>
      <c r="N65" s="229"/>
      <c r="O65" s="230"/>
      <c r="P65" s="231"/>
    </row>
    <row r="66" spans="1:16" ht="16">
      <c r="A66" s="149"/>
      <c r="B66" s="217"/>
      <c r="C66" s="217"/>
      <c r="D66" s="217"/>
      <c r="E66" s="217"/>
      <c r="F66" s="217"/>
      <c r="G66" s="217"/>
      <c r="H66" s="217"/>
      <c r="I66" s="217"/>
      <c r="J66" s="217"/>
      <c r="K66" s="217"/>
      <c r="L66" s="217"/>
      <c r="M66" s="217"/>
      <c r="N66" s="183"/>
      <c r="O66" s="217"/>
      <c r="P66" s="217"/>
    </row>
    <row r="67" spans="1:16" ht="17">
      <c r="A67" s="148" t="s">
        <v>247</v>
      </c>
      <c r="B67" s="221">
        <v>141.202</v>
      </c>
      <c r="C67" s="221">
        <v>0</v>
      </c>
      <c r="D67" s="221">
        <v>601.80000000000007</v>
      </c>
      <c r="E67" s="221">
        <v>145</v>
      </c>
      <c r="F67" s="221">
        <v>0</v>
      </c>
      <c r="G67" s="221">
        <v>888.00200000000007</v>
      </c>
      <c r="H67" s="221">
        <v>148.00300000000001</v>
      </c>
      <c r="I67" s="221">
        <v>0</v>
      </c>
      <c r="J67" s="221">
        <v>489</v>
      </c>
      <c r="K67" s="221">
        <v>84.6</v>
      </c>
      <c r="L67" s="221">
        <v>0</v>
      </c>
      <c r="M67" s="221">
        <v>721.60300000000018</v>
      </c>
      <c r="N67" s="222">
        <v>-0.18738583922108271</v>
      </c>
      <c r="O67" s="233"/>
      <c r="P67" s="234"/>
    </row>
    <row r="68" spans="1:16" ht="16">
      <c r="A68" s="149"/>
      <c r="B68" s="217"/>
      <c r="C68" s="217"/>
      <c r="D68" s="217"/>
      <c r="E68" s="217"/>
      <c r="F68" s="217"/>
      <c r="G68" s="217"/>
      <c r="H68" s="217"/>
      <c r="I68" s="217"/>
      <c r="J68" s="217"/>
      <c r="K68" s="217"/>
      <c r="L68" s="217"/>
      <c r="M68" s="217"/>
      <c r="N68" s="183"/>
      <c r="O68" s="217"/>
      <c r="P68" s="217"/>
    </row>
    <row r="69" spans="1:16" ht="17">
      <c r="A69" s="148" t="s">
        <v>248</v>
      </c>
      <c r="B69" s="221"/>
      <c r="C69" s="221"/>
      <c r="D69" s="221"/>
      <c r="E69" s="221"/>
      <c r="F69" s="221"/>
      <c r="G69" s="221"/>
      <c r="H69" s="221"/>
      <c r="I69" s="221"/>
      <c r="J69" s="221"/>
      <c r="K69" s="221"/>
      <c r="L69" s="221"/>
      <c r="M69" s="221"/>
      <c r="N69" s="222"/>
      <c r="O69" s="233"/>
      <c r="P69" s="234"/>
    </row>
    <row r="70" spans="1:16" ht="68">
      <c r="A70" s="156" t="s">
        <v>248</v>
      </c>
      <c r="B70" s="193">
        <v>3.8069999999999999</v>
      </c>
      <c r="C70" s="193">
        <v>0</v>
      </c>
      <c r="D70" s="193">
        <v>8</v>
      </c>
      <c r="E70" s="193">
        <v>0</v>
      </c>
      <c r="F70" s="193">
        <v>0</v>
      </c>
      <c r="G70" s="194">
        <v>11.807</v>
      </c>
      <c r="H70" s="188">
        <v>4.2809999999999997</v>
      </c>
      <c r="I70" s="188">
        <v>0</v>
      </c>
      <c r="J70" s="188">
        <v>27</v>
      </c>
      <c r="K70" s="188">
        <v>0</v>
      </c>
      <c r="L70" s="188">
        <v>0</v>
      </c>
      <c r="M70" s="194">
        <v>31.280999999999999</v>
      </c>
      <c r="N70" s="190">
        <v>1.6493605488269667</v>
      </c>
      <c r="O70" s="156" t="s">
        <v>336</v>
      </c>
      <c r="P70" s="157" t="s">
        <v>337</v>
      </c>
    </row>
    <row r="71" spans="1:16" ht="17">
      <c r="A71" s="148" t="s">
        <v>249</v>
      </c>
      <c r="B71" s="221">
        <v>3.8069999999999999</v>
      </c>
      <c r="C71" s="221">
        <v>0</v>
      </c>
      <c r="D71" s="221">
        <v>8</v>
      </c>
      <c r="E71" s="221">
        <v>0</v>
      </c>
      <c r="F71" s="221">
        <v>0</v>
      </c>
      <c r="G71" s="221">
        <v>11.807</v>
      </c>
      <c r="H71" s="221">
        <v>4.2809999999999997</v>
      </c>
      <c r="I71" s="221">
        <v>0</v>
      </c>
      <c r="J71" s="221">
        <v>27</v>
      </c>
      <c r="K71" s="221">
        <v>0</v>
      </c>
      <c r="L71" s="221">
        <v>0</v>
      </c>
      <c r="M71" s="221">
        <v>31.280999999999999</v>
      </c>
      <c r="N71" s="222">
        <v>1.6493605488269667</v>
      </c>
      <c r="O71" s="233"/>
      <c r="P71" s="234"/>
    </row>
    <row r="72" spans="1:16" ht="16">
      <c r="A72" s="149"/>
      <c r="B72" s="217"/>
      <c r="C72" s="217"/>
      <c r="D72" s="217"/>
      <c r="E72" s="217"/>
      <c r="F72" s="217"/>
      <c r="G72" s="217"/>
      <c r="H72" s="217"/>
      <c r="I72" s="217"/>
      <c r="J72" s="217"/>
      <c r="K72" s="217"/>
      <c r="L72" s="217"/>
      <c r="M72" s="217"/>
      <c r="N72" s="183"/>
      <c r="O72" s="217"/>
      <c r="P72" s="217"/>
    </row>
    <row r="73" spans="1:16" ht="34">
      <c r="A73" s="146" t="s">
        <v>250</v>
      </c>
      <c r="B73" s="235"/>
      <c r="C73" s="235"/>
      <c r="D73" s="235"/>
      <c r="E73" s="235"/>
      <c r="F73" s="235"/>
      <c r="G73" s="235"/>
      <c r="H73" s="235"/>
      <c r="I73" s="235"/>
      <c r="J73" s="235"/>
      <c r="K73" s="235"/>
      <c r="L73" s="235"/>
      <c r="M73" s="235"/>
      <c r="N73" s="236"/>
      <c r="O73" s="220"/>
      <c r="P73" s="220"/>
    </row>
    <row r="74" spans="1:16" ht="17">
      <c r="A74" s="150" t="s">
        <v>251</v>
      </c>
      <c r="B74" s="224"/>
      <c r="C74" s="224"/>
      <c r="D74" s="224"/>
      <c r="E74" s="224"/>
      <c r="F74" s="224"/>
      <c r="G74" s="224"/>
      <c r="H74" s="224"/>
      <c r="I74" s="224"/>
      <c r="J74" s="224"/>
      <c r="K74" s="224"/>
      <c r="L74" s="224"/>
      <c r="M74" s="224"/>
      <c r="N74" s="225"/>
      <c r="O74" s="232"/>
      <c r="P74" s="232"/>
    </row>
    <row r="75" spans="1:16" ht="51">
      <c r="A75" s="156" t="s">
        <v>251</v>
      </c>
      <c r="B75" s="193">
        <v>101.312</v>
      </c>
      <c r="C75" s="193">
        <v>0</v>
      </c>
      <c r="D75" s="193">
        <v>0</v>
      </c>
      <c r="E75" s="193">
        <v>1</v>
      </c>
      <c r="F75" s="193">
        <v>0</v>
      </c>
      <c r="G75" s="194">
        <v>102.312</v>
      </c>
      <c r="H75" s="188">
        <v>34.488999999999997</v>
      </c>
      <c r="I75" s="188">
        <v>0</v>
      </c>
      <c r="J75" s="188">
        <v>2.7</v>
      </c>
      <c r="K75" s="188">
        <v>0</v>
      </c>
      <c r="L75" s="188">
        <v>0</v>
      </c>
      <c r="M75" s="194">
        <v>37.189</v>
      </c>
      <c r="N75" s="190">
        <v>-0.63651380092266785</v>
      </c>
      <c r="O75" s="156" t="s">
        <v>338</v>
      </c>
      <c r="P75" s="157" t="s">
        <v>339</v>
      </c>
    </row>
    <row r="76" spans="1:16" ht="17">
      <c r="A76" s="152" t="s">
        <v>252</v>
      </c>
      <c r="B76" s="228">
        <v>101.312</v>
      </c>
      <c r="C76" s="228">
        <v>0</v>
      </c>
      <c r="D76" s="228">
        <v>0</v>
      </c>
      <c r="E76" s="228">
        <v>1</v>
      </c>
      <c r="F76" s="228">
        <v>0</v>
      </c>
      <c r="G76" s="228">
        <v>102.312</v>
      </c>
      <c r="H76" s="228">
        <v>34.488999999999997</v>
      </c>
      <c r="I76" s="228">
        <v>0</v>
      </c>
      <c r="J76" s="228">
        <v>2.7</v>
      </c>
      <c r="K76" s="228">
        <v>0</v>
      </c>
      <c r="L76" s="228">
        <v>0</v>
      </c>
      <c r="M76" s="228">
        <v>37.189</v>
      </c>
      <c r="N76" s="229">
        <v>-0.63651380092266785</v>
      </c>
      <c r="O76" s="230"/>
      <c r="P76" s="231"/>
    </row>
    <row r="77" spans="1:16" ht="16">
      <c r="A77" s="157"/>
      <c r="B77" s="237"/>
      <c r="C77" s="237"/>
      <c r="D77" s="237"/>
      <c r="E77" s="237"/>
      <c r="F77" s="237"/>
      <c r="G77" s="238"/>
      <c r="H77" s="239"/>
      <c r="I77" s="239"/>
      <c r="J77" s="239"/>
      <c r="K77" s="239"/>
      <c r="L77" s="239"/>
      <c r="M77" s="238"/>
      <c r="N77" s="240"/>
      <c r="O77" s="241"/>
      <c r="P77" s="241"/>
    </row>
    <row r="78" spans="1:16" ht="17">
      <c r="A78" s="150" t="s">
        <v>253</v>
      </c>
      <c r="B78" s="224"/>
      <c r="C78" s="224"/>
      <c r="D78" s="224"/>
      <c r="E78" s="224"/>
      <c r="F78" s="224"/>
      <c r="G78" s="224"/>
      <c r="H78" s="224"/>
      <c r="I78" s="224"/>
      <c r="J78" s="224"/>
      <c r="K78" s="224"/>
      <c r="L78" s="224"/>
      <c r="M78" s="224"/>
      <c r="N78" s="225"/>
      <c r="O78" s="232"/>
      <c r="P78" s="232"/>
    </row>
    <row r="79" spans="1:16" ht="51">
      <c r="A79" s="156" t="s">
        <v>253</v>
      </c>
      <c r="B79" s="193">
        <v>7.0229999999999997</v>
      </c>
      <c r="C79" s="193">
        <v>0</v>
      </c>
      <c r="D79" s="193">
        <v>0</v>
      </c>
      <c r="E79" s="193">
        <v>0</v>
      </c>
      <c r="F79" s="193">
        <v>0</v>
      </c>
      <c r="G79" s="194">
        <v>7.0229999999999997</v>
      </c>
      <c r="H79" s="188">
        <v>6.7050000000000001</v>
      </c>
      <c r="I79" s="188">
        <v>0</v>
      </c>
      <c r="J79" s="188">
        <v>0</v>
      </c>
      <c r="K79" s="188">
        <v>0</v>
      </c>
      <c r="L79" s="188">
        <v>0</v>
      </c>
      <c r="M79" s="194">
        <v>6.7050000000000001</v>
      </c>
      <c r="N79" s="190">
        <v>-4.5279794959419001E-2</v>
      </c>
      <c r="O79" s="156" t="s">
        <v>340</v>
      </c>
      <c r="P79" s="157" t="s">
        <v>331</v>
      </c>
    </row>
    <row r="80" spans="1:16" ht="17">
      <c r="A80" s="152" t="s">
        <v>254</v>
      </c>
      <c r="B80" s="228">
        <v>7.0229999999999997</v>
      </c>
      <c r="C80" s="228">
        <v>0</v>
      </c>
      <c r="D80" s="228">
        <v>0</v>
      </c>
      <c r="E80" s="228">
        <v>0</v>
      </c>
      <c r="F80" s="228">
        <v>0</v>
      </c>
      <c r="G80" s="228">
        <v>7.0229999999999997</v>
      </c>
      <c r="H80" s="228">
        <v>6.7050000000000001</v>
      </c>
      <c r="I80" s="228">
        <v>0</v>
      </c>
      <c r="J80" s="228">
        <v>0</v>
      </c>
      <c r="K80" s="228">
        <v>0</v>
      </c>
      <c r="L80" s="228">
        <v>0</v>
      </c>
      <c r="M80" s="228">
        <v>6.7050000000000001</v>
      </c>
      <c r="N80" s="229">
        <v>-4.5279794959419001E-2</v>
      </c>
      <c r="O80" s="230"/>
      <c r="P80" s="231"/>
    </row>
    <row r="81" spans="1:16" ht="16">
      <c r="A81" s="157"/>
      <c r="B81" s="237"/>
      <c r="C81" s="237"/>
      <c r="D81" s="237"/>
      <c r="E81" s="237"/>
      <c r="F81" s="237"/>
      <c r="G81" s="238"/>
      <c r="H81" s="239"/>
      <c r="I81" s="239"/>
      <c r="J81" s="239"/>
      <c r="K81" s="239"/>
      <c r="L81" s="239"/>
      <c r="M81" s="238"/>
      <c r="N81" s="240"/>
      <c r="O81" s="241"/>
      <c r="P81" s="241"/>
    </row>
    <row r="82" spans="1:16" ht="34">
      <c r="A82" s="148" t="s">
        <v>255</v>
      </c>
      <c r="B82" s="221">
        <v>108.33499999999999</v>
      </c>
      <c r="C82" s="221">
        <v>0</v>
      </c>
      <c r="D82" s="221">
        <v>0</v>
      </c>
      <c r="E82" s="221">
        <v>1</v>
      </c>
      <c r="F82" s="221">
        <v>0</v>
      </c>
      <c r="G82" s="221">
        <v>109.33499999999999</v>
      </c>
      <c r="H82" s="221">
        <v>41.193999999999996</v>
      </c>
      <c r="I82" s="221">
        <v>0</v>
      </c>
      <c r="J82" s="221">
        <v>2.7</v>
      </c>
      <c r="K82" s="221">
        <v>0</v>
      </c>
      <c r="L82" s="221">
        <v>0</v>
      </c>
      <c r="M82" s="221">
        <v>43.893999999999998</v>
      </c>
      <c r="N82" s="222">
        <v>-0.59853660767366357</v>
      </c>
      <c r="O82" s="233"/>
      <c r="P82" s="234"/>
    </row>
    <row r="83" spans="1:16" ht="16">
      <c r="A83" s="149"/>
      <c r="B83" s="217"/>
      <c r="C83" s="217"/>
      <c r="D83" s="217"/>
      <c r="E83" s="217"/>
      <c r="F83" s="217"/>
      <c r="G83" s="217"/>
      <c r="H83" s="217"/>
      <c r="I83" s="217"/>
      <c r="J83" s="217"/>
      <c r="K83" s="217"/>
      <c r="L83" s="217"/>
      <c r="M83" s="217"/>
      <c r="N83" s="183"/>
      <c r="O83" s="217"/>
      <c r="P83" s="217"/>
    </row>
    <row r="84" spans="1:16" ht="17">
      <c r="A84" s="146" t="s">
        <v>256</v>
      </c>
      <c r="B84" s="218"/>
      <c r="C84" s="218"/>
      <c r="D84" s="218"/>
      <c r="E84" s="218"/>
      <c r="F84" s="218"/>
      <c r="G84" s="218"/>
      <c r="H84" s="218"/>
      <c r="I84" s="218"/>
      <c r="J84" s="218"/>
      <c r="K84" s="218"/>
      <c r="L84" s="218"/>
      <c r="M84" s="218"/>
      <c r="N84" s="219"/>
      <c r="O84" s="220"/>
      <c r="P84" s="220"/>
    </row>
    <row r="85" spans="1:16" ht="17">
      <c r="A85" s="137" t="s">
        <v>256</v>
      </c>
      <c r="B85" s="193">
        <v>3.43</v>
      </c>
      <c r="C85" s="193">
        <v>0</v>
      </c>
      <c r="D85" s="193">
        <v>0</v>
      </c>
      <c r="E85" s="193">
        <v>0</v>
      </c>
      <c r="F85" s="193">
        <v>0</v>
      </c>
      <c r="G85" s="194">
        <v>3.43</v>
      </c>
      <c r="H85" s="188">
        <v>3.3</v>
      </c>
      <c r="I85" s="188">
        <v>0</v>
      </c>
      <c r="J85" s="188">
        <v>0</v>
      </c>
      <c r="K85" s="188">
        <v>0</v>
      </c>
      <c r="L85" s="188">
        <v>0</v>
      </c>
      <c r="M85" s="194">
        <v>3.3</v>
      </c>
      <c r="N85" s="190">
        <v>-3.7900874635568613E-2</v>
      </c>
      <c r="O85" s="156" t="s">
        <v>341</v>
      </c>
      <c r="P85" s="157" t="s">
        <v>337</v>
      </c>
    </row>
    <row r="86" spans="1:16" ht="34">
      <c r="A86" s="148" t="s">
        <v>257</v>
      </c>
      <c r="B86" s="221">
        <v>3.43</v>
      </c>
      <c r="C86" s="221">
        <v>0</v>
      </c>
      <c r="D86" s="221">
        <v>0</v>
      </c>
      <c r="E86" s="221">
        <v>0</v>
      </c>
      <c r="F86" s="221">
        <v>0</v>
      </c>
      <c r="G86" s="221">
        <v>3.43</v>
      </c>
      <c r="H86" s="221">
        <v>3.3</v>
      </c>
      <c r="I86" s="221">
        <v>0</v>
      </c>
      <c r="J86" s="221">
        <v>0</v>
      </c>
      <c r="K86" s="221">
        <v>0</v>
      </c>
      <c r="L86" s="221">
        <v>0</v>
      </c>
      <c r="M86" s="221">
        <v>3.3</v>
      </c>
      <c r="N86" s="222">
        <v>-3.7900874635568613E-2</v>
      </c>
      <c r="O86" s="233"/>
      <c r="P86" s="234"/>
    </row>
    <row r="87" spans="1:16" ht="16">
      <c r="A87" s="149"/>
      <c r="B87" s="217"/>
      <c r="C87" s="217"/>
      <c r="D87" s="217"/>
      <c r="E87" s="217"/>
      <c r="F87" s="217"/>
      <c r="G87" s="217"/>
      <c r="H87" s="217"/>
      <c r="I87" s="217"/>
      <c r="J87" s="217"/>
      <c r="K87" s="217"/>
      <c r="L87" s="217"/>
      <c r="M87" s="217"/>
      <c r="N87" s="183"/>
      <c r="O87" s="149"/>
      <c r="P87" s="149"/>
    </row>
    <row r="88" spans="1:16" ht="17">
      <c r="A88" s="158" t="s">
        <v>258</v>
      </c>
      <c r="B88" s="202"/>
      <c r="C88" s="202"/>
      <c r="D88" s="202"/>
      <c r="E88" s="202"/>
      <c r="F88" s="202"/>
      <c r="G88" s="202"/>
      <c r="H88" s="202"/>
      <c r="I88" s="202"/>
      <c r="J88" s="202"/>
      <c r="K88" s="202"/>
      <c r="L88" s="202"/>
      <c r="M88" s="202"/>
      <c r="N88" s="203"/>
      <c r="O88" s="220"/>
      <c r="P88" s="220"/>
    </row>
    <row r="89" spans="1:16" ht="34">
      <c r="A89" s="147" t="s">
        <v>258</v>
      </c>
      <c r="B89" s="193">
        <v>4.92</v>
      </c>
      <c r="C89" s="193">
        <v>0.214</v>
      </c>
      <c r="D89" s="193">
        <v>0.2</v>
      </c>
      <c r="E89" s="193">
        <v>0</v>
      </c>
      <c r="F89" s="193">
        <v>0</v>
      </c>
      <c r="G89" s="194">
        <v>5.3340000000000005</v>
      </c>
      <c r="H89" s="188">
        <v>5.3179999999999996</v>
      </c>
      <c r="I89" s="188">
        <v>0.23599999999999999</v>
      </c>
      <c r="J89" s="188">
        <v>0.4</v>
      </c>
      <c r="K89" s="188">
        <v>0</v>
      </c>
      <c r="L89" s="188">
        <v>0</v>
      </c>
      <c r="M89" s="194">
        <v>5.9539999999999997</v>
      </c>
      <c r="N89" s="190">
        <v>0.11623547056617907</v>
      </c>
      <c r="O89" s="147" t="s">
        <v>342</v>
      </c>
      <c r="P89" s="242" t="s">
        <v>343</v>
      </c>
    </row>
    <row r="90" spans="1:16" ht="17">
      <c r="A90" s="148" t="s">
        <v>259</v>
      </c>
      <c r="B90" s="221">
        <v>4.92</v>
      </c>
      <c r="C90" s="221">
        <v>0.214</v>
      </c>
      <c r="D90" s="221">
        <v>0.2</v>
      </c>
      <c r="E90" s="221">
        <v>0</v>
      </c>
      <c r="F90" s="221">
        <v>0</v>
      </c>
      <c r="G90" s="221">
        <v>5.3340000000000005</v>
      </c>
      <c r="H90" s="221">
        <v>5.3179999999999996</v>
      </c>
      <c r="I90" s="221">
        <v>0.23599999999999999</v>
      </c>
      <c r="J90" s="221">
        <v>0.4</v>
      </c>
      <c r="K90" s="221">
        <v>0</v>
      </c>
      <c r="L90" s="221">
        <v>0</v>
      </c>
      <c r="M90" s="221">
        <v>5.9539999999999997</v>
      </c>
      <c r="N90" s="222">
        <v>0.11623547056617907</v>
      </c>
      <c r="O90" s="233"/>
      <c r="P90" s="234"/>
    </row>
    <row r="91" spans="1:16" ht="16">
      <c r="A91" s="149"/>
      <c r="B91" s="217"/>
      <c r="C91" s="217"/>
      <c r="D91" s="217"/>
      <c r="E91" s="217"/>
      <c r="F91" s="217"/>
      <c r="G91" s="217"/>
      <c r="H91" s="217"/>
      <c r="I91" s="217"/>
      <c r="J91" s="217"/>
      <c r="K91" s="217"/>
      <c r="L91" s="217"/>
      <c r="M91" s="217"/>
      <c r="N91" s="183"/>
      <c r="O91" s="217"/>
      <c r="P91" s="217"/>
    </row>
    <row r="92" spans="1:16" ht="17">
      <c r="A92" s="146" t="s">
        <v>260</v>
      </c>
      <c r="B92" s="235"/>
      <c r="C92" s="235"/>
      <c r="D92" s="235"/>
      <c r="E92" s="235"/>
      <c r="F92" s="235"/>
      <c r="G92" s="235"/>
      <c r="H92" s="235"/>
      <c r="I92" s="235"/>
      <c r="J92" s="235"/>
      <c r="K92" s="235"/>
      <c r="L92" s="235"/>
      <c r="M92" s="235"/>
      <c r="N92" s="236"/>
      <c r="O92" s="243"/>
      <c r="P92" s="243"/>
    </row>
    <row r="93" spans="1:16" ht="85">
      <c r="A93" s="156" t="s">
        <v>261</v>
      </c>
      <c r="B93" s="193">
        <v>7094.5649999999996</v>
      </c>
      <c r="C93" s="193">
        <v>0</v>
      </c>
      <c r="D93" s="193">
        <v>0</v>
      </c>
      <c r="E93" s="193">
        <v>0</v>
      </c>
      <c r="F93" s="193">
        <v>0</v>
      </c>
      <c r="G93" s="194">
        <v>7094.5649999999996</v>
      </c>
      <c r="H93" s="188">
        <v>7133.8870000000006</v>
      </c>
      <c r="I93" s="188">
        <v>0</v>
      </c>
      <c r="J93" s="188">
        <v>0</v>
      </c>
      <c r="K93" s="188">
        <v>0</v>
      </c>
      <c r="L93" s="188">
        <v>0</v>
      </c>
      <c r="M93" s="194">
        <v>7133.8870000000006</v>
      </c>
      <c r="N93" s="190">
        <v>5.5425526441721272E-3</v>
      </c>
      <c r="O93" s="156" t="s">
        <v>344</v>
      </c>
      <c r="P93" s="157" t="s">
        <v>337</v>
      </c>
    </row>
    <row r="94" spans="1:16" ht="17">
      <c r="A94" s="159" t="s">
        <v>262</v>
      </c>
      <c r="B94" s="188">
        <v>0</v>
      </c>
      <c r="C94" s="188">
        <v>0</v>
      </c>
      <c r="D94" s="188">
        <v>0</v>
      </c>
      <c r="E94" s="188">
        <v>0</v>
      </c>
      <c r="F94" s="188">
        <v>2766</v>
      </c>
      <c r="G94" s="189">
        <v>2766</v>
      </c>
      <c r="H94" s="188">
        <v>0</v>
      </c>
      <c r="I94" s="188">
        <v>0</v>
      </c>
      <c r="J94" s="188">
        <v>0</v>
      </c>
      <c r="K94" s="188">
        <v>0</v>
      </c>
      <c r="L94" s="188">
        <v>3047</v>
      </c>
      <c r="M94" s="189">
        <v>3047</v>
      </c>
      <c r="N94" s="190">
        <v>0.10159074475777295</v>
      </c>
      <c r="O94" s="159" t="s">
        <v>345</v>
      </c>
      <c r="P94" s="227" t="s">
        <v>337</v>
      </c>
    </row>
    <row r="95" spans="1:16" ht="34">
      <c r="A95" s="159" t="s">
        <v>263</v>
      </c>
      <c r="B95" s="188">
        <v>0</v>
      </c>
      <c r="C95" s="188">
        <v>0</v>
      </c>
      <c r="D95" s="188">
        <v>510.5</v>
      </c>
      <c r="E95" s="188">
        <v>0</v>
      </c>
      <c r="F95" s="188">
        <v>0</v>
      </c>
      <c r="G95" s="189">
        <v>510.5</v>
      </c>
      <c r="H95" s="188">
        <v>0</v>
      </c>
      <c r="I95" s="188">
        <v>0</v>
      </c>
      <c r="J95" s="188">
        <v>607.6</v>
      </c>
      <c r="K95" s="188">
        <v>0</v>
      </c>
      <c r="L95" s="188">
        <v>0</v>
      </c>
      <c r="M95" s="189">
        <v>607.6</v>
      </c>
      <c r="N95" s="190">
        <v>0.19020568070519103</v>
      </c>
      <c r="O95" s="159" t="s">
        <v>346</v>
      </c>
      <c r="P95" s="227" t="s">
        <v>337</v>
      </c>
    </row>
    <row r="96" spans="1:16" ht="51">
      <c r="A96" s="151" t="s">
        <v>264</v>
      </c>
      <c r="B96" s="188">
        <v>752.1</v>
      </c>
      <c r="C96" s="188">
        <v>0</v>
      </c>
      <c r="D96" s="188">
        <v>0</v>
      </c>
      <c r="E96" s="188">
        <v>0</v>
      </c>
      <c r="F96" s="188">
        <v>0</v>
      </c>
      <c r="G96" s="189">
        <v>752.1</v>
      </c>
      <c r="H96" s="188">
        <v>752.1</v>
      </c>
      <c r="I96" s="188">
        <v>0</v>
      </c>
      <c r="J96" s="188">
        <v>0</v>
      </c>
      <c r="K96" s="188">
        <v>0</v>
      </c>
      <c r="L96" s="188">
        <v>0</v>
      </c>
      <c r="M96" s="189">
        <v>752.1</v>
      </c>
      <c r="N96" s="190">
        <v>0</v>
      </c>
      <c r="O96" s="159" t="s">
        <v>347</v>
      </c>
      <c r="P96" s="227" t="s">
        <v>337</v>
      </c>
    </row>
    <row r="97" spans="1:16" ht="34">
      <c r="A97" s="151" t="s">
        <v>265</v>
      </c>
      <c r="B97" s="188">
        <v>0</v>
      </c>
      <c r="C97" s="188">
        <v>0</v>
      </c>
      <c r="D97" s="188">
        <v>139</v>
      </c>
      <c r="E97" s="188">
        <v>0</v>
      </c>
      <c r="F97" s="188">
        <v>0</v>
      </c>
      <c r="G97" s="189">
        <v>139</v>
      </c>
      <c r="H97" s="188">
        <v>0</v>
      </c>
      <c r="I97" s="188">
        <v>0</v>
      </c>
      <c r="J97" s="188">
        <v>139</v>
      </c>
      <c r="K97" s="188">
        <v>0</v>
      </c>
      <c r="L97" s="188">
        <v>0</v>
      </c>
      <c r="M97" s="189">
        <v>139</v>
      </c>
      <c r="N97" s="190">
        <v>0</v>
      </c>
      <c r="O97" s="159" t="s">
        <v>348</v>
      </c>
      <c r="P97" s="227" t="s">
        <v>337</v>
      </c>
    </row>
    <row r="98" spans="1:16" ht="16">
      <c r="A98" s="160" t="s">
        <v>266</v>
      </c>
      <c r="B98" s="224"/>
      <c r="C98" s="224"/>
      <c r="D98" s="224"/>
      <c r="E98" s="224"/>
      <c r="F98" s="224"/>
      <c r="G98" s="224"/>
      <c r="H98" s="224"/>
      <c r="I98" s="224"/>
      <c r="J98" s="224"/>
      <c r="K98" s="224"/>
      <c r="L98" s="224"/>
      <c r="M98" s="224"/>
      <c r="N98" s="225"/>
      <c r="O98" s="232"/>
      <c r="P98" s="232"/>
    </row>
    <row r="99" spans="1:16" ht="34">
      <c r="A99" s="159" t="s">
        <v>266</v>
      </c>
      <c r="B99" s="188">
        <v>4.1399999999999997</v>
      </c>
      <c r="C99" s="188">
        <v>0</v>
      </c>
      <c r="D99" s="188">
        <v>0</v>
      </c>
      <c r="E99" s="188">
        <v>0</v>
      </c>
      <c r="F99" s="188">
        <v>0</v>
      </c>
      <c r="G99" s="189">
        <v>4.1399999999999997</v>
      </c>
      <c r="H99" s="188">
        <v>4.0520000000000005</v>
      </c>
      <c r="I99" s="188">
        <v>0</v>
      </c>
      <c r="J99" s="188">
        <v>0</v>
      </c>
      <c r="K99" s="188">
        <v>0</v>
      </c>
      <c r="L99" s="188">
        <v>0</v>
      </c>
      <c r="M99" s="189">
        <v>4.0520000000000005</v>
      </c>
      <c r="N99" s="190">
        <v>-2.1256038647342802E-2</v>
      </c>
      <c r="O99" s="159" t="s">
        <v>349</v>
      </c>
      <c r="P99" s="227" t="s">
        <v>337</v>
      </c>
    </row>
    <row r="100" spans="1:16" ht="34">
      <c r="A100" s="156" t="s">
        <v>267</v>
      </c>
      <c r="B100" s="193">
        <v>0.45</v>
      </c>
      <c r="C100" s="193">
        <v>0</v>
      </c>
      <c r="D100" s="193">
        <v>0</v>
      </c>
      <c r="E100" s="193">
        <v>0</v>
      </c>
      <c r="F100" s="193">
        <v>0</v>
      </c>
      <c r="G100" s="194">
        <v>0.45</v>
      </c>
      <c r="H100" s="188">
        <v>0.435</v>
      </c>
      <c r="I100" s="188">
        <v>0</v>
      </c>
      <c r="J100" s="188">
        <v>0</v>
      </c>
      <c r="K100" s="188">
        <v>0</v>
      </c>
      <c r="L100" s="188">
        <v>0</v>
      </c>
      <c r="M100" s="194">
        <v>0.435</v>
      </c>
      <c r="N100" s="190">
        <v>-3.3333333333333361E-2</v>
      </c>
      <c r="O100" s="156" t="s">
        <v>350</v>
      </c>
      <c r="P100" s="157" t="s">
        <v>337</v>
      </c>
    </row>
    <row r="101" spans="1:16" ht="34">
      <c r="A101" s="155" t="s">
        <v>268</v>
      </c>
      <c r="B101" s="228">
        <v>4.59</v>
      </c>
      <c r="C101" s="228">
        <v>0</v>
      </c>
      <c r="D101" s="228">
        <v>0</v>
      </c>
      <c r="E101" s="228">
        <v>0</v>
      </c>
      <c r="F101" s="228">
        <v>0</v>
      </c>
      <c r="G101" s="228">
        <v>4.59</v>
      </c>
      <c r="H101" s="228">
        <v>4.4870000000000001</v>
      </c>
      <c r="I101" s="228">
        <v>0</v>
      </c>
      <c r="J101" s="228">
        <v>0</v>
      </c>
      <c r="K101" s="228">
        <v>0</v>
      </c>
      <c r="L101" s="228">
        <v>0</v>
      </c>
      <c r="M101" s="228">
        <v>4.4870000000000001</v>
      </c>
      <c r="N101" s="229">
        <v>-2.2440087145969446E-2</v>
      </c>
      <c r="O101" s="230"/>
      <c r="P101" s="231"/>
    </row>
    <row r="102" spans="1:16" ht="17">
      <c r="A102" s="148" t="s">
        <v>269</v>
      </c>
      <c r="B102" s="221">
        <v>7851.2550000000001</v>
      </c>
      <c r="C102" s="221">
        <v>0</v>
      </c>
      <c r="D102" s="221">
        <v>649.5</v>
      </c>
      <c r="E102" s="221">
        <v>0</v>
      </c>
      <c r="F102" s="221">
        <v>2766</v>
      </c>
      <c r="G102" s="221">
        <v>11266.754999999999</v>
      </c>
      <c r="H102" s="221">
        <v>7890.4740000000011</v>
      </c>
      <c r="I102" s="221">
        <v>0</v>
      </c>
      <c r="J102" s="221">
        <v>746.6</v>
      </c>
      <c r="K102" s="221">
        <v>0</v>
      </c>
      <c r="L102" s="221">
        <v>3047</v>
      </c>
      <c r="M102" s="221">
        <v>11684.074000000001</v>
      </c>
      <c r="N102" s="222">
        <v>3.7039857527744358E-2</v>
      </c>
      <c r="O102" s="233"/>
      <c r="P102" s="234"/>
    </row>
    <row r="103" spans="1:16" ht="16">
      <c r="A103" s="149"/>
      <c r="B103" s="217"/>
      <c r="C103" s="217"/>
      <c r="D103" s="217"/>
      <c r="E103" s="217"/>
      <c r="F103" s="217"/>
      <c r="G103" s="217"/>
      <c r="H103" s="217"/>
      <c r="I103" s="217"/>
      <c r="J103" s="217"/>
      <c r="K103" s="217"/>
      <c r="L103" s="217"/>
      <c r="M103" s="217"/>
      <c r="N103" s="183"/>
      <c r="O103" s="149"/>
      <c r="P103" s="149"/>
    </row>
    <row r="104" spans="1:16" ht="17">
      <c r="A104" s="158" t="s">
        <v>270</v>
      </c>
      <c r="B104" s="202"/>
      <c r="C104" s="202"/>
      <c r="D104" s="202"/>
      <c r="E104" s="202"/>
      <c r="F104" s="202"/>
      <c r="G104" s="202"/>
      <c r="H104" s="202"/>
      <c r="I104" s="202"/>
      <c r="J104" s="202"/>
      <c r="K104" s="202"/>
      <c r="L104" s="202"/>
      <c r="M104" s="202"/>
      <c r="N104" s="203"/>
      <c r="O104" s="220"/>
      <c r="P104" s="220"/>
    </row>
    <row r="105" spans="1:16" ht="51">
      <c r="A105" s="147" t="s">
        <v>270</v>
      </c>
      <c r="B105" s="193">
        <v>0</v>
      </c>
      <c r="C105" s="193">
        <v>0</v>
      </c>
      <c r="D105" s="193">
        <v>0</v>
      </c>
      <c r="E105" s="193">
        <v>0</v>
      </c>
      <c r="F105" s="193">
        <v>0</v>
      </c>
      <c r="G105" s="194">
        <v>0</v>
      </c>
      <c r="H105" s="188">
        <v>72.292000000000002</v>
      </c>
      <c r="I105" s="188">
        <v>0</v>
      </c>
      <c r="J105" s="188">
        <v>0</v>
      </c>
      <c r="K105" s="188">
        <v>0</v>
      </c>
      <c r="L105" s="188">
        <v>0</v>
      </c>
      <c r="M105" s="194">
        <v>72.292000000000002</v>
      </c>
      <c r="N105" s="190" t="s">
        <v>155</v>
      </c>
      <c r="O105" s="156" t="s">
        <v>351</v>
      </c>
      <c r="P105" s="157" t="s">
        <v>352</v>
      </c>
    </row>
    <row r="106" spans="1:16" ht="17">
      <c r="A106" s="148" t="s">
        <v>271</v>
      </c>
      <c r="B106" s="221">
        <v>0</v>
      </c>
      <c r="C106" s="221">
        <v>0</v>
      </c>
      <c r="D106" s="221">
        <v>0</v>
      </c>
      <c r="E106" s="221">
        <v>0</v>
      </c>
      <c r="F106" s="221">
        <v>0</v>
      </c>
      <c r="G106" s="221">
        <v>0</v>
      </c>
      <c r="H106" s="221">
        <v>72.292000000000002</v>
      </c>
      <c r="I106" s="221">
        <v>0</v>
      </c>
      <c r="J106" s="221">
        <v>0</v>
      </c>
      <c r="K106" s="221">
        <v>0</v>
      </c>
      <c r="L106" s="221">
        <v>0</v>
      </c>
      <c r="M106" s="221">
        <v>72.292000000000002</v>
      </c>
      <c r="N106" s="222" t="s">
        <v>155</v>
      </c>
      <c r="O106" s="233"/>
      <c r="P106" s="234"/>
    </row>
    <row r="107" spans="1:16" ht="16">
      <c r="A107" s="161"/>
      <c r="B107" s="244"/>
      <c r="C107" s="244"/>
      <c r="D107" s="244"/>
      <c r="E107" s="244"/>
      <c r="F107" s="244"/>
      <c r="G107" s="244"/>
      <c r="H107" s="244"/>
      <c r="I107" s="244"/>
      <c r="J107" s="244"/>
      <c r="K107" s="244"/>
      <c r="L107" s="244"/>
      <c r="M107" s="244"/>
      <c r="N107" s="245"/>
      <c r="O107" s="246"/>
      <c r="P107" s="246"/>
    </row>
    <row r="108" spans="1:16" ht="17">
      <c r="A108" s="162" t="s">
        <v>272</v>
      </c>
      <c r="B108" s="247">
        <v>0</v>
      </c>
      <c r="C108" s="247">
        <v>0</v>
      </c>
      <c r="D108" s="247">
        <v>0</v>
      </c>
      <c r="E108" s="247">
        <v>0</v>
      </c>
      <c r="F108" s="247">
        <v>0</v>
      </c>
      <c r="G108" s="248">
        <v>0</v>
      </c>
      <c r="H108" s="248">
        <v>0</v>
      </c>
      <c r="I108" s="248">
        <v>0</v>
      </c>
      <c r="J108" s="248">
        <v>0</v>
      </c>
      <c r="K108" s="248">
        <v>0</v>
      </c>
      <c r="L108" s="248">
        <v>0</v>
      </c>
      <c r="M108" s="248">
        <v>0</v>
      </c>
      <c r="N108" s="249"/>
      <c r="O108" s="246"/>
      <c r="P108" s="246"/>
    </row>
    <row r="109" spans="1:16" ht="18">
      <c r="A109" s="163"/>
      <c r="B109" s="250"/>
      <c r="C109" s="250"/>
      <c r="D109" s="250"/>
      <c r="E109" s="250"/>
      <c r="F109" s="250"/>
      <c r="G109" s="250"/>
      <c r="H109" s="250"/>
      <c r="I109" s="250"/>
      <c r="J109" s="250"/>
      <c r="K109" s="250"/>
      <c r="L109" s="250"/>
      <c r="M109" s="250"/>
      <c r="N109" s="251"/>
      <c r="O109" s="252"/>
      <c r="P109" s="252"/>
    </row>
    <row r="110" spans="1:16" ht="34">
      <c r="A110" s="164" t="s">
        <v>273</v>
      </c>
      <c r="B110" s="253">
        <v>12536.531999999999</v>
      </c>
      <c r="C110" s="253">
        <v>50.275999999999996</v>
      </c>
      <c r="D110" s="253">
        <v>1341.2</v>
      </c>
      <c r="E110" s="253">
        <v>150</v>
      </c>
      <c r="F110" s="253">
        <v>2766</v>
      </c>
      <c r="G110" s="253">
        <v>16844.008000000002</v>
      </c>
      <c r="H110" s="253">
        <v>13765.260694834924</v>
      </c>
      <c r="I110" s="253">
        <v>66.899000000000001</v>
      </c>
      <c r="J110" s="253">
        <v>1332.9</v>
      </c>
      <c r="K110" s="253">
        <v>84.6</v>
      </c>
      <c r="L110" s="253">
        <v>3047</v>
      </c>
      <c r="M110" s="253">
        <v>18296.659694834925</v>
      </c>
      <c r="N110" s="254">
        <v>8.6241451252868279E-2</v>
      </c>
      <c r="O110" s="246"/>
      <c r="P110" s="246"/>
    </row>
    <row r="111" spans="1:16" ht="16">
      <c r="A111" s="165"/>
      <c r="B111" s="246"/>
      <c r="C111" s="246"/>
      <c r="D111" s="246"/>
      <c r="E111" s="246"/>
      <c r="F111" s="246"/>
      <c r="G111" s="246"/>
      <c r="H111" s="246"/>
      <c r="I111" s="246"/>
      <c r="J111" s="246"/>
      <c r="K111" s="246"/>
      <c r="L111" s="246"/>
      <c r="M111" s="246"/>
      <c r="N111" s="255"/>
      <c r="O111" s="246"/>
      <c r="P111" s="246"/>
    </row>
    <row r="112" spans="1:16" ht="16">
      <c r="A112" s="165"/>
      <c r="B112" s="246"/>
      <c r="C112" s="246"/>
      <c r="D112" s="246"/>
      <c r="E112" s="246"/>
      <c r="F112" s="246"/>
      <c r="G112" s="246"/>
      <c r="H112" s="246"/>
      <c r="I112" s="246"/>
      <c r="J112" s="246"/>
      <c r="K112" s="246"/>
      <c r="L112" s="246"/>
      <c r="M112" s="246"/>
      <c r="N112" s="255"/>
      <c r="O112" s="246"/>
      <c r="P112" s="246"/>
    </row>
    <row r="113" spans="1:16" ht="34">
      <c r="A113" s="166" t="s">
        <v>274</v>
      </c>
      <c r="B113" s="185"/>
      <c r="C113" s="185"/>
      <c r="D113" s="185"/>
      <c r="E113" s="185"/>
      <c r="F113" s="185"/>
      <c r="G113" s="185"/>
      <c r="H113" s="185"/>
      <c r="I113" s="185"/>
      <c r="J113" s="185"/>
      <c r="K113" s="185"/>
      <c r="L113" s="185"/>
      <c r="M113" s="185"/>
      <c r="N113" s="186"/>
      <c r="O113" s="187"/>
      <c r="P113" s="187"/>
    </row>
    <row r="114" spans="1:16" ht="34">
      <c r="A114" s="167" t="s">
        <v>275</v>
      </c>
      <c r="B114" s="188">
        <v>0</v>
      </c>
      <c r="C114" s="188">
        <v>0</v>
      </c>
      <c r="D114" s="188">
        <v>0</v>
      </c>
      <c r="E114" s="188">
        <v>0</v>
      </c>
      <c r="F114" s="188">
        <v>0</v>
      </c>
      <c r="G114" s="189">
        <v>0</v>
      </c>
      <c r="H114" s="188">
        <v>0</v>
      </c>
      <c r="I114" s="188">
        <v>0</v>
      </c>
      <c r="J114" s="188">
        <v>0</v>
      </c>
      <c r="K114" s="188">
        <v>0</v>
      </c>
      <c r="L114" s="188">
        <v>0</v>
      </c>
      <c r="M114" s="189">
        <v>0</v>
      </c>
      <c r="N114" s="190" t="s">
        <v>155</v>
      </c>
      <c r="O114" s="205" t="s">
        <v>337</v>
      </c>
      <c r="P114" s="192" t="s">
        <v>337</v>
      </c>
    </row>
    <row r="115" spans="1:16" ht="34">
      <c r="A115" s="168" t="s">
        <v>276</v>
      </c>
      <c r="B115" s="195">
        <v>0</v>
      </c>
      <c r="C115" s="195">
        <v>0</v>
      </c>
      <c r="D115" s="195">
        <v>0</v>
      </c>
      <c r="E115" s="195">
        <v>0</v>
      </c>
      <c r="F115" s="195">
        <v>0</v>
      </c>
      <c r="G115" s="195">
        <v>0</v>
      </c>
      <c r="H115" s="195">
        <v>0</v>
      </c>
      <c r="I115" s="195">
        <v>0</v>
      </c>
      <c r="J115" s="195">
        <v>0</v>
      </c>
      <c r="K115" s="195">
        <v>0</v>
      </c>
      <c r="L115" s="195">
        <v>0</v>
      </c>
      <c r="M115" s="195">
        <v>0</v>
      </c>
      <c r="N115" s="196" t="s">
        <v>155</v>
      </c>
      <c r="O115" s="197"/>
      <c r="P115" s="198"/>
    </row>
    <row r="116" spans="1:16" ht="16">
      <c r="A116" s="165"/>
      <c r="B116" s="246"/>
      <c r="C116" s="246"/>
      <c r="D116" s="246"/>
      <c r="E116" s="246"/>
      <c r="F116" s="246"/>
      <c r="G116" s="246"/>
      <c r="H116" s="246"/>
      <c r="I116" s="246"/>
      <c r="J116" s="246"/>
      <c r="K116" s="246"/>
      <c r="L116" s="246"/>
      <c r="M116" s="246"/>
      <c r="N116" s="255"/>
      <c r="O116" s="246"/>
      <c r="P116" s="246"/>
    </row>
    <row r="117" spans="1:16" ht="17">
      <c r="A117" s="135" t="s">
        <v>277</v>
      </c>
      <c r="B117" s="185"/>
      <c r="C117" s="185"/>
      <c r="D117" s="185"/>
      <c r="E117" s="185"/>
      <c r="F117" s="185"/>
      <c r="G117" s="185"/>
      <c r="H117" s="185"/>
      <c r="I117" s="185"/>
      <c r="J117" s="185"/>
      <c r="K117" s="185"/>
      <c r="L117" s="185"/>
      <c r="M117" s="185"/>
      <c r="N117" s="186"/>
      <c r="O117" s="187"/>
      <c r="P117" s="187"/>
    </row>
    <row r="118" spans="1:16" ht="34">
      <c r="A118" s="141" t="s">
        <v>278</v>
      </c>
      <c r="B118" s="188">
        <v>0</v>
      </c>
      <c r="C118" s="188">
        <v>0</v>
      </c>
      <c r="D118" s="188">
        <v>0</v>
      </c>
      <c r="E118" s="188">
        <v>0</v>
      </c>
      <c r="F118" s="188">
        <v>0</v>
      </c>
      <c r="G118" s="189">
        <v>0</v>
      </c>
      <c r="H118" s="188">
        <v>0</v>
      </c>
      <c r="I118" s="188">
        <v>0</v>
      </c>
      <c r="J118" s="188">
        <v>0</v>
      </c>
      <c r="K118" s="188">
        <v>0</v>
      </c>
      <c r="L118" s="188">
        <v>0</v>
      </c>
      <c r="M118" s="189">
        <v>0</v>
      </c>
      <c r="N118" s="190" t="s">
        <v>155</v>
      </c>
      <c r="O118" s="205" t="s">
        <v>337</v>
      </c>
      <c r="P118" s="192" t="s">
        <v>337</v>
      </c>
    </row>
    <row r="119" spans="1:16" ht="17">
      <c r="A119" s="138" t="s">
        <v>279</v>
      </c>
      <c r="B119" s="195">
        <v>0</v>
      </c>
      <c r="C119" s="195">
        <v>0</v>
      </c>
      <c r="D119" s="195">
        <v>0</v>
      </c>
      <c r="E119" s="195">
        <v>0</v>
      </c>
      <c r="F119" s="195">
        <v>0</v>
      </c>
      <c r="G119" s="195">
        <v>0</v>
      </c>
      <c r="H119" s="195">
        <v>0</v>
      </c>
      <c r="I119" s="195">
        <v>0</v>
      </c>
      <c r="J119" s="195">
        <v>0</v>
      </c>
      <c r="K119" s="195">
        <v>0</v>
      </c>
      <c r="L119" s="195">
        <v>0</v>
      </c>
      <c r="M119" s="195">
        <v>0</v>
      </c>
      <c r="N119" s="196" t="s">
        <v>155</v>
      </c>
      <c r="O119" s="197"/>
      <c r="P119" s="198"/>
    </row>
    <row r="120" spans="1:16" ht="16">
      <c r="A120" s="165"/>
      <c r="B120" s="246"/>
      <c r="C120" s="246"/>
      <c r="D120" s="246"/>
      <c r="E120" s="246"/>
      <c r="F120" s="246"/>
      <c r="G120" s="246"/>
      <c r="H120" s="246"/>
      <c r="I120" s="246"/>
      <c r="J120" s="246"/>
      <c r="K120" s="246"/>
      <c r="L120" s="246"/>
      <c r="M120" s="246"/>
      <c r="N120" s="255"/>
      <c r="O120" s="246"/>
      <c r="P120" s="246"/>
    </row>
    <row r="121" spans="1:16" ht="16">
      <c r="A121" s="165"/>
      <c r="B121" s="246"/>
      <c r="C121" s="246"/>
      <c r="D121" s="246"/>
      <c r="E121" s="246"/>
      <c r="F121" s="246"/>
      <c r="G121" s="246"/>
      <c r="H121" s="246"/>
      <c r="I121" s="246"/>
      <c r="J121" s="246"/>
      <c r="K121" s="246"/>
      <c r="L121" s="246"/>
      <c r="M121" s="246"/>
      <c r="N121" s="255"/>
      <c r="O121" s="246"/>
      <c r="P121" s="246"/>
    </row>
    <row r="122" spans="1:16" ht="17">
      <c r="A122" s="164" t="s">
        <v>280</v>
      </c>
      <c r="B122" s="253"/>
      <c r="C122" s="253"/>
      <c r="D122" s="253"/>
      <c r="E122" s="253"/>
      <c r="F122" s="253"/>
      <c r="G122" s="253"/>
      <c r="H122" s="253"/>
      <c r="I122" s="253"/>
      <c r="J122" s="253"/>
      <c r="K122" s="253"/>
      <c r="L122" s="253"/>
      <c r="M122" s="253"/>
      <c r="N122" s="254"/>
      <c r="O122" s="246"/>
      <c r="P122" s="246"/>
    </row>
    <row r="123" spans="1:16" ht="16">
      <c r="A123" s="169"/>
      <c r="B123" s="256"/>
      <c r="C123" s="256"/>
      <c r="D123" s="256"/>
      <c r="E123" s="256"/>
      <c r="F123" s="256"/>
      <c r="G123" s="256"/>
      <c r="H123" s="256"/>
      <c r="I123" s="256"/>
      <c r="J123" s="256"/>
      <c r="K123" s="256"/>
      <c r="L123" s="256"/>
      <c r="M123" s="256"/>
      <c r="N123" s="257"/>
      <c r="O123" s="246"/>
      <c r="P123" s="246"/>
    </row>
    <row r="124" spans="1:16" ht="34">
      <c r="A124" s="170" t="s">
        <v>281</v>
      </c>
      <c r="B124" s="188">
        <v>0</v>
      </c>
      <c r="C124" s="188">
        <v>0</v>
      </c>
      <c r="D124" s="188">
        <v>7.6050000000000004</v>
      </c>
      <c r="E124" s="188">
        <v>0</v>
      </c>
      <c r="F124" s="188">
        <v>0</v>
      </c>
      <c r="G124" s="258">
        <v>7.6050000000000004</v>
      </c>
      <c r="H124" s="188">
        <v>0</v>
      </c>
      <c r="I124" s="188">
        <v>0</v>
      </c>
      <c r="J124" s="188">
        <v>7.6050000000000004</v>
      </c>
      <c r="K124" s="188">
        <v>0</v>
      </c>
      <c r="L124" s="188">
        <v>0</v>
      </c>
      <c r="M124" s="258">
        <v>7.6050000000000004</v>
      </c>
      <c r="N124" s="190">
        <v>0</v>
      </c>
      <c r="O124" s="159" t="s">
        <v>353</v>
      </c>
      <c r="P124" s="227" t="s">
        <v>331</v>
      </c>
    </row>
    <row r="125" spans="1:16" ht="34">
      <c r="A125" s="170" t="s">
        <v>282</v>
      </c>
      <c r="B125" s="188">
        <v>0</v>
      </c>
      <c r="C125" s="188">
        <v>0</v>
      </c>
      <c r="D125" s="188">
        <v>92.245000000000005</v>
      </c>
      <c r="E125" s="188">
        <v>0</v>
      </c>
      <c r="F125" s="188">
        <v>0</v>
      </c>
      <c r="G125" s="258">
        <v>92.245000000000005</v>
      </c>
      <c r="H125" s="188">
        <v>0</v>
      </c>
      <c r="I125" s="188">
        <v>0</v>
      </c>
      <c r="J125" s="188">
        <v>92.245000000000005</v>
      </c>
      <c r="K125" s="188">
        <v>0</v>
      </c>
      <c r="L125" s="188">
        <v>0</v>
      </c>
      <c r="M125" s="258">
        <v>92.245000000000005</v>
      </c>
      <c r="N125" s="190">
        <v>0</v>
      </c>
      <c r="O125" s="159" t="s">
        <v>354</v>
      </c>
      <c r="P125" s="227" t="s">
        <v>331</v>
      </c>
    </row>
    <row r="126" spans="1:16" ht="16">
      <c r="A126" s="171"/>
      <c r="B126" s="259"/>
      <c r="C126" s="259"/>
      <c r="D126" s="259"/>
      <c r="E126" s="259"/>
      <c r="F126" s="259"/>
      <c r="G126" s="259"/>
      <c r="H126" s="259"/>
      <c r="I126" s="259"/>
      <c r="J126" s="259"/>
      <c r="K126" s="259"/>
      <c r="L126" s="259"/>
      <c r="M126" s="259"/>
      <c r="N126" s="260"/>
      <c r="O126" s="246"/>
      <c r="P126" s="246"/>
    </row>
    <row r="127" spans="1:16" ht="17">
      <c r="A127" s="164" t="s">
        <v>280</v>
      </c>
      <c r="B127" s="253">
        <v>0</v>
      </c>
      <c r="C127" s="253">
        <v>0</v>
      </c>
      <c r="D127" s="253">
        <v>99.850000000000009</v>
      </c>
      <c r="E127" s="253">
        <v>0</v>
      </c>
      <c r="F127" s="253">
        <v>0</v>
      </c>
      <c r="G127" s="253">
        <v>99.850000000000009</v>
      </c>
      <c r="H127" s="253">
        <v>0</v>
      </c>
      <c r="I127" s="253">
        <v>0</v>
      </c>
      <c r="J127" s="253">
        <v>99.850000000000009</v>
      </c>
      <c r="K127" s="253">
        <v>0</v>
      </c>
      <c r="L127" s="253">
        <v>0</v>
      </c>
      <c r="M127" s="253">
        <v>99.850000000000009</v>
      </c>
      <c r="N127" s="254">
        <v>0</v>
      </c>
      <c r="O127" s="246"/>
      <c r="P127" s="246"/>
    </row>
    <row r="128" spans="1:16" ht="16">
      <c r="A128" s="172"/>
      <c r="B128" s="261"/>
      <c r="C128" s="261"/>
      <c r="D128" s="261"/>
      <c r="E128" s="261"/>
      <c r="F128" s="261"/>
      <c r="G128" s="261"/>
      <c r="H128" s="261"/>
      <c r="I128" s="261"/>
      <c r="J128" s="261"/>
      <c r="K128" s="261"/>
      <c r="L128" s="261"/>
      <c r="M128" s="261"/>
      <c r="N128" s="183"/>
      <c r="O128" s="172"/>
      <c r="P128" s="172"/>
    </row>
    <row r="131" spans="7:13">
      <c r="G131" s="262"/>
      <c r="M131" s="26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92"/>
  <sheetViews>
    <sheetView showGridLines="0" topLeftCell="C1" zoomScale="60" zoomScaleNormal="60" workbookViewId="0">
      <selection activeCell="N9" sqref="N9"/>
    </sheetView>
  </sheetViews>
  <sheetFormatPr baseColWidth="10" defaultColWidth="8.83203125" defaultRowHeight="15" outlineLevelCol="1"/>
  <cols>
    <col min="1" max="1" width="40.6640625" style="263" customWidth="1"/>
    <col min="2" max="13" width="17.6640625" style="312" customWidth="1" outlineLevel="1"/>
    <col min="14" max="14" width="17.6640625" style="313" customWidth="1" outlineLevel="1"/>
    <col min="15" max="16" width="75.6640625" style="314" customWidth="1" outlineLevel="1"/>
  </cols>
  <sheetData>
    <row r="1" spans="1:16" ht="16" thickBot="1"/>
    <row r="2" spans="1:16" ht="21">
      <c r="A2" s="264"/>
      <c r="B2" s="315"/>
      <c r="C2" s="316"/>
      <c r="D2" s="316"/>
      <c r="E2" s="316"/>
      <c r="F2" s="316"/>
      <c r="G2" s="317"/>
      <c r="H2" s="315"/>
      <c r="I2" s="316"/>
      <c r="J2" s="316"/>
      <c r="K2" s="316"/>
      <c r="L2" s="316"/>
      <c r="M2" s="317"/>
      <c r="N2" s="318"/>
      <c r="O2" s="319"/>
      <c r="P2" s="320"/>
    </row>
    <row r="3" spans="1:16" ht="136">
      <c r="A3" s="265" t="s">
        <v>355</v>
      </c>
      <c r="B3" s="321" t="s">
        <v>100</v>
      </c>
      <c r="C3" s="321" t="s">
        <v>101</v>
      </c>
      <c r="D3" s="321" t="s">
        <v>102</v>
      </c>
      <c r="E3" s="321" t="s">
        <v>103</v>
      </c>
      <c r="F3" s="321" t="s">
        <v>104</v>
      </c>
      <c r="G3" s="321" t="s">
        <v>105</v>
      </c>
      <c r="H3" s="321" t="s">
        <v>106</v>
      </c>
      <c r="I3" s="321" t="s">
        <v>107</v>
      </c>
      <c r="J3" s="321" t="s">
        <v>108</v>
      </c>
      <c r="K3" s="321" t="s">
        <v>109</v>
      </c>
      <c r="L3" s="321" t="s">
        <v>110</v>
      </c>
      <c r="M3" s="321" t="s">
        <v>111</v>
      </c>
      <c r="N3" s="43" t="s">
        <v>112</v>
      </c>
      <c r="O3" s="322" t="s">
        <v>113</v>
      </c>
      <c r="P3" s="323" t="s">
        <v>114</v>
      </c>
    </row>
    <row r="4" spans="1:16" ht="22" thickBot="1">
      <c r="A4" s="266"/>
      <c r="B4" s="324"/>
      <c r="C4" s="324"/>
      <c r="D4" s="324"/>
      <c r="E4" s="324"/>
      <c r="F4" s="324"/>
      <c r="G4" s="324"/>
      <c r="H4" s="324"/>
      <c r="I4" s="324"/>
      <c r="J4" s="324"/>
      <c r="K4" s="324"/>
      <c r="L4" s="324"/>
      <c r="M4" s="324"/>
      <c r="N4" s="325"/>
      <c r="O4" s="326"/>
      <c r="P4" s="326"/>
    </row>
    <row r="5" spans="1:16" ht="16">
      <c r="A5" s="267"/>
      <c r="B5" s="327"/>
      <c r="C5" s="327"/>
      <c r="D5" s="327"/>
      <c r="E5" s="327"/>
      <c r="F5" s="327"/>
      <c r="G5" s="328"/>
      <c r="H5" s="327"/>
      <c r="I5" s="327"/>
      <c r="J5" s="327"/>
      <c r="K5" s="327"/>
      <c r="L5" s="327"/>
      <c r="M5" s="328"/>
      <c r="N5" s="329"/>
      <c r="O5" s="267"/>
      <c r="P5" s="267"/>
    </row>
    <row r="6" spans="1:16" ht="17">
      <c r="A6" s="268" t="s">
        <v>356</v>
      </c>
      <c r="B6" s="330"/>
      <c r="C6" s="330"/>
      <c r="D6" s="330"/>
      <c r="E6" s="330"/>
      <c r="F6" s="330"/>
      <c r="G6" s="330"/>
      <c r="H6" s="330"/>
      <c r="I6" s="330"/>
      <c r="J6" s="330"/>
      <c r="K6" s="330"/>
      <c r="L6" s="330"/>
      <c r="M6" s="330"/>
      <c r="N6" s="331"/>
      <c r="O6" s="332"/>
      <c r="P6" s="332"/>
    </row>
    <row r="7" spans="1:16" ht="16">
      <c r="A7" s="269"/>
      <c r="B7" s="333"/>
      <c r="C7" s="333"/>
      <c r="D7" s="333"/>
      <c r="E7" s="333"/>
      <c r="F7" s="333"/>
      <c r="G7" s="333"/>
      <c r="H7" s="333"/>
      <c r="I7" s="333"/>
      <c r="J7" s="333"/>
      <c r="K7" s="333"/>
      <c r="L7" s="333"/>
      <c r="M7" s="333"/>
      <c r="N7" s="334"/>
      <c r="O7" s="295"/>
      <c r="P7" s="295"/>
    </row>
    <row r="8" spans="1:16" ht="17">
      <c r="A8" s="270" t="s">
        <v>356</v>
      </c>
      <c r="B8" s="335"/>
      <c r="C8" s="335"/>
      <c r="D8" s="335"/>
      <c r="E8" s="335"/>
      <c r="F8" s="335"/>
      <c r="G8" s="335"/>
      <c r="H8" s="335"/>
      <c r="I8" s="335"/>
      <c r="J8" s="335"/>
      <c r="K8" s="335"/>
      <c r="L8" s="335"/>
      <c r="M8" s="335"/>
      <c r="N8" s="336"/>
      <c r="O8" s="337"/>
      <c r="P8" s="337"/>
    </row>
    <row r="9" spans="1:16" ht="102">
      <c r="A9" s="271" t="s">
        <v>356</v>
      </c>
      <c r="B9" s="338">
        <v>7.2190000000000003</v>
      </c>
      <c r="C9" s="338">
        <v>0</v>
      </c>
      <c r="D9" s="338">
        <v>226</v>
      </c>
      <c r="E9" s="338">
        <v>0</v>
      </c>
      <c r="F9" s="338">
        <v>0</v>
      </c>
      <c r="G9" s="339">
        <v>233.21899999999999</v>
      </c>
      <c r="H9" s="340">
        <v>12.71</v>
      </c>
      <c r="I9" s="340">
        <v>0</v>
      </c>
      <c r="J9" s="340">
        <v>191.31</v>
      </c>
      <c r="K9" s="340">
        <v>0</v>
      </c>
      <c r="L9" s="340">
        <v>0</v>
      </c>
      <c r="M9" s="339">
        <v>204.02</v>
      </c>
      <c r="N9" s="341">
        <v>-0.12519991938907202</v>
      </c>
      <c r="O9" s="342" t="s">
        <v>479</v>
      </c>
      <c r="P9" s="343" t="s">
        <v>480</v>
      </c>
    </row>
    <row r="10" spans="1:16" ht="17">
      <c r="A10" s="272" t="s">
        <v>357</v>
      </c>
      <c r="B10" s="344">
        <v>7.2190000000000003</v>
      </c>
      <c r="C10" s="344">
        <v>0</v>
      </c>
      <c r="D10" s="344">
        <v>226</v>
      </c>
      <c r="E10" s="344">
        <v>0</v>
      </c>
      <c r="F10" s="344">
        <v>0</v>
      </c>
      <c r="G10" s="344">
        <v>233.21899999999999</v>
      </c>
      <c r="H10" s="344">
        <v>12.71</v>
      </c>
      <c r="I10" s="344">
        <v>0</v>
      </c>
      <c r="J10" s="344">
        <v>191.31</v>
      </c>
      <c r="K10" s="344">
        <v>0</v>
      </c>
      <c r="L10" s="344">
        <v>0</v>
      </c>
      <c r="M10" s="344">
        <v>204.02</v>
      </c>
      <c r="N10" s="345">
        <v>-0.12519991938907202</v>
      </c>
      <c r="O10" s="346"/>
      <c r="P10" s="347"/>
    </row>
    <row r="11" spans="1:16" ht="16">
      <c r="A11" s="269"/>
      <c r="B11" s="333"/>
      <c r="C11" s="333"/>
      <c r="D11" s="333"/>
      <c r="E11" s="333"/>
      <c r="F11" s="333"/>
      <c r="G11" s="333"/>
      <c r="H11" s="333"/>
      <c r="I11" s="333"/>
      <c r="J11" s="333"/>
      <c r="K11" s="333"/>
      <c r="L11" s="333"/>
      <c r="M11" s="333"/>
      <c r="N11" s="334"/>
      <c r="O11" s="295"/>
      <c r="P11" s="295"/>
    </row>
    <row r="12" spans="1:16" ht="17">
      <c r="A12" s="270" t="s">
        <v>358</v>
      </c>
      <c r="B12" s="335"/>
      <c r="C12" s="335"/>
      <c r="D12" s="335"/>
      <c r="E12" s="335"/>
      <c r="F12" s="335"/>
      <c r="G12" s="335"/>
      <c r="H12" s="335"/>
      <c r="I12" s="335"/>
      <c r="J12" s="335"/>
      <c r="K12" s="335"/>
      <c r="L12" s="335"/>
      <c r="M12" s="335"/>
      <c r="N12" s="336"/>
      <c r="O12" s="337"/>
      <c r="P12" s="337"/>
    </row>
    <row r="13" spans="1:16" ht="170">
      <c r="A13" s="273" t="s">
        <v>359</v>
      </c>
      <c r="B13" s="348">
        <v>16.349</v>
      </c>
      <c r="C13" s="348">
        <v>0</v>
      </c>
      <c r="D13" s="348">
        <v>80</v>
      </c>
      <c r="E13" s="348">
        <v>0</v>
      </c>
      <c r="F13" s="348">
        <v>0</v>
      </c>
      <c r="G13" s="349">
        <v>96.349000000000004</v>
      </c>
      <c r="H13" s="340">
        <v>13.7</v>
      </c>
      <c r="I13" s="340">
        <v>0</v>
      </c>
      <c r="J13" s="340">
        <v>62.5</v>
      </c>
      <c r="K13" s="340">
        <v>0</v>
      </c>
      <c r="L13" s="340">
        <v>0</v>
      </c>
      <c r="M13" s="349">
        <v>76.2</v>
      </c>
      <c r="N13" s="350">
        <v>-0.20912515957612429</v>
      </c>
      <c r="O13" s="273" t="s">
        <v>481</v>
      </c>
      <c r="P13" s="351" t="s">
        <v>482</v>
      </c>
    </row>
    <row r="14" spans="1:16" ht="17">
      <c r="A14" s="273" t="s">
        <v>360</v>
      </c>
      <c r="B14" s="348"/>
      <c r="C14" s="348"/>
      <c r="D14" s="348"/>
      <c r="E14" s="348"/>
      <c r="F14" s="348"/>
      <c r="G14" s="349"/>
      <c r="H14" s="340">
        <v>0</v>
      </c>
      <c r="I14" s="340"/>
      <c r="J14" s="340">
        <v>0</v>
      </c>
      <c r="K14" s="340">
        <v>-4</v>
      </c>
      <c r="L14" s="340"/>
      <c r="M14" s="349">
        <v>-4</v>
      </c>
      <c r="N14" s="350"/>
      <c r="O14" s="273"/>
      <c r="P14" s="351"/>
    </row>
    <row r="15" spans="1:16" ht="68">
      <c r="A15" s="273" t="s">
        <v>361</v>
      </c>
      <c r="B15" s="348">
        <v>0</v>
      </c>
      <c r="C15" s="348">
        <v>0</v>
      </c>
      <c r="D15" s="348">
        <v>0</v>
      </c>
      <c r="E15" s="348">
        <v>0</v>
      </c>
      <c r="F15" s="348">
        <v>0</v>
      </c>
      <c r="G15" s="349">
        <v>0</v>
      </c>
      <c r="H15" s="340">
        <v>0</v>
      </c>
      <c r="I15" s="340">
        <v>0</v>
      </c>
      <c r="J15" s="340">
        <v>-13</v>
      </c>
      <c r="K15" s="340">
        <v>0</v>
      </c>
      <c r="L15" s="340">
        <v>0</v>
      </c>
      <c r="M15" s="349">
        <v>-13</v>
      </c>
      <c r="N15" s="350" t="s">
        <v>155</v>
      </c>
      <c r="O15" s="273" t="s">
        <v>483</v>
      </c>
      <c r="P15" s="351" t="s">
        <v>484</v>
      </c>
    </row>
    <row r="16" spans="1:16" ht="17">
      <c r="A16" s="272" t="s">
        <v>362</v>
      </c>
      <c r="B16" s="344">
        <v>16.349</v>
      </c>
      <c r="C16" s="344">
        <v>0</v>
      </c>
      <c r="D16" s="344">
        <v>80</v>
      </c>
      <c r="E16" s="344">
        <v>0</v>
      </c>
      <c r="F16" s="344">
        <v>0</v>
      </c>
      <c r="G16" s="344">
        <v>96.349000000000004</v>
      </c>
      <c r="H16" s="344">
        <v>13.7</v>
      </c>
      <c r="I16" s="344">
        <v>0</v>
      </c>
      <c r="J16" s="344">
        <v>49.5</v>
      </c>
      <c r="K16" s="344">
        <v>-4</v>
      </c>
      <c r="L16" s="344">
        <v>0</v>
      </c>
      <c r="M16" s="344">
        <v>59.2</v>
      </c>
      <c r="N16" s="345">
        <v>-0.38556705310900996</v>
      </c>
      <c r="O16" s="346"/>
      <c r="P16" s="347"/>
    </row>
    <row r="17" spans="1:16" ht="16">
      <c r="A17" s="274"/>
      <c r="B17" s="352"/>
      <c r="C17" s="352"/>
      <c r="D17" s="352"/>
      <c r="E17" s="352"/>
      <c r="F17" s="352"/>
      <c r="G17" s="352"/>
      <c r="H17" s="352"/>
      <c r="I17" s="352"/>
      <c r="J17" s="352"/>
      <c r="K17" s="352"/>
      <c r="L17" s="352"/>
      <c r="M17" s="352"/>
      <c r="N17" s="353"/>
      <c r="O17" s="354"/>
      <c r="P17" s="354"/>
    </row>
    <row r="18" spans="1:16" ht="17">
      <c r="A18" s="275" t="s">
        <v>357</v>
      </c>
      <c r="B18" s="355">
        <v>23.568000000000001</v>
      </c>
      <c r="C18" s="355">
        <v>0</v>
      </c>
      <c r="D18" s="355">
        <v>306</v>
      </c>
      <c r="E18" s="355">
        <v>0</v>
      </c>
      <c r="F18" s="355">
        <v>0</v>
      </c>
      <c r="G18" s="355">
        <v>329.56799999999998</v>
      </c>
      <c r="H18" s="355">
        <v>26.41</v>
      </c>
      <c r="I18" s="355">
        <v>0</v>
      </c>
      <c r="J18" s="355">
        <v>240.81</v>
      </c>
      <c r="K18" s="355">
        <v>-4</v>
      </c>
      <c r="L18" s="355">
        <v>0</v>
      </c>
      <c r="M18" s="355">
        <v>263.22000000000003</v>
      </c>
      <c r="N18" s="356">
        <v>-0.20131808913486735</v>
      </c>
      <c r="O18" s="357"/>
      <c r="P18" s="358"/>
    </row>
    <row r="19" spans="1:16" ht="16">
      <c r="A19" s="276"/>
      <c r="B19" s="359"/>
      <c r="C19" s="359"/>
      <c r="D19" s="359"/>
      <c r="E19" s="359"/>
      <c r="F19" s="359"/>
      <c r="G19" s="359"/>
      <c r="H19" s="359"/>
      <c r="I19" s="359"/>
      <c r="J19" s="359"/>
      <c r="K19" s="359"/>
      <c r="L19" s="359"/>
      <c r="M19" s="359"/>
      <c r="N19" s="360"/>
      <c r="O19" s="361"/>
      <c r="P19" s="362"/>
    </row>
    <row r="20" spans="1:16" ht="17">
      <c r="A20" s="277" t="s">
        <v>363</v>
      </c>
      <c r="B20" s="363"/>
      <c r="C20" s="363"/>
      <c r="D20" s="363"/>
      <c r="E20" s="363"/>
      <c r="F20" s="363"/>
      <c r="G20" s="363"/>
      <c r="H20" s="363"/>
      <c r="I20" s="363"/>
      <c r="J20" s="363"/>
      <c r="K20" s="363"/>
      <c r="L20" s="363"/>
      <c r="M20" s="363"/>
      <c r="N20" s="364"/>
      <c r="O20" s="365"/>
      <c r="P20" s="366"/>
    </row>
    <row r="21" spans="1:16" ht="85">
      <c r="A21" s="278" t="s">
        <v>364</v>
      </c>
      <c r="B21" s="367">
        <v>0</v>
      </c>
      <c r="C21" s="367">
        <v>0</v>
      </c>
      <c r="D21" s="367">
        <v>127.2</v>
      </c>
      <c r="E21" s="367">
        <v>0</v>
      </c>
      <c r="F21" s="367">
        <v>0</v>
      </c>
      <c r="G21" s="368">
        <v>127.2</v>
      </c>
      <c r="H21" s="340">
        <v>0</v>
      </c>
      <c r="I21" s="340">
        <v>0</v>
      </c>
      <c r="J21" s="340">
        <v>93.4</v>
      </c>
      <c r="K21" s="340">
        <v>0</v>
      </c>
      <c r="L21" s="340">
        <v>0</v>
      </c>
      <c r="M21" s="368">
        <v>93.4</v>
      </c>
      <c r="N21" s="369">
        <v>-0.26572327044025157</v>
      </c>
      <c r="O21" s="370" t="s">
        <v>485</v>
      </c>
      <c r="P21" s="351" t="s">
        <v>486</v>
      </c>
    </row>
    <row r="22" spans="1:16" ht="68">
      <c r="A22" s="279" t="s">
        <v>365</v>
      </c>
      <c r="B22" s="338">
        <v>4.3380000000000001</v>
      </c>
      <c r="C22" s="338">
        <v>0</v>
      </c>
      <c r="D22" s="338">
        <v>0</v>
      </c>
      <c r="E22" s="338">
        <v>0</v>
      </c>
      <c r="F22" s="338">
        <v>0</v>
      </c>
      <c r="G22" s="339">
        <v>4.3380000000000001</v>
      </c>
      <c r="H22" s="340">
        <v>3.7749999999999999</v>
      </c>
      <c r="I22" s="340">
        <v>0</v>
      </c>
      <c r="J22" s="340">
        <v>0</v>
      </c>
      <c r="K22" s="340">
        <v>0</v>
      </c>
      <c r="L22" s="340">
        <v>0</v>
      </c>
      <c r="M22" s="339">
        <v>3.7749999999999999</v>
      </c>
      <c r="N22" s="341">
        <v>-0.12978331028123563</v>
      </c>
      <c r="O22" s="342" t="s">
        <v>487</v>
      </c>
      <c r="P22" s="343" t="s">
        <v>337</v>
      </c>
    </row>
    <row r="23" spans="1:16" ht="17">
      <c r="A23" s="280" t="s">
        <v>366</v>
      </c>
      <c r="B23" s="371">
        <v>4.3380000000000001</v>
      </c>
      <c r="C23" s="371">
        <v>0</v>
      </c>
      <c r="D23" s="371">
        <v>127.2</v>
      </c>
      <c r="E23" s="371">
        <v>0</v>
      </c>
      <c r="F23" s="371">
        <v>0</v>
      </c>
      <c r="G23" s="371">
        <v>131.53800000000001</v>
      </c>
      <c r="H23" s="371">
        <v>3.7749999999999999</v>
      </c>
      <c r="I23" s="371">
        <v>0</v>
      </c>
      <c r="J23" s="371">
        <v>93.4</v>
      </c>
      <c r="K23" s="371">
        <v>0</v>
      </c>
      <c r="L23" s="371">
        <v>0</v>
      </c>
      <c r="M23" s="371">
        <v>97.175000000000011</v>
      </c>
      <c r="N23" s="372">
        <v>-0.26124009791847219</v>
      </c>
      <c r="O23" s="373"/>
      <c r="P23" s="374"/>
    </row>
    <row r="24" spans="1:16" ht="16">
      <c r="A24" s="269"/>
      <c r="B24" s="333"/>
      <c r="C24" s="333"/>
      <c r="D24" s="333"/>
      <c r="E24" s="333"/>
      <c r="F24" s="333"/>
      <c r="G24" s="333"/>
      <c r="H24" s="333"/>
      <c r="I24" s="333"/>
      <c r="J24" s="333"/>
      <c r="K24" s="333"/>
      <c r="L24" s="333"/>
      <c r="M24" s="333"/>
      <c r="N24" s="334"/>
      <c r="O24" s="295"/>
      <c r="P24" s="295"/>
    </row>
    <row r="25" spans="1:16" ht="17">
      <c r="A25" s="281" t="s">
        <v>367</v>
      </c>
      <c r="B25" s="375"/>
      <c r="C25" s="375"/>
      <c r="D25" s="375"/>
      <c r="E25" s="375"/>
      <c r="F25" s="375"/>
      <c r="G25" s="375"/>
      <c r="H25" s="375"/>
      <c r="I25" s="375"/>
      <c r="J25" s="375"/>
      <c r="K25" s="375"/>
      <c r="L25" s="375"/>
      <c r="M25" s="375"/>
      <c r="N25" s="376"/>
      <c r="O25" s="377"/>
      <c r="P25" s="377"/>
    </row>
    <row r="26" spans="1:16" ht="16">
      <c r="A26" s="267"/>
      <c r="B26" s="327"/>
      <c r="C26" s="327"/>
      <c r="D26" s="327"/>
      <c r="E26" s="327"/>
      <c r="F26" s="327"/>
      <c r="G26" s="327"/>
      <c r="H26" s="327"/>
      <c r="I26" s="327"/>
      <c r="J26" s="327"/>
      <c r="K26" s="327"/>
      <c r="L26" s="327"/>
      <c r="M26" s="327"/>
      <c r="N26" s="329"/>
      <c r="O26" s="267"/>
      <c r="P26" s="267"/>
    </row>
    <row r="27" spans="1:16" ht="17">
      <c r="A27" s="282" t="s">
        <v>367</v>
      </c>
      <c r="B27" s="335"/>
      <c r="C27" s="335"/>
      <c r="D27" s="335"/>
      <c r="E27" s="335"/>
      <c r="F27" s="335"/>
      <c r="G27" s="335"/>
      <c r="H27" s="335"/>
      <c r="I27" s="335"/>
      <c r="J27" s="335"/>
      <c r="K27" s="335"/>
      <c r="L27" s="335"/>
      <c r="M27" s="335"/>
      <c r="N27" s="336"/>
      <c r="O27" s="337"/>
      <c r="P27" s="337"/>
    </row>
    <row r="28" spans="1:16" ht="102">
      <c r="A28" s="273" t="s">
        <v>367</v>
      </c>
      <c r="B28" s="348">
        <v>6.2939999999999996</v>
      </c>
      <c r="C28" s="348">
        <v>0</v>
      </c>
      <c r="D28" s="348">
        <v>7</v>
      </c>
      <c r="E28" s="348">
        <v>0</v>
      </c>
      <c r="F28" s="348">
        <v>0</v>
      </c>
      <c r="G28" s="349">
        <v>13.294</v>
      </c>
      <c r="H28" s="340">
        <v>4.7329999999999997</v>
      </c>
      <c r="I28" s="340">
        <v>0</v>
      </c>
      <c r="J28" s="340">
        <v>7</v>
      </c>
      <c r="K28" s="340">
        <v>0</v>
      </c>
      <c r="L28" s="340">
        <v>0</v>
      </c>
      <c r="M28" s="349">
        <v>11.733000000000001</v>
      </c>
      <c r="N28" s="350">
        <v>-0.11742139310967353</v>
      </c>
      <c r="O28" s="273" t="s">
        <v>488</v>
      </c>
      <c r="P28" s="351" t="s">
        <v>489</v>
      </c>
    </row>
    <row r="29" spans="1:16" ht="17">
      <c r="A29" s="283" t="s">
        <v>368</v>
      </c>
      <c r="B29" s="344">
        <v>6.2939999999999996</v>
      </c>
      <c r="C29" s="344">
        <v>0</v>
      </c>
      <c r="D29" s="344">
        <v>7</v>
      </c>
      <c r="E29" s="344">
        <v>0</v>
      </c>
      <c r="F29" s="344">
        <v>0</v>
      </c>
      <c r="G29" s="344">
        <v>13.294</v>
      </c>
      <c r="H29" s="344">
        <v>4.7329999999999997</v>
      </c>
      <c r="I29" s="344">
        <v>0</v>
      </c>
      <c r="J29" s="344">
        <v>7</v>
      </c>
      <c r="K29" s="344">
        <v>0</v>
      </c>
      <c r="L29" s="344">
        <v>0</v>
      </c>
      <c r="M29" s="344">
        <v>11.733000000000001</v>
      </c>
      <c r="N29" s="345">
        <v>-0.11742139310967353</v>
      </c>
      <c r="O29" s="346"/>
      <c r="P29" s="347"/>
    </row>
    <row r="30" spans="1:16" ht="16">
      <c r="A30" s="274"/>
      <c r="B30" s="352"/>
      <c r="C30" s="352"/>
      <c r="D30" s="352"/>
      <c r="E30" s="352"/>
      <c r="F30" s="352"/>
      <c r="G30" s="352"/>
      <c r="H30" s="352"/>
      <c r="I30" s="352"/>
      <c r="J30" s="352"/>
      <c r="K30" s="352"/>
      <c r="L30" s="352"/>
      <c r="M30" s="352"/>
      <c r="N30" s="353"/>
      <c r="O30" s="354"/>
      <c r="P30" s="354"/>
    </row>
    <row r="31" spans="1:16" ht="17">
      <c r="A31" s="284" t="s">
        <v>369</v>
      </c>
      <c r="B31" s="335"/>
      <c r="C31" s="335"/>
      <c r="D31" s="335"/>
      <c r="E31" s="335"/>
      <c r="F31" s="335"/>
      <c r="G31" s="335"/>
      <c r="H31" s="335"/>
      <c r="I31" s="335"/>
      <c r="J31" s="335"/>
      <c r="K31" s="335"/>
      <c r="L31" s="335"/>
      <c r="M31" s="335"/>
      <c r="N31" s="378"/>
      <c r="O31" s="379"/>
      <c r="P31" s="379"/>
    </row>
    <row r="32" spans="1:16" ht="51">
      <c r="A32" s="273" t="s">
        <v>369</v>
      </c>
      <c r="B32" s="348">
        <v>0.6</v>
      </c>
      <c r="C32" s="348">
        <v>0</v>
      </c>
      <c r="D32" s="348">
        <v>0</v>
      </c>
      <c r="E32" s="348">
        <v>0</v>
      </c>
      <c r="F32" s="348">
        <v>0</v>
      </c>
      <c r="G32" s="349">
        <v>0.6</v>
      </c>
      <c r="H32" s="340">
        <v>0.58199999999999996</v>
      </c>
      <c r="I32" s="340">
        <v>0</v>
      </c>
      <c r="J32" s="340">
        <v>0</v>
      </c>
      <c r="K32" s="340">
        <v>0</v>
      </c>
      <c r="L32" s="340">
        <v>0</v>
      </c>
      <c r="M32" s="349">
        <v>0.58199999999999996</v>
      </c>
      <c r="N32" s="350">
        <v>-3.0000000000000027E-2</v>
      </c>
      <c r="O32" s="273" t="s">
        <v>490</v>
      </c>
      <c r="P32" s="351" t="s">
        <v>491</v>
      </c>
    </row>
    <row r="33" spans="1:16" ht="34">
      <c r="A33" s="283" t="s">
        <v>370</v>
      </c>
      <c r="B33" s="344">
        <v>0.6</v>
      </c>
      <c r="C33" s="344">
        <v>0</v>
      </c>
      <c r="D33" s="344">
        <v>0</v>
      </c>
      <c r="E33" s="344">
        <v>0</v>
      </c>
      <c r="F33" s="344">
        <v>0</v>
      </c>
      <c r="G33" s="344">
        <v>0.6</v>
      </c>
      <c r="H33" s="344">
        <v>0.58199999999999996</v>
      </c>
      <c r="I33" s="344">
        <v>0</v>
      </c>
      <c r="J33" s="344">
        <v>0</v>
      </c>
      <c r="K33" s="344">
        <v>0</v>
      </c>
      <c r="L33" s="344">
        <v>0</v>
      </c>
      <c r="M33" s="344">
        <v>0.58199999999999996</v>
      </c>
      <c r="N33" s="345">
        <v>-3.0000000000000027E-2</v>
      </c>
      <c r="O33" s="346"/>
      <c r="P33" s="347"/>
    </row>
    <row r="34" spans="1:16" ht="16">
      <c r="A34" s="267"/>
      <c r="B34" s="327"/>
      <c r="C34" s="327"/>
      <c r="D34" s="327"/>
      <c r="E34" s="327"/>
      <c r="F34" s="327"/>
      <c r="G34" s="327"/>
      <c r="H34" s="327"/>
      <c r="I34" s="327"/>
      <c r="J34" s="327"/>
      <c r="K34" s="327"/>
      <c r="L34" s="327"/>
      <c r="M34" s="327"/>
      <c r="N34" s="329"/>
      <c r="O34" s="267"/>
      <c r="P34" s="267"/>
    </row>
    <row r="35" spans="1:16" ht="17">
      <c r="A35" s="280" t="s">
        <v>368</v>
      </c>
      <c r="B35" s="380">
        <v>6.8939999999999992</v>
      </c>
      <c r="C35" s="380">
        <v>0</v>
      </c>
      <c r="D35" s="380">
        <v>7</v>
      </c>
      <c r="E35" s="380">
        <v>0</v>
      </c>
      <c r="F35" s="380">
        <v>0</v>
      </c>
      <c r="G35" s="380">
        <v>13.894</v>
      </c>
      <c r="H35" s="380">
        <v>5.3149999999999995</v>
      </c>
      <c r="I35" s="380">
        <v>0</v>
      </c>
      <c r="J35" s="380">
        <v>7</v>
      </c>
      <c r="K35" s="380">
        <v>0</v>
      </c>
      <c r="L35" s="380">
        <v>0</v>
      </c>
      <c r="M35" s="380">
        <v>12.315000000000001</v>
      </c>
      <c r="N35" s="372">
        <v>-0.11364617820641995</v>
      </c>
      <c r="O35" s="381"/>
      <c r="P35" s="382"/>
    </row>
    <row r="36" spans="1:16" ht="16">
      <c r="A36" s="274"/>
      <c r="B36" s="352"/>
      <c r="C36" s="352"/>
      <c r="D36" s="352"/>
      <c r="E36" s="352"/>
      <c r="F36" s="352"/>
      <c r="G36" s="352"/>
      <c r="H36" s="352"/>
      <c r="I36" s="352"/>
      <c r="J36" s="352"/>
      <c r="K36" s="352"/>
      <c r="L36" s="352"/>
      <c r="M36" s="352"/>
      <c r="N36" s="353"/>
      <c r="O36" s="354"/>
      <c r="P36" s="354"/>
    </row>
    <row r="37" spans="1:16" ht="17">
      <c r="A37" s="277" t="s">
        <v>371</v>
      </c>
      <c r="B37" s="383"/>
      <c r="C37" s="383"/>
      <c r="D37" s="383"/>
      <c r="E37" s="383"/>
      <c r="F37" s="383"/>
      <c r="G37" s="383"/>
      <c r="H37" s="383"/>
      <c r="I37" s="383"/>
      <c r="J37" s="383"/>
      <c r="K37" s="383"/>
      <c r="L37" s="383"/>
      <c r="M37" s="383"/>
      <c r="N37" s="384"/>
      <c r="O37" s="385"/>
      <c r="P37" s="385"/>
    </row>
    <row r="38" spans="1:16" ht="16">
      <c r="A38" s="285"/>
      <c r="B38" s="386"/>
      <c r="C38" s="386"/>
      <c r="D38" s="386"/>
      <c r="E38" s="386"/>
      <c r="F38" s="386"/>
      <c r="G38" s="387"/>
      <c r="H38" s="386"/>
      <c r="I38" s="386"/>
      <c r="J38" s="386"/>
      <c r="K38" s="386"/>
      <c r="L38" s="386"/>
      <c r="M38" s="387"/>
      <c r="N38" s="388"/>
      <c r="O38" s="389"/>
      <c r="P38" s="389"/>
    </row>
    <row r="39" spans="1:16" ht="17">
      <c r="A39" s="284" t="s">
        <v>371</v>
      </c>
      <c r="B39" s="390"/>
      <c r="C39" s="390"/>
      <c r="D39" s="390"/>
      <c r="E39" s="390"/>
      <c r="F39" s="390"/>
      <c r="G39" s="390"/>
      <c r="H39" s="390"/>
      <c r="I39" s="390"/>
      <c r="J39" s="390"/>
      <c r="K39" s="390"/>
      <c r="L39" s="390"/>
      <c r="M39" s="390"/>
      <c r="N39" s="336"/>
      <c r="O39" s="391"/>
      <c r="P39" s="391"/>
    </row>
    <row r="40" spans="1:16" ht="51">
      <c r="A40" s="271" t="s">
        <v>372</v>
      </c>
      <c r="B40" s="392">
        <v>41.411999999999999</v>
      </c>
      <c r="C40" s="392">
        <v>0</v>
      </c>
      <c r="D40" s="392">
        <v>0</v>
      </c>
      <c r="E40" s="392">
        <v>0</v>
      </c>
      <c r="F40" s="392">
        <v>0</v>
      </c>
      <c r="G40" s="393">
        <v>41.411999999999999</v>
      </c>
      <c r="H40" s="340">
        <v>41.606999999999999</v>
      </c>
      <c r="I40" s="340">
        <v>0</v>
      </c>
      <c r="J40" s="340">
        <v>0</v>
      </c>
      <c r="K40" s="340">
        <v>0</v>
      </c>
      <c r="L40" s="340">
        <v>0</v>
      </c>
      <c r="M40" s="393">
        <v>41.606999999999999</v>
      </c>
      <c r="N40" s="394">
        <v>4.7087800637496445E-3</v>
      </c>
      <c r="O40" s="395" t="s">
        <v>492</v>
      </c>
      <c r="P40" s="396" t="s">
        <v>493</v>
      </c>
    </row>
    <row r="41" spans="1:16" ht="34">
      <c r="A41" s="271" t="s">
        <v>373</v>
      </c>
      <c r="B41" s="392">
        <v>0</v>
      </c>
      <c r="C41" s="392">
        <v>0</v>
      </c>
      <c r="D41" s="392">
        <v>5.3</v>
      </c>
      <c r="E41" s="392">
        <v>0</v>
      </c>
      <c r="F41" s="392">
        <v>0</v>
      </c>
      <c r="G41" s="393">
        <v>5.3</v>
      </c>
      <c r="H41" s="340">
        <v>0</v>
      </c>
      <c r="I41" s="340">
        <v>0</v>
      </c>
      <c r="J41" s="340">
        <v>5.3</v>
      </c>
      <c r="K41" s="340">
        <v>0</v>
      </c>
      <c r="L41" s="340">
        <v>0</v>
      </c>
      <c r="M41" s="393">
        <v>5.3</v>
      </c>
      <c r="N41" s="394">
        <v>0</v>
      </c>
      <c r="O41" s="395" t="s">
        <v>494</v>
      </c>
      <c r="P41" s="397" t="s">
        <v>293</v>
      </c>
    </row>
    <row r="42" spans="1:16" ht="17">
      <c r="A42" s="271" t="s">
        <v>374</v>
      </c>
      <c r="B42" s="392">
        <v>0</v>
      </c>
      <c r="C42" s="392">
        <v>2.5</v>
      </c>
      <c r="D42" s="392">
        <v>0</v>
      </c>
      <c r="E42" s="392">
        <v>0</v>
      </c>
      <c r="F42" s="392">
        <v>0</v>
      </c>
      <c r="G42" s="393">
        <v>2.5</v>
      </c>
      <c r="H42" s="340">
        <v>0</v>
      </c>
      <c r="I42" s="340">
        <v>2.5</v>
      </c>
      <c r="J42" s="340">
        <v>0</v>
      </c>
      <c r="K42" s="340">
        <v>0</v>
      </c>
      <c r="L42" s="340">
        <v>0</v>
      </c>
      <c r="M42" s="393">
        <v>2.5</v>
      </c>
      <c r="N42" s="394">
        <v>0</v>
      </c>
      <c r="O42" s="398" t="s">
        <v>495</v>
      </c>
      <c r="P42" s="399" t="s">
        <v>293</v>
      </c>
    </row>
    <row r="43" spans="1:16" ht="85">
      <c r="A43" s="271" t="s">
        <v>375</v>
      </c>
      <c r="B43" s="392">
        <v>2</v>
      </c>
      <c r="C43" s="392">
        <v>0</v>
      </c>
      <c r="D43" s="392">
        <v>0</v>
      </c>
      <c r="E43" s="392">
        <v>0</v>
      </c>
      <c r="F43" s="392">
        <v>0</v>
      </c>
      <c r="G43" s="393">
        <v>2</v>
      </c>
      <c r="H43" s="340">
        <v>0</v>
      </c>
      <c r="I43" s="340">
        <v>0</v>
      </c>
      <c r="J43" s="340">
        <v>0</v>
      </c>
      <c r="K43" s="340">
        <v>0</v>
      </c>
      <c r="L43" s="340">
        <v>0</v>
      </c>
      <c r="M43" s="393">
        <v>0</v>
      </c>
      <c r="N43" s="394">
        <v>-1</v>
      </c>
      <c r="O43" s="398" t="s">
        <v>337</v>
      </c>
      <c r="P43" s="400" t="s">
        <v>496</v>
      </c>
    </row>
    <row r="44" spans="1:16" ht="17">
      <c r="A44" s="283" t="s">
        <v>376</v>
      </c>
      <c r="B44" s="344">
        <v>43.411999999999999</v>
      </c>
      <c r="C44" s="344">
        <v>2.5</v>
      </c>
      <c r="D44" s="344">
        <v>5.3</v>
      </c>
      <c r="E44" s="344">
        <v>0</v>
      </c>
      <c r="F44" s="344">
        <v>0</v>
      </c>
      <c r="G44" s="344">
        <v>51.211999999999996</v>
      </c>
      <c r="H44" s="344">
        <v>41.606999999999999</v>
      </c>
      <c r="I44" s="344">
        <v>2.5</v>
      </c>
      <c r="J44" s="344">
        <v>5.3</v>
      </c>
      <c r="K44" s="344">
        <v>0</v>
      </c>
      <c r="L44" s="344">
        <v>0</v>
      </c>
      <c r="M44" s="344">
        <v>49.406999999999996</v>
      </c>
      <c r="N44" s="345">
        <v>-3.5245645551823787E-2</v>
      </c>
      <c r="O44" s="401"/>
      <c r="P44" s="402"/>
    </row>
    <row r="45" spans="1:16" ht="16">
      <c r="A45" s="286"/>
      <c r="B45" s="403"/>
      <c r="C45" s="403"/>
      <c r="D45" s="403"/>
      <c r="E45" s="403"/>
      <c r="F45" s="403"/>
      <c r="G45" s="403"/>
      <c r="H45" s="403"/>
      <c r="I45" s="403"/>
      <c r="J45" s="403"/>
      <c r="K45" s="403"/>
      <c r="L45" s="403"/>
      <c r="M45" s="403"/>
      <c r="N45" s="404"/>
      <c r="O45" s="295"/>
      <c r="P45" s="389"/>
    </row>
    <row r="46" spans="1:16" ht="17">
      <c r="A46" s="287" t="s">
        <v>376</v>
      </c>
      <c r="B46" s="405">
        <v>43.411999999999999</v>
      </c>
      <c r="C46" s="405">
        <v>2.5</v>
      </c>
      <c r="D46" s="405">
        <v>5.3</v>
      </c>
      <c r="E46" s="405">
        <v>0</v>
      </c>
      <c r="F46" s="405">
        <v>0</v>
      </c>
      <c r="G46" s="405">
        <v>51.211999999999996</v>
      </c>
      <c r="H46" s="405">
        <v>41.606999999999999</v>
      </c>
      <c r="I46" s="405">
        <v>2.5</v>
      </c>
      <c r="J46" s="405">
        <v>5.3</v>
      </c>
      <c r="K46" s="405">
        <v>0</v>
      </c>
      <c r="L46" s="405">
        <v>0</v>
      </c>
      <c r="M46" s="405">
        <v>49.406999999999996</v>
      </c>
      <c r="N46" s="406">
        <v>-3.5245645551823787E-2</v>
      </c>
      <c r="O46" s="407"/>
      <c r="P46" s="407"/>
    </row>
    <row r="47" spans="1:16" ht="16">
      <c r="A47" s="267"/>
      <c r="B47" s="327"/>
      <c r="C47" s="327"/>
      <c r="D47" s="327"/>
      <c r="E47" s="327"/>
      <c r="F47" s="327"/>
      <c r="G47" s="327"/>
      <c r="H47" s="327"/>
      <c r="I47" s="327"/>
      <c r="J47" s="327"/>
      <c r="K47" s="327"/>
      <c r="L47" s="327"/>
      <c r="M47" s="327"/>
      <c r="N47" s="329"/>
      <c r="O47" s="267"/>
      <c r="P47" s="267"/>
    </row>
    <row r="48" spans="1:16" ht="17">
      <c r="A48" s="281" t="s">
        <v>377</v>
      </c>
      <c r="B48" s="375"/>
      <c r="C48" s="375"/>
      <c r="D48" s="375"/>
      <c r="E48" s="375"/>
      <c r="F48" s="375"/>
      <c r="G48" s="375"/>
      <c r="H48" s="375"/>
      <c r="I48" s="375"/>
      <c r="J48" s="375"/>
      <c r="K48" s="375"/>
      <c r="L48" s="375"/>
      <c r="M48" s="375"/>
      <c r="N48" s="376"/>
      <c r="O48" s="377"/>
      <c r="P48" s="377"/>
    </row>
    <row r="49" spans="1:16" ht="16">
      <c r="A49" s="267"/>
      <c r="B49" s="327"/>
      <c r="C49" s="327"/>
      <c r="D49" s="327"/>
      <c r="E49" s="327"/>
      <c r="F49" s="327"/>
      <c r="G49" s="327"/>
      <c r="H49" s="327"/>
      <c r="I49" s="327"/>
      <c r="J49" s="327"/>
      <c r="K49" s="327"/>
      <c r="L49" s="327"/>
      <c r="M49" s="327"/>
      <c r="N49" s="329"/>
      <c r="O49" s="267"/>
      <c r="P49" s="267"/>
    </row>
    <row r="50" spans="1:16" ht="17">
      <c r="A50" s="282" t="s">
        <v>377</v>
      </c>
      <c r="B50" s="408"/>
      <c r="C50" s="408"/>
      <c r="D50" s="408"/>
      <c r="E50" s="408"/>
      <c r="F50" s="408"/>
      <c r="G50" s="408"/>
      <c r="H50" s="408"/>
      <c r="I50" s="408"/>
      <c r="J50" s="408"/>
      <c r="K50" s="408"/>
      <c r="L50" s="408"/>
      <c r="M50" s="408"/>
      <c r="N50" s="409"/>
      <c r="O50" s="379"/>
      <c r="P50" s="410"/>
    </row>
    <row r="51" spans="1:16" ht="51">
      <c r="A51" s="288" t="s">
        <v>378</v>
      </c>
      <c r="B51" s="411">
        <v>86.784999999999997</v>
      </c>
      <c r="C51" s="411">
        <v>0</v>
      </c>
      <c r="D51" s="411">
        <v>0</v>
      </c>
      <c r="E51" s="411">
        <v>0</v>
      </c>
      <c r="F51" s="411">
        <v>0</v>
      </c>
      <c r="G51" s="412">
        <v>86.784999999999997</v>
      </c>
      <c r="H51" s="340">
        <v>94.921999999999997</v>
      </c>
      <c r="I51" s="340">
        <v>0</v>
      </c>
      <c r="J51" s="340">
        <v>0</v>
      </c>
      <c r="K51" s="340">
        <v>0</v>
      </c>
      <c r="L51" s="340">
        <v>0</v>
      </c>
      <c r="M51" s="412">
        <v>94.921999999999997</v>
      </c>
      <c r="N51" s="413">
        <v>9.3760442472777566E-2</v>
      </c>
      <c r="O51" s="288" t="s">
        <v>497</v>
      </c>
      <c r="P51" s="414" t="s">
        <v>498</v>
      </c>
    </row>
    <row r="52" spans="1:16" ht="34">
      <c r="A52" s="289" t="s">
        <v>379</v>
      </c>
      <c r="B52" s="392">
        <v>30.866</v>
      </c>
      <c r="C52" s="392">
        <v>0.1</v>
      </c>
      <c r="D52" s="392">
        <v>0</v>
      </c>
      <c r="E52" s="392">
        <v>0</v>
      </c>
      <c r="F52" s="392">
        <v>0</v>
      </c>
      <c r="G52" s="415">
        <v>30.966000000000001</v>
      </c>
      <c r="H52" s="340">
        <v>31.960999999999999</v>
      </c>
      <c r="I52" s="340">
        <v>3.5999999999999997E-2</v>
      </c>
      <c r="J52" s="340">
        <v>0</v>
      </c>
      <c r="K52" s="340">
        <v>0</v>
      </c>
      <c r="L52" s="340">
        <v>0</v>
      </c>
      <c r="M52" s="415">
        <v>31.997</v>
      </c>
      <c r="N52" s="416">
        <v>3.3294581153523177E-2</v>
      </c>
      <c r="O52" s="289" t="s">
        <v>499</v>
      </c>
      <c r="P52" s="417" t="s">
        <v>500</v>
      </c>
    </row>
    <row r="53" spans="1:16" ht="34">
      <c r="A53" s="289" t="s">
        <v>380</v>
      </c>
      <c r="B53" s="392">
        <v>6.8529999999999998</v>
      </c>
      <c r="C53" s="392">
        <v>0</v>
      </c>
      <c r="D53" s="392">
        <v>0</v>
      </c>
      <c r="E53" s="392">
        <v>0</v>
      </c>
      <c r="F53" s="392">
        <v>0</v>
      </c>
      <c r="G53" s="415">
        <v>6.8529999999999998</v>
      </c>
      <c r="H53" s="340">
        <v>8.23</v>
      </c>
      <c r="I53" s="340">
        <v>0</v>
      </c>
      <c r="J53" s="340">
        <v>0</v>
      </c>
      <c r="K53" s="340">
        <v>0</v>
      </c>
      <c r="L53" s="340">
        <v>0</v>
      </c>
      <c r="M53" s="415">
        <v>8.23</v>
      </c>
      <c r="N53" s="416">
        <v>0.20093389756311114</v>
      </c>
      <c r="O53" s="289" t="s">
        <v>501</v>
      </c>
      <c r="P53" s="417" t="s">
        <v>500</v>
      </c>
    </row>
    <row r="54" spans="1:16" ht="34">
      <c r="A54" s="289" t="s">
        <v>381</v>
      </c>
      <c r="B54" s="392">
        <v>0</v>
      </c>
      <c r="C54" s="392">
        <v>0</v>
      </c>
      <c r="D54" s="392">
        <v>0</v>
      </c>
      <c r="E54" s="392">
        <v>0</v>
      </c>
      <c r="F54" s="392">
        <v>0</v>
      </c>
      <c r="G54" s="415">
        <v>0</v>
      </c>
      <c r="H54" s="340">
        <v>0</v>
      </c>
      <c r="I54" s="340">
        <v>0</v>
      </c>
      <c r="J54" s="340">
        <v>0</v>
      </c>
      <c r="K54" s="340">
        <v>0</v>
      </c>
      <c r="L54" s="340">
        <v>0</v>
      </c>
      <c r="M54" s="415">
        <v>0</v>
      </c>
      <c r="N54" s="416" t="s">
        <v>155</v>
      </c>
      <c r="O54" s="289" t="s">
        <v>502</v>
      </c>
      <c r="P54" s="417" t="s">
        <v>503</v>
      </c>
    </row>
    <row r="55" spans="1:16" ht="17">
      <c r="A55" s="290" t="s">
        <v>382</v>
      </c>
      <c r="B55" s="418">
        <v>124.50399999999999</v>
      </c>
      <c r="C55" s="418">
        <v>0.1</v>
      </c>
      <c r="D55" s="418">
        <v>0</v>
      </c>
      <c r="E55" s="418">
        <v>0</v>
      </c>
      <c r="F55" s="418">
        <v>0</v>
      </c>
      <c r="G55" s="418">
        <v>124.604</v>
      </c>
      <c r="H55" s="418">
        <v>135.113</v>
      </c>
      <c r="I55" s="418">
        <v>3.5999999999999997E-2</v>
      </c>
      <c r="J55" s="418">
        <v>0</v>
      </c>
      <c r="K55" s="418">
        <v>0</v>
      </c>
      <c r="L55" s="418">
        <v>0</v>
      </c>
      <c r="M55" s="418">
        <v>135.149</v>
      </c>
      <c r="N55" s="419">
        <v>8.4628101826586644E-2</v>
      </c>
      <c r="O55" s="420"/>
      <c r="P55" s="421"/>
    </row>
    <row r="56" spans="1:16" ht="16">
      <c r="A56" s="267"/>
      <c r="B56" s="327"/>
      <c r="C56" s="327"/>
      <c r="D56" s="327"/>
      <c r="E56" s="327"/>
      <c r="F56" s="327"/>
      <c r="G56" s="327"/>
      <c r="H56" s="327"/>
      <c r="I56" s="327"/>
      <c r="J56" s="327"/>
      <c r="K56" s="327"/>
      <c r="L56" s="327"/>
      <c r="M56" s="327"/>
      <c r="N56" s="329"/>
      <c r="O56" s="267"/>
      <c r="P56" s="267"/>
    </row>
    <row r="57" spans="1:16" ht="17">
      <c r="A57" s="280" t="s">
        <v>383</v>
      </c>
      <c r="B57" s="380">
        <v>124.50399999999999</v>
      </c>
      <c r="C57" s="380">
        <v>0.1</v>
      </c>
      <c r="D57" s="380">
        <v>0</v>
      </c>
      <c r="E57" s="380">
        <v>0</v>
      </c>
      <c r="F57" s="380">
        <v>0</v>
      </c>
      <c r="G57" s="380">
        <v>124.604</v>
      </c>
      <c r="H57" s="380">
        <v>135.113</v>
      </c>
      <c r="I57" s="380">
        <v>3.5999999999999997E-2</v>
      </c>
      <c r="J57" s="380">
        <v>0</v>
      </c>
      <c r="K57" s="380">
        <v>0</v>
      </c>
      <c r="L57" s="380">
        <v>0</v>
      </c>
      <c r="M57" s="380">
        <v>135.149</v>
      </c>
      <c r="N57" s="372">
        <v>8.4628101826586644E-2</v>
      </c>
      <c r="O57" s="381"/>
      <c r="P57" s="382"/>
    </row>
    <row r="58" spans="1:16" ht="16">
      <c r="A58" s="267"/>
      <c r="B58" s="327"/>
      <c r="C58" s="327"/>
      <c r="D58" s="327"/>
      <c r="E58" s="327"/>
      <c r="F58" s="327"/>
      <c r="G58" s="327"/>
      <c r="H58" s="327"/>
      <c r="I58" s="327"/>
      <c r="J58" s="327"/>
      <c r="K58" s="327"/>
      <c r="L58" s="327"/>
      <c r="M58" s="327"/>
      <c r="N58" s="329"/>
      <c r="O58" s="267"/>
      <c r="P58" s="267"/>
    </row>
    <row r="59" spans="1:16" ht="17">
      <c r="A59" s="277" t="s">
        <v>384</v>
      </c>
      <c r="B59" s="422"/>
      <c r="C59" s="422"/>
      <c r="D59" s="422"/>
      <c r="E59" s="422"/>
      <c r="F59" s="422"/>
      <c r="G59" s="422"/>
      <c r="H59" s="422"/>
      <c r="I59" s="422"/>
      <c r="J59" s="422"/>
      <c r="K59" s="422"/>
      <c r="L59" s="422"/>
      <c r="M59" s="422"/>
      <c r="N59" s="423"/>
      <c r="O59" s="424"/>
      <c r="P59" s="424"/>
    </row>
    <row r="60" spans="1:16" ht="102">
      <c r="A60" s="291" t="s">
        <v>385</v>
      </c>
      <c r="B60" s="411">
        <v>6.9660000000000002</v>
      </c>
      <c r="C60" s="411">
        <v>0</v>
      </c>
      <c r="D60" s="411">
        <v>0</v>
      </c>
      <c r="E60" s="411">
        <v>0</v>
      </c>
      <c r="F60" s="411">
        <v>0</v>
      </c>
      <c r="G60" s="412">
        <v>6.9660000000000002</v>
      </c>
      <c r="H60" s="340">
        <v>8.7230000000000008</v>
      </c>
      <c r="I60" s="340">
        <v>0</v>
      </c>
      <c r="J60" s="340">
        <v>0</v>
      </c>
      <c r="K60" s="340">
        <v>0</v>
      </c>
      <c r="L60" s="340">
        <v>0</v>
      </c>
      <c r="M60" s="412">
        <v>8.7230000000000008</v>
      </c>
      <c r="N60" s="413">
        <v>0.25222509331036469</v>
      </c>
      <c r="O60" s="292" t="s">
        <v>504</v>
      </c>
      <c r="P60" s="425" t="s">
        <v>505</v>
      </c>
    </row>
    <row r="61" spans="1:16" ht="17">
      <c r="A61" s="271" t="s">
        <v>386</v>
      </c>
      <c r="B61" s="392">
        <v>0</v>
      </c>
      <c r="C61" s="392">
        <v>0</v>
      </c>
      <c r="D61" s="392">
        <v>0</v>
      </c>
      <c r="E61" s="392">
        <v>0</v>
      </c>
      <c r="F61" s="392">
        <v>0</v>
      </c>
      <c r="G61" s="415">
        <v>0</v>
      </c>
      <c r="H61" s="340">
        <v>0</v>
      </c>
      <c r="I61" s="340">
        <v>0</v>
      </c>
      <c r="J61" s="340">
        <v>0</v>
      </c>
      <c r="K61" s="340">
        <v>0</v>
      </c>
      <c r="L61" s="340">
        <v>0</v>
      </c>
      <c r="M61" s="415">
        <v>0</v>
      </c>
      <c r="N61" s="416" t="s">
        <v>155</v>
      </c>
      <c r="O61" s="293" t="s">
        <v>337</v>
      </c>
      <c r="P61" s="426" t="s">
        <v>337</v>
      </c>
    </row>
    <row r="62" spans="1:16" ht="51">
      <c r="A62" s="271" t="s">
        <v>387</v>
      </c>
      <c r="B62" s="392">
        <v>2.944</v>
      </c>
      <c r="C62" s="392">
        <v>0</v>
      </c>
      <c r="D62" s="392">
        <v>0</v>
      </c>
      <c r="E62" s="392">
        <v>0</v>
      </c>
      <c r="F62" s="392">
        <v>0</v>
      </c>
      <c r="G62" s="415">
        <v>2.944</v>
      </c>
      <c r="H62" s="340">
        <v>2.6160000000000001</v>
      </c>
      <c r="I62" s="340">
        <v>0</v>
      </c>
      <c r="J62" s="340">
        <v>0</v>
      </c>
      <c r="K62" s="340">
        <v>0</v>
      </c>
      <c r="L62" s="340">
        <v>0</v>
      </c>
      <c r="M62" s="415">
        <v>2.6160000000000001</v>
      </c>
      <c r="N62" s="416">
        <v>-0.11141304347826082</v>
      </c>
      <c r="O62" s="292" t="s">
        <v>1780</v>
      </c>
      <c r="P62" s="292" t="s">
        <v>1782</v>
      </c>
    </row>
    <row r="63" spans="1:16" ht="17">
      <c r="A63" s="280" t="s">
        <v>388</v>
      </c>
      <c r="B63" s="380">
        <v>9.91</v>
      </c>
      <c r="C63" s="380">
        <v>0</v>
      </c>
      <c r="D63" s="380">
        <v>0</v>
      </c>
      <c r="E63" s="380">
        <v>0</v>
      </c>
      <c r="F63" s="380">
        <v>0</v>
      </c>
      <c r="G63" s="380">
        <v>9.91</v>
      </c>
      <c r="H63" s="380">
        <v>11.339</v>
      </c>
      <c r="I63" s="380">
        <v>0</v>
      </c>
      <c r="J63" s="380">
        <v>0</v>
      </c>
      <c r="K63" s="380">
        <v>0</v>
      </c>
      <c r="L63" s="380">
        <v>0</v>
      </c>
      <c r="M63" s="380">
        <v>11.339</v>
      </c>
      <c r="N63" s="372">
        <v>0.14419778002018166</v>
      </c>
      <c r="O63" s="427"/>
      <c r="P63" s="428"/>
    </row>
    <row r="64" spans="1:16" ht="16">
      <c r="A64" s="267"/>
      <c r="B64" s="327"/>
      <c r="C64" s="327"/>
      <c r="D64" s="327"/>
      <c r="E64" s="327"/>
      <c r="F64" s="327"/>
      <c r="G64" s="327"/>
      <c r="H64" s="327"/>
      <c r="I64" s="327"/>
      <c r="J64" s="327"/>
      <c r="K64" s="327"/>
      <c r="L64" s="327"/>
      <c r="M64" s="327"/>
      <c r="N64" s="329"/>
      <c r="O64" s="429"/>
      <c r="P64" s="429"/>
    </row>
    <row r="65" spans="1:16" ht="17">
      <c r="A65" s="277" t="s">
        <v>389</v>
      </c>
      <c r="B65" s="422"/>
      <c r="C65" s="422"/>
      <c r="D65" s="422"/>
      <c r="E65" s="422"/>
      <c r="F65" s="422"/>
      <c r="G65" s="422"/>
      <c r="H65" s="422"/>
      <c r="I65" s="422"/>
      <c r="J65" s="422"/>
      <c r="K65" s="422"/>
      <c r="L65" s="422"/>
      <c r="M65" s="422"/>
      <c r="N65" s="423"/>
      <c r="O65" s="424"/>
      <c r="P65" s="424"/>
    </row>
    <row r="66" spans="1:16" ht="102">
      <c r="A66" s="271" t="s">
        <v>389</v>
      </c>
      <c r="B66" s="392">
        <v>2.5</v>
      </c>
      <c r="C66" s="392">
        <v>0</v>
      </c>
      <c r="D66" s="392">
        <v>0</v>
      </c>
      <c r="E66" s="392">
        <v>0</v>
      </c>
      <c r="F66" s="392">
        <v>0</v>
      </c>
      <c r="G66" s="415">
        <v>2.5</v>
      </c>
      <c r="H66" s="340">
        <v>2.4</v>
      </c>
      <c r="I66" s="340">
        <v>0</v>
      </c>
      <c r="J66" s="340">
        <v>0</v>
      </c>
      <c r="K66" s="340">
        <v>0</v>
      </c>
      <c r="L66" s="340">
        <v>0</v>
      </c>
      <c r="M66" s="415">
        <v>2.4</v>
      </c>
      <c r="N66" s="416">
        <v>-4.0000000000000036E-2</v>
      </c>
      <c r="O66" s="292" t="s">
        <v>506</v>
      </c>
      <c r="P66" s="292" t="s">
        <v>1781</v>
      </c>
    </row>
    <row r="67" spans="1:16" ht="17">
      <c r="A67" s="280" t="s">
        <v>390</v>
      </c>
      <c r="B67" s="380">
        <v>2.5</v>
      </c>
      <c r="C67" s="380">
        <v>0</v>
      </c>
      <c r="D67" s="380">
        <v>0</v>
      </c>
      <c r="E67" s="380">
        <v>0</v>
      </c>
      <c r="F67" s="380">
        <v>0</v>
      </c>
      <c r="G67" s="380">
        <v>2.5</v>
      </c>
      <c r="H67" s="380">
        <v>2.4</v>
      </c>
      <c r="I67" s="380">
        <v>0</v>
      </c>
      <c r="J67" s="380">
        <v>0</v>
      </c>
      <c r="K67" s="380">
        <v>0</v>
      </c>
      <c r="L67" s="380">
        <v>0</v>
      </c>
      <c r="M67" s="380">
        <v>2.4</v>
      </c>
      <c r="N67" s="372">
        <v>-4.0000000000000036E-2</v>
      </c>
      <c r="O67" s="427"/>
      <c r="P67" s="428"/>
    </row>
    <row r="68" spans="1:16" ht="16">
      <c r="A68" s="267"/>
      <c r="B68" s="327"/>
      <c r="C68" s="327"/>
      <c r="D68" s="327"/>
      <c r="E68" s="327"/>
      <c r="F68" s="327"/>
      <c r="G68" s="327"/>
      <c r="H68" s="327"/>
      <c r="I68" s="327"/>
      <c r="J68" s="327"/>
      <c r="K68" s="327"/>
      <c r="L68" s="327"/>
      <c r="M68" s="327"/>
      <c r="N68" s="329"/>
      <c r="O68" s="429"/>
      <c r="P68" s="429"/>
    </row>
    <row r="69" spans="1:16" ht="17">
      <c r="A69" s="277" t="s">
        <v>391</v>
      </c>
      <c r="B69" s="422"/>
      <c r="C69" s="422"/>
      <c r="D69" s="422"/>
      <c r="E69" s="422"/>
      <c r="F69" s="422"/>
      <c r="G69" s="422"/>
      <c r="H69" s="422"/>
      <c r="I69" s="422"/>
      <c r="J69" s="422"/>
      <c r="K69" s="422"/>
      <c r="L69" s="422"/>
      <c r="M69" s="422"/>
      <c r="N69" s="430"/>
      <c r="O69" s="424"/>
      <c r="P69" s="424"/>
    </row>
    <row r="70" spans="1:16" ht="16">
      <c r="A70" s="267"/>
      <c r="B70" s="327"/>
      <c r="C70" s="327"/>
      <c r="D70" s="327"/>
      <c r="E70" s="327"/>
      <c r="F70" s="327"/>
      <c r="G70" s="327"/>
      <c r="H70" s="327"/>
      <c r="I70" s="327"/>
      <c r="J70" s="327"/>
      <c r="K70" s="327"/>
      <c r="L70" s="327"/>
      <c r="M70" s="327"/>
      <c r="N70" s="329"/>
      <c r="O70" s="429"/>
      <c r="P70" s="429"/>
    </row>
    <row r="71" spans="1:16" ht="17">
      <c r="A71" s="282" t="s">
        <v>392</v>
      </c>
      <c r="B71" s="408"/>
      <c r="C71" s="408"/>
      <c r="D71" s="408"/>
      <c r="E71" s="408"/>
      <c r="F71" s="408"/>
      <c r="G71" s="408"/>
      <c r="H71" s="408"/>
      <c r="I71" s="408"/>
      <c r="J71" s="408"/>
      <c r="K71" s="408"/>
      <c r="L71" s="408"/>
      <c r="M71" s="408"/>
      <c r="N71" s="409"/>
      <c r="O71" s="431"/>
      <c r="P71" s="431"/>
    </row>
    <row r="72" spans="1:16" ht="102">
      <c r="A72" s="291" t="s">
        <v>393</v>
      </c>
      <c r="B72" s="411">
        <v>135.12</v>
      </c>
      <c r="C72" s="411">
        <v>0</v>
      </c>
      <c r="D72" s="411">
        <v>0</v>
      </c>
      <c r="E72" s="411">
        <v>0</v>
      </c>
      <c r="F72" s="411">
        <v>0</v>
      </c>
      <c r="G72" s="412">
        <v>135.12</v>
      </c>
      <c r="H72" s="340">
        <v>141.57</v>
      </c>
      <c r="I72" s="340">
        <v>0</v>
      </c>
      <c r="J72" s="340">
        <v>0</v>
      </c>
      <c r="K72" s="340">
        <v>0</v>
      </c>
      <c r="L72" s="340">
        <v>0</v>
      </c>
      <c r="M72" s="412">
        <v>141.57</v>
      </c>
      <c r="N72" s="413">
        <v>4.7735346358792098E-2</v>
      </c>
      <c r="O72" s="292" t="s">
        <v>508</v>
      </c>
      <c r="P72" s="425" t="s">
        <v>509</v>
      </c>
    </row>
    <row r="73" spans="1:16" ht="17">
      <c r="A73" s="271" t="s">
        <v>394</v>
      </c>
      <c r="B73" s="392">
        <v>0</v>
      </c>
      <c r="C73" s="392">
        <v>0</v>
      </c>
      <c r="D73" s="392">
        <v>80</v>
      </c>
      <c r="E73" s="392">
        <v>0</v>
      </c>
      <c r="F73" s="392">
        <v>0</v>
      </c>
      <c r="G73" s="415">
        <v>80</v>
      </c>
      <c r="H73" s="340">
        <v>0</v>
      </c>
      <c r="I73" s="340">
        <v>0</v>
      </c>
      <c r="J73" s="340">
        <v>76.239999999999995</v>
      </c>
      <c r="K73" s="340">
        <v>0</v>
      </c>
      <c r="L73" s="340">
        <v>0</v>
      </c>
      <c r="M73" s="415">
        <v>76.239999999999995</v>
      </c>
      <c r="N73" s="416">
        <v>-4.7000000000000063E-2</v>
      </c>
      <c r="O73" s="293" t="s">
        <v>510</v>
      </c>
      <c r="P73" s="426" t="s">
        <v>511</v>
      </c>
    </row>
    <row r="74" spans="1:16" ht="17">
      <c r="A74" s="271" t="s">
        <v>395</v>
      </c>
      <c r="B74" s="392">
        <v>0</v>
      </c>
      <c r="C74" s="392">
        <v>18</v>
      </c>
      <c r="D74" s="392">
        <v>0</v>
      </c>
      <c r="E74" s="392">
        <v>0</v>
      </c>
      <c r="F74" s="392">
        <v>0</v>
      </c>
      <c r="G74" s="415">
        <v>18</v>
      </c>
      <c r="H74" s="340">
        <v>0</v>
      </c>
      <c r="I74" s="340">
        <v>18</v>
      </c>
      <c r="J74" s="340">
        <v>0</v>
      </c>
      <c r="K74" s="340">
        <v>0</v>
      </c>
      <c r="L74" s="340">
        <v>0</v>
      </c>
      <c r="M74" s="415">
        <v>18</v>
      </c>
      <c r="N74" s="416">
        <v>0</v>
      </c>
      <c r="O74" s="293" t="s">
        <v>512</v>
      </c>
      <c r="P74" s="426" t="s">
        <v>513</v>
      </c>
    </row>
    <row r="75" spans="1:16" ht="51">
      <c r="A75" s="271" t="s">
        <v>396</v>
      </c>
      <c r="B75" s="392">
        <v>0</v>
      </c>
      <c r="C75" s="392">
        <v>0</v>
      </c>
      <c r="D75" s="392">
        <v>0</v>
      </c>
      <c r="E75" s="392">
        <v>47.7</v>
      </c>
      <c r="F75" s="392">
        <v>0</v>
      </c>
      <c r="G75" s="415">
        <v>47.7</v>
      </c>
      <c r="H75" s="340">
        <v>0</v>
      </c>
      <c r="I75" s="340">
        <v>0</v>
      </c>
      <c r="J75" s="340">
        <v>0</v>
      </c>
      <c r="K75" s="340">
        <v>48.89</v>
      </c>
      <c r="L75" s="340">
        <v>0</v>
      </c>
      <c r="M75" s="415">
        <v>48.89</v>
      </c>
      <c r="N75" s="416">
        <v>2.4947589098532445E-2</v>
      </c>
      <c r="O75" s="293" t="s">
        <v>514</v>
      </c>
      <c r="P75" s="426" t="s">
        <v>515</v>
      </c>
    </row>
    <row r="76" spans="1:16" ht="34">
      <c r="A76" s="271" t="s">
        <v>397</v>
      </c>
      <c r="B76" s="392">
        <v>0</v>
      </c>
      <c r="C76" s="392">
        <v>0</v>
      </c>
      <c r="D76" s="392">
        <v>0</v>
      </c>
      <c r="E76" s="392">
        <v>-11.6</v>
      </c>
      <c r="F76" s="392">
        <v>0</v>
      </c>
      <c r="G76" s="415">
        <v>-11.6</v>
      </c>
      <c r="H76" s="340">
        <v>0</v>
      </c>
      <c r="I76" s="340">
        <v>0</v>
      </c>
      <c r="J76" s="340">
        <v>0</v>
      </c>
      <c r="K76" s="340">
        <v>-20.5</v>
      </c>
      <c r="L76" s="340">
        <v>0</v>
      </c>
      <c r="M76" s="415">
        <v>-20.5</v>
      </c>
      <c r="N76" s="416">
        <v>0.76724137931034486</v>
      </c>
      <c r="O76" s="293" t="s">
        <v>516</v>
      </c>
      <c r="P76" s="426" t="s">
        <v>517</v>
      </c>
    </row>
    <row r="77" spans="1:16" ht="17">
      <c r="A77" s="290" t="s">
        <v>398</v>
      </c>
      <c r="B77" s="418">
        <v>135.12</v>
      </c>
      <c r="C77" s="418">
        <v>18</v>
      </c>
      <c r="D77" s="418">
        <v>80</v>
      </c>
      <c r="E77" s="418">
        <v>36.1</v>
      </c>
      <c r="F77" s="418">
        <v>0</v>
      </c>
      <c r="G77" s="418">
        <v>269.21999999999997</v>
      </c>
      <c r="H77" s="418">
        <v>141.57</v>
      </c>
      <c r="I77" s="418">
        <v>18</v>
      </c>
      <c r="J77" s="418">
        <v>76.239999999999995</v>
      </c>
      <c r="K77" s="418">
        <v>28.39</v>
      </c>
      <c r="L77" s="418">
        <v>0</v>
      </c>
      <c r="M77" s="418">
        <v>264.2</v>
      </c>
      <c r="N77" s="419">
        <v>-1.8646460144119983E-2</v>
      </c>
      <c r="O77" s="432"/>
      <c r="P77" s="433"/>
    </row>
    <row r="78" spans="1:16" ht="17">
      <c r="A78" s="284" t="s">
        <v>399</v>
      </c>
      <c r="B78" s="390"/>
      <c r="C78" s="390"/>
      <c r="D78" s="390"/>
      <c r="E78" s="390"/>
      <c r="F78" s="390"/>
      <c r="G78" s="390"/>
      <c r="H78" s="390"/>
      <c r="I78" s="390"/>
      <c r="J78" s="390"/>
      <c r="K78" s="390"/>
      <c r="L78" s="390"/>
      <c r="M78" s="390"/>
      <c r="N78" s="336"/>
      <c r="O78" s="391"/>
      <c r="P78" s="391"/>
    </row>
    <row r="79" spans="1:16" ht="85">
      <c r="A79" s="292" t="s">
        <v>400</v>
      </c>
      <c r="B79" s="340">
        <v>29.645</v>
      </c>
      <c r="C79" s="340">
        <v>0</v>
      </c>
      <c r="D79" s="340">
        <v>0</v>
      </c>
      <c r="E79" s="340">
        <v>0</v>
      </c>
      <c r="F79" s="340">
        <v>0</v>
      </c>
      <c r="G79" s="434">
        <v>29.645</v>
      </c>
      <c r="H79" s="340">
        <v>29.861999999999998</v>
      </c>
      <c r="I79" s="340">
        <v>0</v>
      </c>
      <c r="J79" s="340">
        <v>0</v>
      </c>
      <c r="K79" s="340">
        <v>0</v>
      </c>
      <c r="L79" s="340">
        <v>0</v>
      </c>
      <c r="M79" s="434">
        <v>29.861999999999998</v>
      </c>
      <c r="N79" s="435">
        <v>7.3199527744981872E-3</v>
      </c>
      <c r="O79" s="273" t="s">
        <v>518</v>
      </c>
      <c r="P79" s="351" t="s">
        <v>519</v>
      </c>
    </row>
    <row r="80" spans="1:16" ht="34">
      <c r="A80" s="293" t="s">
        <v>401</v>
      </c>
      <c r="B80" s="436">
        <v>0</v>
      </c>
      <c r="C80" s="436">
        <v>0</v>
      </c>
      <c r="D80" s="436">
        <v>30</v>
      </c>
      <c r="E80" s="436">
        <v>0</v>
      </c>
      <c r="F80" s="436">
        <v>0</v>
      </c>
      <c r="G80" s="437">
        <v>30</v>
      </c>
      <c r="H80" s="340">
        <v>0</v>
      </c>
      <c r="I80" s="340">
        <v>0</v>
      </c>
      <c r="J80" s="340">
        <v>28.43</v>
      </c>
      <c r="K80" s="340">
        <v>0</v>
      </c>
      <c r="L80" s="340">
        <v>0</v>
      </c>
      <c r="M80" s="437">
        <v>28.43</v>
      </c>
      <c r="N80" s="438">
        <v>-5.2333333333333343E-2</v>
      </c>
      <c r="O80" s="310" t="s">
        <v>520</v>
      </c>
      <c r="P80" s="343" t="s">
        <v>521</v>
      </c>
    </row>
    <row r="81" spans="1:16" ht="34">
      <c r="A81" s="293" t="s">
        <v>402</v>
      </c>
      <c r="B81" s="436">
        <v>0</v>
      </c>
      <c r="C81" s="436">
        <v>0</v>
      </c>
      <c r="D81" s="436">
        <v>0</v>
      </c>
      <c r="E81" s="436">
        <v>2.6</v>
      </c>
      <c r="F81" s="436">
        <v>0</v>
      </c>
      <c r="G81" s="437">
        <v>2.6</v>
      </c>
      <c r="H81" s="340">
        <v>0</v>
      </c>
      <c r="I81" s="340">
        <v>0</v>
      </c>
      <c r="J81" s="340">
        <v>0</v>
      </c>
      <c r="K81" s="340">
        <v>2</v>
      </c>
      <c r="L81" s="340">
        <v>0</v>
      </c>
      <c r="M81" s="437">
        <v>2</v>
      </c>
      <c r="N81" s="438">
        <v>-0.23076923076923078</v>
      </c>
      <c r="O81" s="310" t="s">
        <v>522</v>
      </c>
      <c r="P81" s="343" t="s">
        <v>511</v>
      </c>
    </row>
    <row r="82" spans="1:16" ht="17">
      <c r="A82" s="293" t="s">
        <v>403</v>
      </c>
      <c r="B82" s="436"/>
      <c r="C82" s="436"/>
      <c r="D82" s="436"/>
      <c r="E82" s="436"/>
      <c r="F82" s="436"/>
      <c r="G82" s="437"/>
      <c r="H82" s="340"/>
      <c r="I82" s="340"/>
      <c r="J82" s="340"/>
      <c r="K82" s="340">
        <v>-0.1</v>
      </c>
      <c r="L82" s="340"/>
      <c r="M82" s="437">
        <v>-0.1</v>
      </c>
      <c r="N82" s="438"/>
      <c r="O82" s="310"/>
      <c r="P82" s="343"/>
    </row>
    <row r="83" spans="1:16" ht="17">
      <c r="A83" s="293" t="s">
        <v>404</v>
      </c>
      <c r="B83" s="436">
        <v>0</v>
      </c>
      <c r="C83" s="436">
        <v>2</v>
      </c>
      <c r="D83" s="436">
        <v>0</v>
      </c>
      <c r="E83" s="436">
        <v>0</v>
      </c>
      <c r="F83" s="436">
        <v>0</v>
      </c>
      <c r="G83" s="437">
        <v>2</v>
      </c>
      <c r="H83" s="340">
        <v>0</v>
      </c>
      <c r="I83" s="340">
        <v>2.5</v>
      </c>
      <c r="J83" s="340">
        <v>0</v>
      </c>
      <c r="K83" s="340">
        <v>0</v>
      </c>
      <c r="L83" s="340">
        <v>0</v>
      </c>
      <c r="M83" s="437">
        <v>2.5</v>
      </c>
      <c r="N83" s="438">
        <v>0.25</v>
      </c>
      <c r="O83" s="310" t="s">
        <v>523</v>
      </c>
      <c r="P83" s="343" t="s">
        <v>337</v>
      </c>
    </row>
    <row r="84" spans="1:16" ht="34">
      <c r="A84" s="293" t="s">
        <v>405</v>
      </c>
      <c r="B84" s="436">
        <v>0.1</v>
      </c>
      <c r="C84" s="436">
        <v>0</v>
      </c>
      <c r="D84" s="436">
        <v>0</v>
      </c>
      <c r="E84" s="436">
        <v>0</v>
      </c>
      <c r="F84" s="436">
        <v>0</v>
      </c>
      <c r="G84" s="437">
        <v>0.1</v>
      </c>
      <c r="H84" s="340">
        <v>0</v>
      </c>
      <c r="I84" s="340">
        <v>0</v>
      </c>
      <c r="J84" s="340">
        <v>0</v>
      </c>
      <c r="K84" s="340">
        <v>0</v>
      </c>
      <c r="L84" s="340">
        <v>0</v>
      </c>
      <c r="M84" s="437">
        <v>0</v>
      </c>
      <c r="N84" s="438">
        <v>-1</v>
      </c>
      <c r="O84" s="310" t="s">
        <v>524</v>
      </c>
      <c r="P84" s="343" t="s">
        <v>525</v>
      </c>
    </row>
    <row r="85" spans="1:16" ht="17">
      <c r="A85" s="290" t="s">
        <v>406</v>
      </c>
      <c r="B85" s="418">
        <v>29.745000000000001</v>
      </c>
      <c r="C85" s="418">
        <v>2</v>
      </c>
      <c r="D85" s="418">
        <v>30</v>
      </c>
      <c r="E85" s="418">
        <v>2.6</v>
      </c>
      <c r="F85" s="418">
        <v>0</v>
      </c>
      <c r="G85" s="418">
        <v>64.344999999999999</v>
      </c>
      <c r="H85" s="418">
        <v>29.861999999999998</v>
      </c>
      <c r="I85" s="418">
        <v>2.5</v>
      </c>
      <c r="J85" s="418">
        <v>28.43</v>
      </c>
      <c r="K85" s="418">
        <v>1.9</v>
      </c>
      <c r="L85" s="418">
        <v>0</v>
      </c>
      <c r="M85" s="418">
        <v>62.692</v>
      </c>
      <c r="N85" s="439">
        <v>-2.5689641774807658E-2</v>
      </c>
      <c r="O85" s="440"/>
      <c r="P85" s="421"/>
    </row>
    <row r="86" spans="1:16" ht="16">
      <c r="A86" s="285"/>
      <c r="B86" s="386"/>
      <c r="C86" s="386"/>
      <c r="D86" s="386"/>
      <c r="E86" s="386"/>
      <c r="F86" s="386"/>
      <c r="G86" s="387"/>
      <c r="H86" s="386"/>
      <c r="I86" s="386"/>
      <c r="J86" s="386"/>
      <c r="K86" s="386"/>
      <c r="L86" s="386"/>
      <c r="M86" s="387"/>
      <c r="N86" s="388"/>
      <c r="O86" s="389"/>
      <c r="P86" s="389"/>
    </row>
    <row r="87" spans="1:16" ht="17">
      <c r="A87" s="282" t="s">
        <v>407</v>
      </c>
      <c r="B87" s="335"/>
      <c r="C87" s="335"/>
      <c r="D87" s="335"/>
      <c r="E87" s="335"/>
      <c r="F87" s="335"/>
      <c r="G87" s="335"/>
      <c r="H87" s="335"/>
      <c r="I87" s="335"/>
      <c r="J87" s="335"/>
      <c r="K87" s="335"/>
      <c r="L87" s="335"/>
      <c r="M87" s="335"/>
      <c r="N87" s="441"/>
      <c r="O87" s="410"/>
      <c r="P87" s="410"/>
    </row>
    <row r="88" spans="1:16" ht="85">
      <c r="A88" s="292" t="s">
        <v>407</v>
      </c>
      <c r="B88" s="340">
        <v>14.803000000000001</v>
      </c>
      <c r="C88" s="340">
        <v>1</v>
      </c>
      <c r="D88" s="340">
        <v>15.2</v>
      </c>
      <c r="E88" s="340">
        <v>6</v>
      </c>
      <c r="F88" s="340">
        <v>0</v>
      </c>
      <c r="G88" s="434">
        <v>37.003</v>
      </c>
      <c r="H88" s="340">
        <v>15.103</v>
      </c>
      <c r="I88" s="340">
        <v>0.5</v>
      </c>
      <c r="J88" s="340">
        <v>15.2</v>
      </c>
      <c r="K88" s="340">
        <v>4</v>
      </c>
      <c r="L88" s="340">
        <v>0</v>
      </c>
      <c r="M88" s="434">
        <v>34.802999999999997</v>
      </c>
      <c r="N88" s="435">
        <v>-5.945463881306929E-2</v>
      </c>
      <c r="O88" s="273" t="s">
        <v>526</v>
      </c>
      <c r="P88" s="351" t="s">
        <v>527</v>
      </c>
    </row>
    <row r="89" spans="1:16" ht="17">
      <c r="A89" s="292" t="s">
        <v>408</v>
      </c>
      <c r="B89" s="340">
        <v>0</v>
      </c>
      <c r="C89" s="340">
        <v>0</v>
      </c>
      <c r="D89" s="340">
        <v>0</v>
      </c>
      <c r="E89" s="340">
        <v>0</v>
      </c>
      <c r="F89" s="340">
        <v>0</v>
      </c>
      <c r="G89" s="434">
        <v>0</v>
      </c>
      <c r="H89" s="340">
        <v>0</v>
      </c>
      <c r="I89" s="340">
        <v>0</v>
      </c>
      <c r="J89" s="340">
        <v>0</v>
      </c>
      <c r="K89" s="340">
        <v>-0.35</v>
      </c>
      <c r="L89" s="340">
        <v>0</v>
      </c>
      <c r="M89" s="434">
        <v>-0.35</v>
      </c>
      <c r="N89" s="435" t="s">
        <v>155</v>
      </c>
      <c r="O89" s="273" t="s">
        <v>516</v>
      </c>
      <c r="P89" s="351" t="s">
        <v>528</v>
      </c>
    </row>
    <row r="90" spans="1:16" ht="17">
      <c r="A90" s="290" t="s">
        <v>409</v>
      </c>
      <c r="B90" s="418">
        <v>14.803000000000001</v>
      </c>
      <c r="C90" s="418">
        <v>1</v>
      </c>
      <c r="D90" s="418">
        <v>15.2</v>
      </c>
      <c r="E90" s="418">
        <v>6</v>
      </c>
      <c r="F90" s="418">
        <v>0</v>
      </c>
      <c r="G90" s="418">
        <v>37.003</v>
      </c>
      <c r="H90" s="418">
        <v>15.103</v>
      </c>
      <c r="I90" s="418">
        <v>0.5</v>
      </c>
      <c r="J90" s="418">
        <v>15.2</v>
      </c>
      <c r="K90" s="418">
        <v>3.65</v>
      </c>
      <c r="L90" s="418">
        <v>0</v>
      </c>
      <c r="M90" s="418">
        <v>34.452999999999996</v>
      </c>
      <c r="N90" s="439">
        <v>-6.8913331351512161E-2</v>
      </c>
      <c r="O90" s="440"/>
      <c r="P90" s="421"/>
    </row>
    <row r="91" spans="1:16" ht="16">
      <c r="A91" s="267"/>
      <c r="B91" s="327"/>
      <c r="C91" s="327"/>
      <c r="D91" s="327"/>
      <c r="E91" s="327"/>
      <c r="F91" s="327"/>
      <c r="G91" s="327"/>
      <c r="H91" s="327"/>
      <c r="I91" s="327"/>
      <c r="J91" s="327"/>
      <c r="K91" s="327"/>
      <c r="L91" s="327"/>
      <c r="M91" s="327"/>
      <c r="N91" s="329"/>
      <c r="O91" s="429"/>
      <c r="P91" s="429"/>
    </row>
    <row r="92" spans="1:16" ht="17">
      <c r="A92" s="282" t="s">
        <v>410</v>
      </c>
      <c r="B92" s="408"/>
      <c r="C92" s="408"/>
      <c r="D92" s="408"/>
      <c r="E92" s="408"/>
      <c r="F92" s="408"/>
      <c r="G92" s="408"/>
      <c r="H92" s="408"/>
      <c r="I92" s="408"/>
      <c r="J92" s="408"/>
      <c r="K92" s="408"/>
      <c r="L92" s="408"/>
      <c r="M92" s="408"/>
      <c r="N92" s="409"/>
      <c r="O92" s="431"/>
      <c r="P92" s="431"/>
    </row>
    <row r="93" spans="1:16" ht="34">
      <c r="A93" s="294" t="s">
        <v>411</v>
      </c>
      <c r="B93" s="411">
        <v>0.2</v>
      </c>
      <c r="C93" s="411">
        <v>0</v>
      </c>
      <c r="D93" s="411">
        <v>0</v>
      </c>
      <c r="E93" s="411">
        <v>0</v>
      </c>
      <c r="F93" s="411">
        <v>0</v>
      </c>
      <c r="G93" s="412">
        <v>0.2</v>
      </c>
      <c r="H93" s="340">
        <v>0</v>
      </c>
      <c r="I93" s="340">
        <v>0</v>
      </c>
      <c r="J93" s="340">
        <v>0</v>
      </c>
      <c r="K93" s="340">
        <v>0</v>
      </c>
      <c r="L93" s="340">
        <v>0</v>
      </c>
      <c r="M93" s="412">
        <v>0</v>
      </c>
      <c r="N93" s="413">
        <v>-1</v>
      </c>
      <c r="O93" s="292" t="s">
        <v>529</v>
      </c>
      <c r="P93" s="442" t="s">
        <v>530</v>
      </c>
    </row>
    <row r="94" spans="1:16" ht="85">
      <c r="A94" s="271" t="s">
        <v>412</v>
      </c>
      <c r="B94" s="392">
        <v>3.61</v>
      </c>
      <c r="C94" s="392">
        <v>0</v>
      </c>
      <c r="D94" s="392">
        <v>9.8000000000000007</v>
      </c>
      <c r="E94" s="392">
        <v>0</v>
      </c>
      <c r="F94" s="392">
        <v>0</v>
      </c>
      <c r="G94" s="415">
        <v>13.41</v>
      </c>
      <c r="H94" s="340">
        <v>1</v>
      </c>
      <c r="I94" s="340">
        <v>0</v>
      </c>
      <c r="J94" s="340">
        <v>0.65</v>
      </c>
      <c r="K94" s="340">
        <v>0</v>
      </c>
      <c r="L94" s="340">
        <v>0</v>
      </c>
      <c r="M94" s="415">
        <v>1.65</v>
      </c>
      <c r="N94" s="416">
        <v>-0.87695749440715887</v>
      </c>
      <c r="O94" s="293" t="s">
        <v>531</v>
      </c>
      <c r="P94" s="426" t="s">
        <v>532</v>
      </c>
    </row>
    <row r="95" spans="1:16" ht="85">
      <c r="A95" s="271" t="s">
        <v>413</v>
      </c>
      <c r="B95" s="392">
        <v>4.7679999999999998</v>
      </c>
      <c r="C95" s="392">
        <v>0</v>
      </c>
      <c r="D95" s="392">
        <v>0</v>
      </c>
      <c r="E95" s="392">
        <v>0</v>
      </c>
      <c r="F95" s="392">
        <v>0</v>
      </c>
      <c r="G95" s="415">
        <v>4.7679999999999998</v>
      </c>
      <c r="H95" s="340">
        <v>14.372999999999999</v>
      </c>
      <c r="I95" s="340">
        <v>0</v>
      </c>
      <c r="J95" s="340">
        <v>0</v>
      </c>
      <c r="K95" s="340">
        <v>0</v>
      </c>
      <c r="L95" s="340">
        <v>0</v>
      </c>
      <c r="M95" s="415">
        <v>14.372999999999999</v>
      </c>
      <c r="N95" s="416">
        <v>2.0144714765100673</v>
      </c>
      <c r="O95" s="293" t="s">
        <v>533</v>
      </c>
      <c r="P95" s="443" t="s">
        <v>534</v>
      </c>
    </row>
    <row r="96" spans="1:16" ht="34">
      <c r="A96" s="271" t="s">
        <v>414</v>
      </c>
      <c r="B96" s="392">
        <v>15</v>
      </c>
      <c r="C96" s="392">
        <v>0</v>
      </c>
      <c r="D96" s="392">
        <v>0</v>
      </c>
      <c r="E96" s="392">
        <v>0</v>
      </c>
      <c r="F96" s="392">
        <v>0</v>
      </c>
      <c r="G96" s="415">
        <v>15</v>
      </c>
      <c r="H96" s="340">
        <v>0</v>
      </c>
      <c r="I96" s="340">
        <v>0</v>
      </c>
      <c r="J96" s="340">
        <v>0</v>
      </c>
      <c r="K96" s="340">
        <v>0</v>
      </c>
      <c r="L96" s="340">
        <v>0</v>
      </c>
      <c r="M96" s="415">
        <v>0</v>
      </c>
      <c r="N96" s="416">
        <v>-1</v>
      </c>
      <c r="O96" s="293" t="s">
        <v>535</v>
      </c>
      <c r="P96" s="443" t="s">
        <v>536</v>
      </c>
    </row>
    <row r="97" spans="1:16" ht="17">
      <c r="A97" s="290" t="s">
        <v>415</v>
      </c>
      <c r="B97" s="418">
        <v>23.577999999999999</v>
      </c>
      <c r="C97" s="418">
        <v>0</v>
      </c>
      <c r="D97" s="418">
        <v>9.8000000000000007</v>
      </c>
      <c r="E97" s="418">
        <v>0</v>
      </c>
      <c r="F97" s="418">
        <v>0</v>
      </c>
      <c r="G97" s="418">
        <v>33.378</v>
      </c>
      <c r="H97" s="418">
        <v>15.372999999999999</v>
      </c>
      <c r="I97" s="418">
        <v>0</v>
      </c>
      <c r="J97" s="418">
        <v>0.65</v>
      </c>
      <c r="K97" s="418">
        <v>0</v>
      </c>
      <c r="L97" s="418">
        <v>0</v>
      </c>
      <c r="M97" s="418">
        <v>16.023</v>
      </c>
      <c r="N97" s="419">
        <v>-0.51995326262807839</v>
      </c>
      <c r="O97" s="432"/>
      <c r="P97" s="433"/>
    </row>
    <row r="98" spans="1:16" ht="16">
      <c r="A98" s="267"/>
      <c r="B98" s="327"/>
      <c r="C98" s="327"/>
      <c r="D98" s="327"/>
      <c r="E98" s="327"/>
      <c r="F98" s="327"/>
      <c r="G98" s="327"/>
      <c r="H98" s="327"/>
      <c r="I98" s="327"/>
      <c r="J98" s="327"/>
      <c r="K98" s="327"/>
      <c r="L98" s="327"/>
      <c r="M98" s="327"/>
      <c r="N98" s="329"/>
      <c r="O98" s="429"/>
      <c r="P98" s="429"/>
    </row>
    <row r="99" spans="1:16" ht="17">
      <c r="A99" s="282" t="s">
        <v>416</v>
      </c>
      <c r="B99" s="408"/>
      <c r="C99" s="408"/>
      <c r="D99" s="408"/>
      <c r="E99" s="408"/>
      <c r="F99" s="408"/>
      <c r="G99" s="408"/>
      <c r="H99" s="408"/>
      <c r="I99" s="408"/>
      <c r="J99" s="408"/>
      <c r="K99" s="408"/>
      <c r="L99" s="408"/>
      <c r="M99" s="408"/>
      <c r="N99" s="409"/>
      <c r="O99" s="431"/>
      <c r="P99" s="431"/>
    </row>
    <row r="100" spans="1:16" ht="68">
      <c r="A100" s="291" t="s">
        <v>417</v>
      </c>
      <c r="B100" s="411">
        <v>0</v>
      </c>
      <c r="C100" s="411">
        <v>0</v>
      </c>
      <c r="D100" s="411">
        <v>15.3</v>
      </c>
      <c r="E100" s="411">
        <v>0</v>
      </c>
      <c r="F100" s="411">
        <v>0</v>
      </c>
      <c r="G100" s="412">
        <v>15.3</v>
      </c>
      <c r="H100" s="340">
        <v>0</v>
      </c>
      <c r="I100" s="340">
        <v>0</v>
      </c>
      <c r="J100" s="340">
        <v>15.92</v>
      </c>
      <c r="K100" s="340">
        <v>0</v>
      </c>
      <c r="L100" s="340">
        <v>0</v>
      </c>
      <c r="M100" s="412">
        <v>15.92</v>
      </c>
      <c r="N100" s="413">
        <v>4.052287581699341E-2</v>
      </c>
      <c r="O100" s="292" t="s">
        <v>537</v>
      </c>
      <c r="P100" s="425" t="s">
        <v>538</v>
      </c>
    </row>
    <row r="101" spans="1:16" ht="102">
      <c r="A101" s="291" t="s">
        <v>416</v>
      </c>
      <c r="B101" s="411">
        <v>13.56</v>
      </c>
      <c r="C101" s="411">
        <v>0</v>
      </c>
      <c r="D101" s="411">
        <v>2</v>
      </c>
      <c r="E101" s="411">
        <v>0</v>
      </c>
      <c r="F101" s="411">
        <v>0</v>
      </c>
      <c r="G101" s="412">
        <v>15.56</v>
      </c>
      <c r="H101" s="340">
        <v>17.821999999999999</v>
      </c>
      <c r="I101" s="340">
        <v>0</v>
      </c>
      <c r="J101" s="340">
        <v>0</v>
      </c>
      <c r="K101" s="340">
        <v>0</v>
      </c>
      <c r="L101" s="340">
        <v>0</v>
      </c>
      <c r="M101" s="412">
        <v>17.821999999999999</v>
      </c>
      <c r="N101" s="413">
        <v>0.14537275064267344</v>
      </c>
      <c r="O101" s="292" t="s">
        <v>539</v>
      </c>
      <c r="P101" s="425" t="s">
        <v>540</v>
      </c>
    </row>
    <row r="102" spans="1:16" ht="119">
      <c r="A102" s="271" t="s">
        <v>418</v>
      </c>
      <c r="B102" s="392">
        <v>13.763999999999999</v>
      </c>
      <c r="C102" s="392">
        <v>0</v>
      </c>
      <c r="D102" s="392">
        <v>4</v>
      </c>
      <c r="E102" s="392">
        <v>0</v>
      </c>
      <c r="F102" s="392">
        <v>0</v>
      </c>
      <c r="G102" s="415">
        <v>17.763999999999999</v>
      </c>
      <c r="H102" s="340">
        <v>19.754000000000001</v>
      </c>
      <c r="I102" s="340">
        <v>0</v>
      </c>
      <c r="J102" s="340">
        <v>0</v>
      </c>
      <c r="K102" s="340">
        <v>0</v>
      </c>
      <c r="L102" s="340">
        <v>0</v>
      </c>
      <c r="M102" s="415">
        <v>19.754000000000001</v>
      </c>
      <c r="N102" s="416">
        <v>0.11202431884710662</v>
      </c>
      <c r="O102" s="444" t="s">
        <v>541</v>
      </c>
      <c r="P102" s="426" t="s">
        <v>542</v>
      </c>
    </row>
    <row r="103" spans="1:16" ht="34">
      <c r="A103" s="271" t="s">
        <v>419</v>
      </c>
      <c r="B103" s="392">
        <v>0</v>
      </c>
      <c r="C103" s="392">
        <v>0</v>
      </c>
      <c r="D103" s="392">
        <v>0</v>
      </c>
      <c r="E103" s="392">
        <v>28</v>
      </c>
      <c r="F103" s="392">
        <v>0</v>
      </c>
      <c r="G103" s="415">
        <v>28</v>
      </c>
      <c r="H103" s="340">
        <v>0</v>
      </c>
      <c r="I103" s="340">
        <v>0</v>
      </c>
      <c r="J103" s="340">
        <v>0</v>
      </c>
      <c r="K103" s="340">
        <v>3.15</v>
      </c>
      <c r="L103" s="340">
        <v>0</v>
      </c>
      <c r="M103" s="415">
        <v>3.15</v>
      </c>
      <c r="N103" s="416">
        <v>-0.88750000000000007</v>
      </c>
      <c r="O103" s="293" t="s">
        <v>543</v>
      </c>
      <c r="P103" s="426" t="s">
        <v>544</v>
      </c>
    </row>
    <row r="104" spans="1:16" ht="34">
      <c r="A104" s="271" t="s">
        <v>420</v>
      </c>
      <c r="B104" s="392">
        <v>0</v>
      </c>
      <c r="C104" s="392">
        <v>0</v>
      </c>
      <c r="D104" s="392">
        <v>0</v>
      </c>
      <c r="E104" s="392">
        <v>0</v>
      </c>
      <c r="F104" s="392">
        <v>0</v>
      </c>
      <c r="G104" s="415">
        <v>0</v>
      </c>
      <c r="H104" s="340">
        <v>0</v>
      </c>
      <c r="I104" s="340">
        <v>0</v>
      </c>
      <c r="J104" s="340">
        <v>0</v>
      </c>
      <c r="K104" s="340">
        <v>-10.89</v>
      </c>
      <c r="L104" s="340">
        <v>0</v>
      </c>
      <c r="M104" s="415">
        <v>-10.89</v>
      </c>
      <c r="N104" s="416" t="s">
        <v>155</v>
      </c>
      <c r="O104" s="293" t="s">
        <v>516</v>
      </c>
      <c r="P104" s="426" t="s">
        <v>545</v>
      </c>
    </row>
    <row r="105" spans="1:16" ht="17">
      <c r="A105" s="290" t="s">
        <v>421</v>
      </c>
      <c r="B105" s="418">
        <v>27.323999999999998</v>
      </c>
      <c r="C105" s="418">
        <v>0</v>
      </c>
      <c r="D105" s="418">
        <v>21.3</v>
      </c>
      <c r="E105" s="418">
        <v>28</v>
      </c>
      <c r="F105" s="418">
        <v>0</v>
      </c>
      <c r="G105" s="418">
        <v>76.623999999999995</v>
      </c>
      <c r="H105" s="418">
        <v>37.576000000000001</v>
      </c>
      <c r="I105" s="418">
        <v>0</v>
      </c>
      <c r="J105" s="418">
        <v>15.92</v>
      </c>
      <c r="K105" s="418">
        <v>-7.74</v>
      </c>
      <c r="L105" s="418">
        <v>0</v>
      </c>
      <c r="M105" s="418">
        <v>45.755999999999993</v>
      </c>
      <c r="N105" s="419">
        <v>-0.40285028189601174</v>
      </c>
      <c r="O105" s="432"/>
      <c r="P105" s="433"/>
    </row>
    <row r="106" spans="1:16" ht="16">
      <c r="A106" s="267"/>
      <c r="B106" s="327"/>
      <c r="C106" s="327"/>
      <c r="D106" s="327"/>
      <c r="E106" s="327"/>
      <c r="F106" s="327"/>
      <c r="G106" s="327"/>
      <c r="H106" s="327"/>
      <c r="I106" s="327"/>
      <c r="J106" s="327"/>
      <c r="K106" s="327"/>
      <c r="L106" s="327"/>
      <c r="M106" s="327"/>
      <c r="N106" s="329"/>
      <c r="O106" s="429"/>
      <c r="P106" s="429"/>
    </row>
    <row r="107" spans="1:16" ht="17">
      <c r="A107" s="280" t="s">
        <v>422</v>
      </c>
      <c r="B107" s="380">
        <v>230.57</v>
      </c>
      <c r="C107" s="380">
        <v>21</v>
      </c>
      <c r="D107" s="380">
        <v>156.30000000000001</v>
      </c>
      <c r="E107" s="380">
        <v>72.699999999999989</v>
      </c>
      <c r="F107" s="380">
        <v>0</v>
      </c>
      <c r="G107" s="380">
        <v>480.56999999999994</v>
      </c>
      <c r="H107" s="380">
        <v>239.48400000000001</v>
      </c>
      <c r="I107" s="380">
        <v>21</v>
      </c>
      <c r="J107" s="380">
        <v>136.44</v>
      </c>
      <c r="K107" s="380">
        <v>26.199999999999996</v>
      </c>
      <c r="L107" s="380">
        <v>0</v>
      </c>
      <c r="M107" s="380">
        <v>423.12399999999997</v>
      </c>
      <c r="N107" s="372">
        <v>-0.11953721622240251</v>
      </c>
      <c r="O107" s="427"/>
      <c r="P107" s="445"/>
    </row>
    <row r="108" spans="1:16" ht="16">
      <c r="A108" s="267"/>
      <c r="B108" s="327"/>
      <c r="C108" s="327"/>
      <c r="D108" s="327"/>
      <c r="E108" s="327"/>
      <c r="F108" s="327"/>
      <c r="G108" s="327"/>
      <c r="H108" s="327"/>
      <c r="I108" s="327"/>
      <c r="J108" s="327"/>
      <c r="K108" s="327"/>
      <c r="L108" s="327"/>
      <c r="M108" s="327"/>
      <c r="N108" s="329"/>
      <c r="O108" s="429"/>
      <c r="P108" s="429"/>
    </row>
    <row r="109" spans="1:16" ht="17">
      <c r="A109" s="277" t="s">
        <v>423</v>
      </c>
      <c r="B109" s="422"/>
      <c r="C109" s="422"/>
      <c r="D109" s="422"/>
      <c r="E109" s="422"/>
      <c r="F109" s="422"/>
      <c r="G109" s="422"/>
      <c r="H109" s="422"/>
      <c r="I109" s="422"/>
      <c r="J109" s="422"/>
      <c r="K109" s="422"/>
      <c r="L109" s="422"/>
      <c r="M109" s="422"/>
      <c r="N109" s="423"/>
      <c r="O109" s="365"/>
      <c r="P109" s="365"/>
    </row>
    <row r="110" spans="1:16" ht="102">
      <c r="A110" s="278" t="s">
        <v>423</v>
      </c>
      <c r="B110" s="411">
        <v>24.37</v>
      </c>
      <c r="C110" s="411">
        <v>0</v>
      </c>
      <c r="D110" s="411">
        <v>20.399999999999999</v>
      </c>
      <c r="E110" s="411">
        <v>0</v>
      </c>
      <c r="F110" s="411">
        <v>0</v>
      </c>
      <c r="G110" s="412">
        <v>44.769999999999996</v>
      </c>
      <c r="H110" s="340">
        <v>33.466000000000001</v>
      </c>
      <c r="I110" s="340">
        <v>3.5</v>
      </c>
      <c r="J110" s="340">
        <v>18.899999999999999</v>
      </c>
      <c r="K110" s="340">
        <v>0</v>
      </c>
      <c r="L110" s="340">
        <v>0</v>
      </c>
      <c r="M110" s="412">
        <v>55.866</v>
      </c>
      <c r="N110" s="413">
        <v>0.24784453875362977</v>
      </c>
      <c r="O110" s="446" t="s">
        <v>546</v>
      </c>
      <c r="P110" s="425" t="s">
        <v>547</v>
      </c>
    </row>
    <row r="111" spans="1:16" ht="17">
      <c r="A111" s="280" t="s">
        <v>424</v>
      </c>
      <c r="B111" s="380">
        <v>24.37</v>
      </c>
      <c r="C111" s="380">
        <v>0</v>
      </c>
      <c r="D111" s="380">
        <v>20.399999999999999</v>
      </c>
      <c r="E111" s="380">
        <v>0</v>
      </c>
      <c r="F111" s="380">
        <v>0</v>
      </c>
      <c r="G111" s="380">
        <v>44.769999999999996</v>
      </c>
      <c r="H111" s="380">
        <v>33.466000000000001</v>
      </c>
      <c r="I111" s="380">
        <v>3.5</v>
      </c>
      <c r="J111" s="380">
        <v>18.899999999999999</v>
      </c>
      <c r="K111" s="380">
        <v>0</v>
      </c>
      <c r="L111" s="380">
        <v>0</v>
      </c>
      <c r="M111" s="380">
        <v>55.866</v>
      </c>
      <c r="N111" s="372">
        <v>0.24784453875362977</v>
      </c>
      <c r="O111" s="427"/>
      <c r="P111" s="428"/>
    </row>
    <row r="112" spans="1:16" ht="16">
      <c r="A112" s="267"/>
      <c r="B112" s="327"/>
      <c r="C112" s="327"/>
      <c r="D112" s="327"/>
      <c r="E112" s="327"/>
      <c r="F112" s="327"/>
      <c r="G112" s="328"/>
      <c r="H112" s="327"/>
      <c r="I112" s="327"/>
      <c r="J112" s="327"/>
      <c r="K112" s="327"/>
      <c r="L112" s="327"/>
      <c r="M112" s="328"/>
      <c r="N112" s="329"/>
      <c r="O112" s="267"/>
      <c r="P112" s="267"/>
    </row>
    <row r="113" spans="1:16" ht="17">
      <c r="A113" s="277" t="s">
        <v>425</v>
      </c>
      <c r="B113" s="422"/>
      <c r="C113" s="422"/>
      <c r="D113" s="422"/>
      <c r="E113" s="422"/>
      <c r="F113" s="422"/>
      <c r="G113" s="422"/>
      <c r="H113" s="422"/>
      <c r="I113" s="422"/>
      <c r="J113" s="422"/>
      <c r="K113" s="422"/>
      <c r="L113" s="422"/>
      <c r="M113" s="422"/>
      <c r="N113" s="423"/>
      <c r="O113" s="365"/>
      <c r="P113" s="365"/>
    </row>
    <row r="114" spans="1:16" ht="34">
      <c r="A114" s="278" t="s">
        <v>426</v>
      </c>
      <c r="B114" s="411">
        <v>5.6</v>
      </c>
      <c r="C114" s="411">
        <v>0</v>
      </c>
      <c r="D114" s="411">
        <v>3.6</v>
      </c>
      <c r="E114" s="411">
        <v>0</v>
      </c>
      <c r="F114" s="411">
        <v>0</v>
      </c>
      <c r="G114" s="412">
        <v>9.1999999999999993</v>
      </c>
      <c r="H114" s="340">
        <v>1</v>
      </c>
      <c r="I114" s="340">
        <v>0</v>
      </c>
      <c r="J114" s="340">
        <v>0</v>
      </c>
      <c r="K114" s="340">
        <v>0</v>
      </c>
      <c r="L114" s="340">
        <v>0</v>
      </c>
      <c r="M114" s="412">
        <v>1</v>
      </c>
      <c r="N114" s="413">
        <v>-0.89130434782608692</v>
      </c>
      <c r="O114" s="446" t="s">
        <v>548</v>
      </c>
      <c r="P114" s="425" t="s">
        <v>549</v>
      </c>
    </row>
    <row r="115" spans="1:16" ht="51">
      <c r="A115" s="278" t="s">
        <v>427</v>
      </c>
      <c r="B115" s="411">
        <v>0</v>
      </c>
      <c r="C115" s="411">
        <v>0</v>
      </c>
      <c r="D115" s="411">
        <v>0</v>
      </c>
      <c r="E115" s="411">
        <v>6</v>
      </c>
      <c r="F115" s="411">
        <v>0</v>
      </c>
      <c r="G115" s="412">
        <v>6</v>
      </c>
      <c r="H115" s="340">
        <v>0</v>
      </c>
      <c r="I115" s="340">
        <v>0</v>
      </c>
      <c r="J115" s="340">
        <v>0</v>
      </c>
      <c r="K115" s="340">
        <v>0</v>
      </c>
      <c r="L115" s="340">
        <v>0</v>
      </c>
      <c r="M115" s="412">
        <v>0</v>
      </c>
      <c r="N115" s="413">
        <v>-1</v>
      </c>
      <c r="O115" s="446" t="s">
        <v>550</v>
      </c>
      <c r="P115" s="425" t="s">
        <v>551</v>
      </c>
    </row>
    <row r="116" spans="1:16" ht="34">
      <c r="A116" s="278" t="s">
        <v>428</v>
      </c>
      <c r="B116" s="411">
        <v>0</v>
      </c>
      <c r="C116" s="411">
        <v>0</v>
      </c>
      <c r="D116" s="411">
        <v>0</v>
      </c>
      <c r="E116" s="411">
        <v>0</v>
      </c>
      <c r="F116" s="411">
        <v>0</v>
      </c>
      <c r="G116" s="412">
        <v>0</v>
      </c>
      <c r="H116" s="340">
        <v>0</v>
      </c>
      <c r="I116" s="340">
        <v>0</v>
      </c>
      <c r="J116" s="340">
        <v>0</v>
      </c>
      <c r="K116" s="340">
        <v>-2</v>
      </c>
      <c r="L116" s="340">
        <v>0</v>
      </c>
      <c r="M116" s="412">
        <v>-2</v>
      </c>
      <c r="N116" s="413" t="s">
        <v>155</v>
      </c>
      <c r="O116" s="446" t="s">
        <v>516</v>
      </c>
      <c r="P116" s="425" t="s">
        <v>517</v>
      </c>
    </row>
    <row r="117" spans="1:16" ht="17">
      <c r="A117" s="280" t="s">
        <v>429</v>
      </c>
      <c r="B117" s="380">
        <v>5.6</v>
      </c>
      <c r="C117" s="380">
        <v>0</v>
      </c>
      <c r="D117" s="380">
        <v>3.6</v>
      </c>
      <c r="E117" s="380">
        <v>6</v>
      </c>
      <c r="F117" s="380">
        <v>0</v>
      </c>
      <c r="G117" s="380">
        <v>15.2</v>
      </c>
      <c r="H117" s="380">
        <v>1</v>
      </c>
      <c r="I117" s="380">
        <v>0</v>
      </c>
      <c r="J117" s="380">
        <v>0</v>
      </c>
      <c r="K117" s="380">
        <v>-2</v>
      </c>
      <c r="L117" s="380">
        <v>0</v>
      </c>
      <c r="M117" s="380">
        <v>-1</v>
      </c>
      <c r="N117" s="372">
        <v>-1.0657894736842106</v>
      </c>
      <c r="O117" s="427"/>
      <c r="P117" s="428"/>
    </row>
    <row r="118" spans="1:16" ht="16">
      <c r="A118" s="295"/>
      <c r="B118" s="447"/>
      <c r="C118" s="447"/>
      <c r="D118" s="447"/>
      <c r="E118" s="447"/>
      <c r="F118" s="447"/>
      <c r="G118" s="403"/>
      <c r="H118" s="447"/>
      <c r="I118" s="447"/>
      <c r="J118" s="447"/>
      <c r="K118" s="447"/>
      <c r="L118" s="447"/>
      <c r="M118" s="403"/>
      <c r="N118" s="448"/>
      <c r="O118" s="449"/>
      <c r="P118" s="449"/>
    </row>
    <row r="119" spans="1:16" ht="17">
      <c r="A119" s="277" t="s">
        <v>430</v>
      </c>
      <c r="B119" s="422"/>
      <c r="C119" s="422"/>
      <c r="D119" s="422"/>
      <c r="E119" s="422"/>
      <c r="F119" s="422"/>
      <c r="G119" s="422"/>
      <c r="H119" s="422"/>
      <c r="I119" s="422"/>
      <c r="J119" s="422"/>
      <c r="K119" s="422"/>
      <c r="L119" s="422"/>
      <c r="M119" s="422"/>
      <c r="N119" s="430"/>
      <c r="O119" s="424"/>
      <c r="P119" s="424"/>
    </row>
    <row r="120" spans="1:16" ht="16">
      <c r="A120" s="295"/>
      <c r="B120" s="447"/>
      <c r="C120" s="447"/>
      <c r="D120" s="447"/>
      <c r="E120" s="447"/>
      <c r="F120" s="447"/>
      <c r="G120" s="403"/>
      <c r="H120" s="447"/>
      <c r="I120" s="447"/>
      <c r="J120" s="447"/>
      <c r="K120" s="447"/>
      <c r="L120" s="447"/>
      <c r="M120" s="403"/>
      <c r="N120" s="448"/>
      <c r="O120" s="449"/>
      <c r="P120" s="449"/>
    </row>
    <row r="121" spans="1:16" ht="34">
      <c r="A121" s="282" t="s">
        <v>431</v>
      </c>
      <c r="B121" s="408"/>
      <c r="C121" s="408"/>
      <c r="D121" s="408"/>
      <c r="E121" s="408"/>
      <c r="F121" s="408"/>
      <c r="G121" s="408"/>
      <c r="H121" s="408"/>
      <c r="I121" s="408"/>
      <c r="J121" s="408"/>
      <c r="K121" s="408"/>
      <c r="L121" s="408"/>
      <c r="M121" s="408"/>
      <c r="N121" s="409"/>
      <c r="O121" s="431"/>
      <c r="P121" s="431"/>
    </row>
    <row r="122" spans="1:16" ht="102">
      <c r="A122" s="291" t="s">
        <v>432</v>
      </c>
      <c r="B122" s="411">
        <v>19.279</v>
      </c>
      <c r="C122" s="411">
        <v>0</v>
      </c>
      <c r="D122" s="411">
        <v>0</v>
      </c>
      <c r="E122" s="411">
        <v>0</v>
      </c>
      <c r="F122" s="411">
        <v>0</v>
      </c>
      <c r="G122" s="412">
        <v>19.279</v>
      </c>
      <c r="H122" s="340">
        <v>24</v>
      </c>
      <c r="I122" s="340">
        <v>0</v>
      </c>
      <c r="J122" s="340">
        <v>0</v>
      </c>
      <c r="K122" s="340">
        <v>0</v>
      </c>
      <c r="L122" s="340">
        <v>0</v>
      </c>
      <c r="M122" s="412">
        <v>24</v>
      </c>
      <c r="N122" s="413">
        <v>0.24487784636132581</v>
      </c>
      <c r="O122" s="450" t="s">
        <v>552</v>
      </c>
      <c r="P122" s="451" t="s">
        <v>553</v>
      </c>
    </row>
    <row r="123" spans="1:16" ht="51">
      <c r="A123" s="271" t="s">
        <v>433</v>
      </c>
      <c r="B123" s="392">
        <v>0</v>
      </c>
      <c r="C123" s="392">
        <v>4.4000000000000004</v>
      </c>
      <c r="D123" s="392">
        <v>0</v>
      </c>
      <c r="E123" s="392">
        <v>0</v>
      </c>
      <c r="F123" s="392">
        <v>0</v>
      </c>
      <c r="G123" s="415">
        <v>4.4000000000000004</v>
      </c>
      <c r="H123" s="340">
        <v>0</v>
      </c>
      <c r="I123" s="340">
        <v>6.2</v>
      </c>
      <c r="J123" s="340">
        <v>0</v>
      </c>
      <c r="K123" s="340">
        <v>0</v>
      </c>
      <c r="L123" s="340">
        <v>0</v>
      </c>
      <c r="M123" s="415">
        <v>6.2</v>
      </c>
      <c r="N123" s="416">
        <v>0.40909090909090901</v>
      </c>
      <c r="O123" s="452" t="s">
        <v>554</v>
      </c>
      <c r="P123" s="453" t="s">
        <v>555</v>
      </c>
    </row>
    <row r="124" spans="1:16" ht="85">
      <c r="A124" s="271" t="s">
        <v>434</v>
      </c>
      <c r="B124" s="392">
        <v>0</v>
      </c>
      <c r="C124" s="392">
        <v>0</v>
      </c>
      <c r="D124" s="392">
        <v>4.5999999999999996</v>
      </c>
      <c r="E124" s="392">
        <v>0</v>
      </c>
      <c r="F124" s="392">
        <v>0</v>
      </c>
      <c r="G124" s="415">
        <v>4.5999999999999996</v>
      </c>
      <c r="H124" s="340">
        <v>0</v>
      </c>
      <c r="I124" s="340">
        <v>0</v>
      </c>
      <c r="J124" s="340">
        <v>3.45</v>
      </c>
      <c r="K124" s="340">
        <v>0</v>
      </c>
      <c r="L124" s="340">
        <v>0</v>
      </c>
      <c r="M124" s="415">
        <v>3.45</v>
      </c>
      <c r="N124" s="416">
        <v>-0.24999999999999992</v>
      </c>
      <c r="O124" s="452" t="s">
        <v>556</v>
      </c>
      <c r="P124" s="453" t="s">
        <v>555</v>
      </c>
    </row>
    <row r="125" spans="1:16" ht="34">
      <c r="A125" s="290" t="s">
        <v>435</v>
      </c>
      <c r="B125" s="418">
        <v>19.279</v>
      </c>
      <c r="C125" s="418">
        <v>4.4000000000000004</v>
      </c>
      <c r="D125" s="418">
        <v>4.5999999999999996</v>
      </c>
      <c r="E125" s="418">
        <v>0</v>
      </c>
      <c r="F125" s="418">
        <v>0</v>
      </c>
      <c r="G125" s="418">
        <v>28.279000000000003</v>
      </c>
      <c r="H125" s="418">
        <v>24</v>
      </c>
      <c r="I125" s="418">
        <v>6.2</v>
      </c>
      <c r="J125" s="418">
        <v>3.45</v>
      </c>
      <c r="K125" s="418">
        <v>0</v>
      </c>
      <c r="L125" s="418">
        <v>0</v>
      </c>
      <c r="M125" s="418">
        <v>33.65</v>
      </c>
      <c r="N125" s="419">
        <v>0.1899289225220126</v>
      </c>
      <c r="O125" s="432"/>
      <c r="P125" s="433"/>
    </row>
    <row r="126" spans="1:16" ht="16">
      <c r="A126" s="295"/>
      <c r="B126" s="447"/>
      <c r="C126" s="447"/>
      <c r="D126" s="447"/>
      <c r="E126" s="447"/>
      <c r="F126" s="447"/>
      <c r="G126" s="403"/>
      <c r="H126" s="447"/>
      <c r="I126" s="447"/>
      <c r="J126" s="447"/>
      <c r="K126" s="447"/>
      <c r="L126" s="447"/>
      <c r="M126" s="403"/>
      <c r="N126" s="448"/>
      <c r="O126" s="449"/>
      <c r="P126" s="449"/>
    </row>
    <row r="127" spans="1:16" ht="34">
      <c r="A127" s="282" t="s">
        <v>436</v>
      </c>
      <c r="B127" s="408"/>
      <c r="C127" s="408"/>
      <c r="D127" s="408"/>
      <c r="E127" s="408"/>
      <c r="F127" s="408"/>
      <c r="G127" s="408"/>
      <c r="H127" s="408"/>
      <c r="I127" s="408"/>
      <c r="J127" s="408"/>
      <c r="K127" s="408"/>
      <c r="L127" s="408"/>
      <c r="M127" s="408"/>
      <c r="N127" s="409"/>
      <c r="O127" s="431"/>
      <c r="P127" s="431"/>
    </row>
    <row r="128" spans="1:16" ht="17">
      <c r="A128" s="271" t="s">
        <v>437</v>
      </c>
      <c r="B128" s="392">
        <v>0</v>
      </c>
      <c r="C128" s="392">
        <v>0</v>
      </c>
      <c r="D128" s="392">
        <v>0</v>
      </c>
      <c r="E128" s="392">
        <v>0</v>
      </c>
      <c r="F128" s="392">
        <v>2998.68</v>
      </c>
      <c r="G128" s="415">
        <v>2998.68</v>
      </c>
      <c r="H128" s="340">
        <v>0</v>
      </c>
      <c r="I128" s="340">
        <v>0</v>
      </c>
      <c r="J128" s="340">
        <v>0</v>
      </c>
      <c r="K128" s="340">
        <v>0</v>
      </c>
      <c r="L128" s="340">
        <v>3289</v>
      </c>
      <c r="M128" s="415">
        <v>3289</v>
      </c>
      <c r="N128" s="416">
        <v>9.6815932343564559E-2</v>
      </c>
      <c r="O128" s="454" t="s">
        <v>557</v>
      </c>
      <c r="P128" s="443" t="s">
        <v>558</v>
      </c>
    </row>
    <row r="129" spans="1:16" ht="34">
      <c r="A129" s="291" t="s">
        <v>438</v>
      </c>
      <c r="B129" s="411">
        <v>0</v>
      </c>
      <c r="C129" s="411">
        <v>0</v>
      </c>
      <c r="D129" s="411">
        <v>0</v>
      </c>
      <c r="E129" s="411">
        <v>0</v>
      </c>
      <c r="F129" s="411">
        <v>-996.47199999999998</v>
      </c>
      <c r="G129" s="412">
        <v>-996.47199999999998</v>
      </c>
      <c r="H129" s="340">
        <v>0</v>
      </c>
      <c r="I129" s="340">
        <v>0</v>
      </c>
      <c r="J129" s="340">
        <v>0</v>
      </c>
      <c r="K129" s="340">
        <v>0</v>
      </c>
      <c r="L129" s="340">
        <v>-1009</v>
      </c>
      <c r="M129" s="412">
        <v>-1009</v>
      </c>
      <c r="N129" s="413">
        <v>1.257235526939043E-2</v>
      </c>
      <c r="O129" s="302" t="s">
        <v>559</v>
      </c>
      <c r="P129" s="442" t="s">
        <v>560</v>
      </c>
    </row>
    <row r="130" spans="1:16" ht="34">
      <c r="A130" s="290" t="s">
        <v>439</v>
      </c>
      <c r="B130" s="418">
        <v>0</v>
      </c>
      <c r="C130" s="418">
        <v>0</v>
      </c>
      <c r="D130" s="418">
        <v>0</v>
      </c>
      <c r="E130" s="418">
        <v>0</v>
      </c>
      <c r="F130" s="418">
        <v>2002.2079999999999</v>
      </c>
      <c r="G130" s="418">
        <v>2002.2079999999999</v>
      </c>
      <c r="H130" s="418">
        <v>0</v>
      </c>
      <c r="I130" s="418">
        <v>0</v>
      </c>
      <c r="J130" s="418">
        <v>0</v>
      </c>
      <c r="K130" s="418">
        <v>0</v>
      </c>
      <c r="L130" s="418">
        <v>2280</v>
      </c>
      <c r="M130" s="418">
        <v>2280</v>
      </c>
      <c r="N130" s="419">
        <v>0.13874282791797862</v>
      </c>
      <c r="O130" s="432"/>
      <c r="P130" s="433"/>
    </row>
    <row r="131" spans="1:16" ht="16">
      <c r="A131" s="295"/>
      <c r="B131" s="447"/>
      <c r="C131" s="447"/>
      <c r="D131" s="447"/>
      <c r="E131" s="447"/>
      <c r="F131" s="447"/>
      <c r="G131" s="403"/>
      <c r="H131" s="447"/>
      <c r="I131" s="447"/>
      <c r="J131" s="447"/>
      <c r="K131" s="447"/>
      <c r="L131" s="447"/>
      <c r="M131" s="403"/>
      <c r="N131" s="448"/>
      <c r="O131" s="449"/>
      <c r="P131" s="449"/>
    </row>
    <row r="132" spans="1:16" ht="34">
      <c r="A132" s="282" t="s">
        <v>440</v>
      </c>
      <c r="B132" s="408"/>
      <c r="C132" s="408"/>
      <c r="D132" s="408"/>
      <c r="E132" s="408"/>
      <c r="F132" s="408"/>
      <c r="G132" s="408"/>
      <c r="H132" s="408"/>
      <c r="I132" s="408"/>
      <c r="J132" s="408"/>
      <c r="K132" s="408"/>
      <c r="L132" s="408"/>
      <c r="M132" s="408"/>
      <c r="N132" s="409"/>
      <c r="O132" s="431"/>
      <c r="P132" s="431"/>
    </row>
    <row r="133" spans="1:16" ht="17">
      <c r="A133" s="291" t="s">
        <v>441</v>
      </c>
      <c r="B133" s="411">
        <v>0</v>
      </c>
      <c r="C133" s="411">
        <v>0</v>
      </c>
      <c r="D133" s="411">
        <v>0</v>
      </c>
      <c r="E133" s="411">
        <v>0</v>
      </c>
      <c r="F133" s="411">
        <v>6489.59</v>
      </c>
      <c r="G133" s="412">
        <v>6489.59</v>
      </c>
      <c r="H133" s="340">
        <v>0</v>
      </c>
      <c r="I133" s="340">
        <v>0</v>
      </c>
      <c r="J133" s="340">
        <v>0</v>
      </c>
      <c r="K133" s="340">
        <v>0</v>
      </c>
      <c r="L133" s="340">
        <v>6680</v>
      </c>
      <c r="M133" s="412">
        <v>6680</v>
      </c>
      <c r="N133" s="413">
        <v>2.9340836632206328E-2</v>
      </c>
      <c r="O133" s="302" t="s">
        <v>561</v>
      </c>
      <c r="P133" s="442" t="s">
        <v>562</v>
      </c>
    </row>
    <row r="134" spans="1:16" ht="34">
      <c r="A134" s="271" t="s">
        <v>442</v>
      </c>
      <c r="B134" s="392">
        <v>0</v>
      </c>
      <c r="C134" s="392">
        <v>0</v>
      </c>
      <c r="D134" s="392">
        <v>0</v>
      </c>
      <c r="E134" s="392">
        <v>0</v>
      </c>
      <c r="F134" s="392">
        <v>-2021.4169999999999</v>
      </c>
      <c r="G134" s="415">
        <v>-2021.4169999999999</v>
      </c>
      <c r="H134" s="340">
        <v>0</v>
      </c>
      <c r="I134" s="340">
        <v>0</v>
      </c>
      <c r="J134" s="340">
        <v>0</v>
      </c>
      <c r="K134" s="340">
        <v>0</v>
      </c>
      <c r="L134" s="340">
        <v>-2039</v>
      </c>
      <c r="M134" s="415">
        <v>-2039</v>
      </c>
      <c r="N134" s="416">
        <v>8.6983536796218126E-3</v>
      </c>
      <c r="O134" s="454" t="s">
        <v>563</v>
      </c>
      <c r="P134" s="443" t="s">
        <v>564</v>
      </c>
    </row>
    <row r="135" spans="1:16" ht="34">
      <c r="A135" s="290" t="s">
        <v>443</v>
      </c>
      <c r="B135" s="418">
        <v>0</v>
      </c>
      <c r="C135" s="418">
        <v>0</v>
      </c>
      <c r="D135" s="418">
        <v>0</v>
      </c>
      <c r="E135" s="418">
        <v>0</v>
      </c>
      <c r="F135" s="418">
        <v>4468.1730000000007</v>
      </c>
      <c r="G135" s="418">
        <v>4468.1730000000007</v>
      </c>
      <c r="H135" s="418">
        <v>0</v>
      </c>
      <c r="I135" s="418">
        <v>0</v>
      </c>
      <c r="J135" s="418">
        <v>0</v>
      </c>
      <c r="K135" s="418">
        <v>0</v>
      </c>
      <c r="L135" s="418">
        <v>4641</v>
      </c>
      <c r="M135" s="418">
        <v>4641</v>
      </c>
      <c r="N135" s="419">
        <v>3.8679567689075441E-2</v>
      </c>
      <c r="O135" s="432"/>
      <c r="P135" s="433"/>
    </row>
    <row r="136" spans="1:16" ht="16">
      <c r="A136" s="295"/>
      <c r="B136" s="447"/>
      <c r="C136" s="447"/>
      <c r="D136" s="447"/>
      <c r="E136" s="447"/>
      <c r="F136" s="447"/>
      <c r="G136" s="403"/>
      <c r="H136" s="447"/>
      <c r="I136" s="447"/>
      <c r="J136" s="447"/>
      <c r="K136" s="447"/>
      <c r="L136" s="447"/>
      <c r="M136" s="403"/>
      <c r="N136" s="448"/>
      <c r="O136" s="429"/>
      <c r="P136" s="429"/>
    </row>
    <row r="137" spans="1:16" ht="17">
      <c r="A137" s="296" t="s">
        <v>444</v>
      </c>
      <c r="B137" s="455">
        <v>19.279</v>
      </c>
      <c r="C137" s="455">
        <v>4.4000000000000004</v>
      </c>
      <c r="D137" s="455">
        <v>4.5999999999999996</v>
      </c>
      <c r="E137" s="455">
        <v>0</v>
      </c>
      <c r="F137" s="455">
        <v>6470.3810000000003</v>
      </c>
      <c r="G137" s="455">
        <v>6498.6600000000008</v>
      </c>
      <c r="H137" s="455">
        <v>24</v>
      </c>
      <c r="I137" s="455">
        <v>6.2</v>
      </c>
      <c r="J137" s="455">
        <v>3.45</v>
      </c>
      <c r="K137" s="455">
        <v>0</v>
      </c>
      <c r="L137" s="455">
        <v>6921</v>
      </c>
      <c r="M137" s="455">
        <v>6954.65</v>
      </c>
      <c r="N137" s="456">
        <v>7.0166772842401179E-2</v>
      </c>
      <c r="O137" s="424"/>
      <c r="P137" s="424"/>
    </row>
    <row r="138" spans="1:16" ht="16">
      <c r="A138" s="297"/>
      <c r="B138" s="457"/>
      <c r="C138" s="457"/>
      <c r="D138" s="457"/>
      <c r="E138" s="457"/>
      <c r="F138" s="457"/>
      <c r="G138" s="457"/>
      <c r="H138" s="457"/>
      <c r="I138" s="457"/>
      <c r="J138" s="457"/>
      <c r="K138" s="457"/>
      <c r="L138" s="457"/>
      <c r="M138" s="457"/>
      <c r="N138" s="458"/>
      <c r="O138" s="429"/>
      <c r="P138" s="429"/>
    </row>
    <row r="139" spans="1:16" ht="17">
      <c r="A139" s="296" t="s">
        <v>445</v>
      </c>
      <c r="B139" s="455"/>
      <c r="C139" s="455"/>
      <c r="D139" s="455"/>
      <c r="E139" s="455"/>
      <c r="F139" s="455"/>
      <c r="G139" s="455"/>
      <c r="H139" s="455"/>
      <c r="I139" s="455"/>
      <c r="J139" s="455"/>
      <c r="K139" s="455"/>
      <c r="L139" s="455"/>
      <c r="M139" s="455"/>
      <c r="N139" s="459"/>
      <c r="O139" s="424"/>
      <c r="P139" s="424"/>
    </row>
    <row r="140" spans="1:16" ht="102">
      <c r="A140" s="291" t="s">
        <v>446</v>
      </c>
      <c r="B140" s="411">
        <v>6.6509999999999998</v>
      </c>
      <c r="C140" s="411">
        <v>0.47</v>
      </c>
      <c r="D140" s="411">
        <v>0</v>
      </c>
      <c r="E140" s="411">
        <v>0</v>
      </c>
      <c r="F140" s="411">
        <v>0</v>
      </c>
      <c r="G140" s="412">
        <v>7.1209999999999996</v>
      </c>
      <c r="H140" s="340">
        <v>7.157</v>
      </c>
      <c r="I140" s="340">
        <v>0.55000000000000004</v>
      </c>
      <c r="J140" s="340">
        <v>0</v>
      </c>
      <c r="K140" s="340">
        <v>0</v>
      </c>
      <c r="L140" s="340">
        <v>0</v>
      </c>
      <c r="M140" s="412">
        <v>7.7069999999999999</v>
      </c>
      <c r="N140" s="413">
        <v>8.2291812947619766E-2</v>
      </c>
      <c r="O140" s="450" t="s">
        <v>565</v>
      </c>
      <c r="P140" s="425" t="s">
        <v>566</v>
      </c>
    </row>
    <row r="141" spans="1:16" ht="34">
      <c r="A141" s="271" t="s">
        <v>447</v>
      </c>
      <c r="B141" s="392">
        <v>0</v>
      </c>
      <c r="C141" s="392">
        <v>0</v>
      </c>
      <c r="D141" s="392">
        <v>0.8</v>
      </c>
      <c r="E141" s="392">
        <v>0</v>
      </c>
      <c r="F141" s="392">
        <v>0</v>
      </c>
      <c r="G141" s="415">
        <v>0.8</v>
      </c>
      <c r="H141" s="340">
        <v>0</v>
      </c>
      <c r="I141" s="340">
        <v>0</v>
      </c>
      <c r="J141" s="340">
        <v>0.5</v>
      </c>
      <c r="K141" s="340">
        <v>0</v>
      </c>
      <c r="L141" s="340">
        <v>0</v>
      </c>
      <c r="M141" s="415">
        <v>0.5</v>
      </c>
      <c r="N141" s="416">
        <v>-0.37500000000000006</v>
      </c>
      <c r="O141" s="452" t="s">
        <v>567</v>
      </c>
      <c r="P141" s="426" t="s">
        <v>337</v>
      </c>
    </row>
    <row r="142" spans="1:16" ht="17">
      <c r="A142" s="298" t="s">
        <v>448</v>
      </c>
      <c r="B142" s="460">
        <v>6.6509999999999998</v>
      </c>
      <c r="C142" s="460">
        <v>0.47</v>
      </c>
      <c r="D142" s="460">
        <v>0.8</v>
      </c>
      <c r="E142" s="460">
        <v>0</v>
      </c>
      <c r="F142" s="460">
        <v>0</v>
      </c>
      <c r="G142" s="460">
        <v>7.9209999999999994</v>
      </c>
      <c r="H142" s="460">
        <v>7.157</v>
      </c>
      <c r="I142" s="460">
        <v>0.55000000000000004</v>
      </c>
      <c r="J142" s="460">
        <v>0.5</v>
      </c>
      <c r="K142" s="460">
        <v>0</v>
      </c>
      <c r="L142" s="460">
        <v>0</v>
      </c>
      <c r="M142" s="460">
        <v>8.2070000000000007</v>
      </c>
      <c r="N142" s="461">
        <v>3.6106552203004849E-2</v>
      </c>
      <c r="O142" s="445"/>
      <c r="P142" s="445"/>
    </row>
    <row r="143" spans="1:16" ht="16">
      <c r="A143" s="299"/>
      <c r="B143" s="462"/>
      <c r="C143" s="462"/>
      <c r="D143" s="462"/>
      <c r="E143" s="462"/>
      <c r="F143" s="462"/>
      <c r="G143" s="463"/>
      <c r="H143" s="462"/>
      <c r="I143" s="462"/>
      <c r="J143" s="462"/>
      <c r="K143" s="462"/>
      <c r="L143" s="462"/>
      <c r="M143" s="463"/>
      <c r="N143" s="464"/>
      <c r="O143" s="429"/>
      <c r="P143" s="429"/>
    </row>
    <row r="144" spans="1:16" ht="17">
      <c r="A144" s="296" t="s">
        <v>449</v>
      </c>
      <c r="B144" s="465"/>
      <c r="C144" s="465"/>
      <c r="D144" s="465"/>
      <c r="E144" s="465"/>
      <c r="F144" s="465"/>
      <c r="G144" s="465"/>
      <c r="H144" s="465"/>
      <c r="I144" s="465"/>
      <c r="J144" s="465"/>
      <c r="K144" s="465"/>
      <c r="L144" s="465"/>
      <c r="M144" s="465"/>
      <c r="N144" s="466"/>
      <c r="O144" s="424"/>
      <c r="P144" s="424"/>
    </row>
    <row r="145" spans="1:16" ht="85">
      <c r="A145" s="300" t="s">
        <v>449</v>
      </c>
      <c r="B145" s="411">
        <v>2.2999999999999998</v>
      </c>
      <c r="C145" s="411">
        <v>0</v>
      </c>
      <c r="D145" s="411">
        <v>0</v>
      </c>
      <c r="E145" s="411">
        <v>0</v>
      </c>
      <c r="F145" s="411">
        <v>0</v>
      </c>
      <c r="G145" s="412">
        <v>2.2999999999999998</v>
      </c>
      <c r="H145" s="340">
        <v>2.4849999999999999</v>
      </c>
      <c r="I145" s="340">
        <v>0</v>
      </c>
      <c r="J145" s="340">
        <v>0</v>
      </c>
      <c r="K145" s="340">
        <v>0</v>
      </c>
      <c r="L145" s="340">
        <v>0</v>
      </c>
      <c r="M145" s="412">
        <v>2.4849999999999999</v>
      </c>
      <c r="N145" s="413">
        <v>8.0434782608695687E-2</v>
      </c>
      <c r="O145" s="302" t="s">
        <v>568</v>
      </c>
      <c r="P145" s="442" t="s">
        <v>569</v>
      </c>
    </row>
    <row r="146" spans="1:16" ht="17">
      <c r="A146" s="280" t="s">
        <v>450</v>
      </c>
      <c r="B146" s="467">
        <v>2.2999999999999998</v>
      </c>
      <c r="C146" s="467">
        <v>0</v>
      </c>
      <c r="D146" s="467">
        <v>0</v>
      </c>
      <c r="E146" s="467">
        <v>0</v>
      </c>
      <c r="F146" s="467">
        <v>0</v>
      </c>
      <c r="G146" s="467">
        <v>2.2999999999999998</v>
      </c>
      <c r="H146" s="467">
        <v>2.4849999999999999</v>
      </c>
      <c r="I146" s="467">
        <v>0</v>
      </c>
      <c r="J146" s="467">
        <v>0</v>
      </c>
      <c r="K146" s="467">
        <v>0</v>
      </c>
      <c r="L146" s="467">
        <v>0</v>
      </c>
      <c r="M146" s="467">
        <v>2.4849999999999999</v>
      </c>
      <c r="N146" s="468">
        <v>8.0434782608695687E-2</v>
      </c>
      <c r="O146" s="427"/>
      <c r="P146" s="428"/>
    </row>
    <row r="147" spans="1:16" ht="16">
      <c r="A147" s="299"/>
      <c r="B147" s="462"/>
      <c r="C147" s="462"/>
      <c r="D147" s="462"/>
      <c r="E147" s="462"/>
      <c r="F147" s="462"/>
      <c r="G147" s="463"/>
      <c r="H147" s="462"/>
      <c r="I147" s="462"/>
      <c r="J147" s="462"/>
      <c r="K147" s="462"/>
      <c r="L147" s="462"/>
      <c r="M147" s="463"/>
      <c r="N147" s="464"/>
      <c r="O147" s="429"/>
      <c r="P147" s="429"/>
    </row>
    <row r="148" spans="1:16" ht="17">
      <c r="A148" s="268" t="s">
        <v>451</v>
      </c>
      <c r="B148" s="469"/>
      <c r="C148" s="469"/>
      <c r="D148" s="469"/>
      <c r="E148" s="469"/>
      <c r="F148" s="469"/>
      <c r="G148" s="469"/>
      <c r="H148" s="469"/>
      <c r="I148" s="469"/>
      <c r="J148" s="469"/>
      <c r="K148" s="469"/>
      <c r="L148" s="469"/>
      <c r="M148" s="469"/>
      <c r="N148" s="331"/>
      <c r="O148" s="424"/>
      <c r="P148" s="424"/>
    </row>
    <row r="149" spans="1:16" ht="34">
      <c r="A149" s="291" t="s">
        <v>452</v>
      </c>
      <c r="B149" s="411">
        <v>2.1</v>
      </c>
      <c r="C149" s="411">
        <v>0</v>
      </c>
      <c r="D149" s="411">
        <v>0</v>
      </c>
      <c r="E149" s="411">
        <v>0</v>
      </c>
      <c r="F149" s="411">
        <v>0</v>
      </c>
      <c r="G149" s="412">
        <v>2.1</v>
      </c>
      <c r="H149" s="340">
        <v>2.1789999999999998</v>
      </c>
      <c r="I149" s="340">
        <v>0</v>
      </c>
      <c r="J149" s="340">
        <v>0</v>
      </c>
      <c r="K149" s="340">
        <v>0</v>
      </c>
      <c r="L149" s="340">
        <v>0</v>
      </c>
      <c r="M149" s="412">
        <v>2.1789999999999998</v>
      </c>
      <c r="N149" s="413">
        <v>3.761904761904749E-2</v>
      </c>
      <c r="O149" s="450" t="s">
        <v>570</v>
      </c>
      <c r="P149" s="451" t="s">
        <v>491</v>
      </c>
    </row>
    <row r="150" spans="1:16" ht="102">
      <c r="A150" s="271" t="s">
        <v>453</v>
      </c>
      <c r="B150" s="392">
        <v>27.152000000000001</v>
      </c>
      <c r="C150" s="392">
        <v>0</v>
      </c>
      <c r="D150" s="392">
        <v>0</v>
      </c>
      <c r="E150" s="392">
        <v>0</v>
      </c>
      <c r="F150" s="392">
        <v>0</v>
      </c>
      <c r="G150" s="415">
        <v>27.152000000000001</v>
      </c>
      <c r="H150" s="340">
        <v>24.532</v>
      </c>
      <c r="I150" s="340">
        <v>0</v>
      </c>
      <c r="J150" s="340">
        <v>0</v>
      </c>
      <c r="K150" s="340">
        <v>0</v>
      </c>
      <c r="L150" s="340">
        <v>0</v>
      </c>
      <c r="M150" s="415">
        <v>24.532</v>
      </c>
      <c r="N150" s="416">
        <v>-9.649381261048913E-2</v>
      </c>
      <c r="O150" s="293" t="s">
        <v>571</v>
      </c>
      <c r="P150" s="426" t="s">
        <v>572</v>
      </c>
    </row>
    <row r="151" spans="1:16" ht="34">
      <c r="A151" s="271" t="s">
        <v>454</v>
      </c>
      <c r="B151" s="392">
        <v>3.8</v>
      </c>
      <c r="C151" s="392">
        <v>0.106</v>
      </c>
      <c r="D151" s="392">
        <v>0</v>
      </c>
      <c r="E151" s="392">
        <v>0</v>
      </c>
      <c r="F151" s="392">
        <v>0</v>
      </c>
      <c r="G151" s="415">
        <v>3.9059999999999997</v>
      </c>
      <c r="H151" s="340">
        <v>3.6</v>
      </c>
      <c r="I151" s="340">
        <v>0.106</v>
      </c>
      <c r="J151" s="340">
        <v>0</v>
      </c>
      <c r="K151" s="340">
        <v>0</v>
      </c>
      <c r="L151" s="340">
        <v>0</v>
      </c>
      <c r="M151" s="415">
        <v>3.706</v>
      </c>
      <c r="N151" s="416">
        <v>-5.1203277009728557E-2</v>
      </c>
      <c r="O151" s="452" t="s">
        <v>573</v>
      </c>
      <c r="P151" s="453" t="s">
        <v>491</v>
      </c>
    </row>
    <row r="152" spans="1:16" ht="68">
      <c r="A152" s="271" t="s">
        <v>455</v>
      </c>
      <c r="B152" s="392">
        <v>14.257</v>
      </c>
      <c r="C152" s="392">
        <v>0</v>
      </c>
      <c r="D152" s="392">
        <v>0</v>
      </c>
      <c r="E152" s="392">
        <v>0</v>
      </c>
      <c r="F152" s="392">
        <v>0</v>
      </c>
      <c r="G152" s="415">
        <v>14.257</v>
      </c>
      <c r="H152" s="340">
        <v>12.417999999999999</v>
      </c>
      <c r="I152" s="340">
        <v>0</v>
      </c>
      <c r="J152" s="340">
        <v>0</v>
      </c>
      <c r="K152" s="340">
        <v>0</v>
      </c>
      <c r="L152" s="340">
        <v>0</v>
      </c>
      <c r="M152" s="415">
        <v>12.417999999999999</v>
      </c>
      <c r="N152" s="416">
        <v>-0.12898926842954342</v>
      </c>
      <c r="O152" s="293" t="s">
        <v>574</v>
      </c>
      <c r="P152" s="426" t="s">
        <v>575</v>
      </c>
    </row>
    <row r="153" spans="1:16" ht="68">
      <c r="A153" s="271" t="s">
        <v>456</v>
      </c>
      <c r="B153" s="392">
        <v>0</v>
      </c>
      <c r="C153" s="392">
        <v>10.997</v>
      </c>
      <c r="D153" s="392">
        <v>12.8</v>
      </c>
      <c r="E153" s="392">
        <v>0</v>
      </c>
      <c r="F153" s="392">
        <v>0</v>
      </c>
      <c r="G153" s="415">
        <v>23.797000000000001</v>
      </c>
      <c r="H153" s="340">
        <v>0</v>
      </c>
      <c r="I153" s="340">
        <v>9.7680000000000007</v>
      </c>
      <c r="J153" s="340">
        <v>7</v>
      </c>
      <c r="K153" s="340">
        <v>0</v>
      </c>
      <c r="L153" s="340">
        <v>0</v>
      </c>
      <c r="M153" s="415">
        <v>16.768000000000001</v>
      </c>
      <c r="N153" s="416">
        <v>-0.29537336639072148</v>
      </c>
      <c r="O153" s="293" t="s">
        <v>576</v>
      </c>
      <c r="P153" s="426" t="s">
        <v>577</v>
      </c>
    </row>
    <row r="154" spans="1:16" ht="34">
      <c r="A154" s="271" t="s">
        <v>457</v>
      </c>
      <c r="B154" s="392">
        <v>0</v>
      </c>
      <c r="C154" s="392">
        <v>0</v>
      </c>
      <c r="D154" s="392">
        <v>0</v>
      </c>
      <c r="E154" s="392">
        <v>0</v>
      </c>
      <c r="F154" s="392">
        <v>0</v>
      </c>
      <c r="G154" s="415">
        <v>0</v>
      </c>
      <c r="H154" s="340">
        <v>0</v>
      </c>
      <c r="I154" s="340">
        <v>0</v>
      </c>
      <c r="J154" s="340">
        <v>0</v>
      </c>
      <c r="K154" s="340">
        <v>0</v>
      </c>
      <c r="L154" s="340">
        <v>0</v>
      </c>
      <c r="M154" s="415">
        <v>0</v>
      </c>
      <c r="N154" s="416" t="s">
        <v>155</v>
      </c>
      <c r="O154" s="293" t="s">
        <v>578</v>
      </c>
      <c r="P154" s="426" t="s">
        <v>337</v>
      </c>
    </row>
    <row r="155" spans="1:16" ht="51">
      <c r="A155" s="271" t="s">
        <v>458</v>
      </c>
      <c r="B155" s="392">
        <v>2.7269999999999999</v>
      </c>
      <c r="C155" s="392">
        <v>0</v>
      </c>
      <c r="D155" s="392">
        <v>0</v>
      </c>
      <c r="E155" s="392">
        <v>0</v>
      </c>
      <c r="F155" s="392">
        <v>0</v>
      </c>
      <c r="G155" s="415">
        <v>2.7269999999999999</v>
      </c>
      <c r="H155" s="340">
        <v>2.2610000000000001</v>
      </c>
      <c r="I155" s="340">
        <v>0</v>
      </c>
      <c r="J155" s="340">
        <v>0</v>
      </c>
      <c r="K155" s="340">
        <v>0</v>
      </c>
      <c r="L155" s="340">
        <v>0</v>
      </c>
      <c r="M155" s="415">
        <v>2.2610000000000001</v>
      </c>
      <c r="N155" s="416">
        <v>-0.17088375504217079</v>
      </c>
      <c r="O155" s="293" t="s">
        <v>579</v>
      </c>
      <c r="P155" s="443" t="s">
        <v>491</v>
      </c>
    </row>
    <row r="156" spans="1:16" ht="16">
      <c r="A156" s="295"/>
      <c r="B156" s="462"/>
      <c r="C156" s="462"/>
      <c r="D156" s="462"/>
      <c r="E156" s="462"/>
      <c r="F156" s="462"/>
      <c r="G156" s="463"/>
      <c r="H156" s="462"/>
      <c r="I156" s="462"/>
      <c r="J156" s="462"/>
      <c r="K156" s="462"/>
      <c r="L156" s="462"/>
      <c r="M156" s="463"/>
      <c r="N156" s="464"/>
      <c r="O156" s="449"/>
      <c r="P156" s="449"/>
    </row>
    <row r="157" spans="1:16" ht="17">
      <c r="A157" s="282" t="s">
        <v>459</v>
      </c>
      <c r="B157" s="408"/>
      <c r="C157" s="408"/>
      <c r="D157" s="408"/>
      <c r="E157" s="408"/>
      <c r="F157" s="408"/>
      <c r="G157" s="408"/>
      <c r="H157" s="408"/>
      <c r="I157" s="408"/>
      <c r="J157" s="408"/>
      <c r="K157" s="408"/>
      <c r="L157" s="408"/>
      <c r="M157" s="408"/>
      <c r="N157" s="409"/>
      <c r="O157" s="431"/>
      <c r="P157" s="431"/>
    </row>
    <row r="158" spans="1:16" ht="51">
      <c r="A158" s="291" t="s">
        <v>460</v>
      </c>
      <c r="B158" s="411">
        <v>1.5</v>
      </c>
      <c r="C158" s="411">
        <v>0</v>
      </c>
      <c r="D158" s="411">
        <v>0</v>
      </c>
      <c r="E158" s="411">
        <v>0</v>
      </c>
      <c r="F158" s="411">
        <v>0</v>
      </c>
      <c r="G158" s="412">
        <v>1.5</v>
      </c>
      <c r="H158" s="340">
        <v>7.3570000000000002</v>
      </c>
      <c r="I158" s="340">
        <v>0</v>
      </c>
      <c r="J158" s="340">
        <v>0</v>
      </c>
      <c r="K158" s="340">
        <v>0</v>
      </c>
      <c r="L158" s="340">
        <v>0</v>
      </c>
      <c r="M158" s="412">
        <v>7.3570000000000002</v>
      </c>
      <c r="N158" s="413">
        <v>3.904666666666667</v>
      </c>
      <c r="O158" s="450" t="s">
        <v>580</v>
      </c>
      <c r="P158" s="451" t="s">
        <v>581</v>
      </c>
    </row>
    <row r="159" spans="1:16" ht="68">
      <c r="A159" s="271" t="s">
        <v>461</v>
      </c>
      <c r="B159" s="392">
        <v>1</v>
      </c>
      <c r="C159" s="392">
        <v>0</v>
      </c>
      <c r="D159" s="392">
        <v>0</v>
      </c>
      <c r="E159" s="392">
        <v>0</v>
      </c>
      <c r="F159" s="392">
        <v>0</v>
      </c>
      <c r="G159" s="415">
        <v>1</v>
      </c>
      <c r="H159" s="340">
        <v>0</v>
      </c>
      <c r="I159" s="340">
        <v>0</v>
      </c>
      <c r="J159" s="340">
        <v>0</v>
      </c>
      <c r="K159" s="340">
        <v>0</v>
      </c>
      <c r="L159" s="340">
        <v>0</v>
      </c>
      <c r="M159" s="415">
        <v>0</v>
      </c>
      <c r="N159" s="416">
        <v>-1</v>
      </c>
      <c r="O159" s="452" t="s">
        <v>582</v>
      </c>
      <c r="P159" s="453" t="s">
        <v>583</v>
      </c>
    </row>
    <row r="160" spans="1:16" ht="17">
      <c r="A160" s="290" t="s">
        <v>459</v>
      </c>
      <c r="B160" s="418">
        <v>2.5</v>
      </c>
      <c r="C160" s="418">
        <v>0</v>
      </c>
      <c r="D160" s="418">
        <v>0</v>
      </c>
      <c r="E160" s="418">
        <v>0</v>
      </c>
      <c r="F160" s="418">
        <v>0</v>
      </c>
      <c r="G160" s="418">
        <v>2.5</v>
      </c>
      <c r="H160" s="418">
        <v>7.3570000000000002</v>
      </c>
      <c r="I160" s="418">
        <v>0</v>
      </c>
      <c r="J160" s="418">
        <v>0</v>
      </c>
      <c r="K160" s="418">
        <v>0</v>
      </c>
      <c r="L160" s="418">
        <v>0</v>
      </c>
      <c r="M160" s="418">
        <v>7.3570000000000002</v>
      </c>
      <c r="N160" s="419">
        <v>1.9428000000000001</v>
      </c>
      <c r="O160" s="432"/>
      <c r="P160" s="433"/>
    </row>
    <row r="161" spans="1:16" ht="16">
      <c r="A161" s="301"/>
      <c r="B161" s="462"/>
      <c r="C161" s="462"/>
      <c r="D161" s="462"/>
      <c r="E161" s="462"/>
      <c r="F161" s="462"/>
      <c r="G161" s="463"/>
      <c r="H161" s="462"/>
      <c r="I161" s="462"/>
      <c r="J161" s="462"/>
      <c r="K161" s="462"/>
      <c r="L161" s="462"/>
      <c r="M161" s="463"/>
      <c r="N161" s="464"/>
      <c r="O161" s="470"/>
      <c r="P161" s="470"/>
    </row>
    <row r="162" spans="1:16" ht="17">
      <c r="A162" s="280" t="s">
        <v>462</v>
      </c>
      <c r="B162" s="371">
        <v>52.535999999999994</v>
      </c>
      <c r="C162" s="371">
        <v>11.103</v>
      </c>
      <c r="D162" s="371">
        <v>12.8</v>
      </c>
      <c r="E162" s="371">
        <v>0</v>
      </c>
      <c r="F162" s="371">
        <v>0</v>
      </c>
      <c r="G162" s="371">
        <v>76.439000000000007</v>
      </c>
      <c r="H162" s="371">
        <v>52.347000000000001</v>
      </c>
      <c r="I162" s="371">
        <v>9.8740000000000006</v>
      </c>
      <c r="J162" s="371">
        <v>7</v>
      </c>
      <c r="K162" s="371">
        <v>0</v>
      </c>
      <c r="L162" s="371">
        <v>0</v>
      </c>
      <c r="M162" s="371">
        <v>69.221000000000004</v>
      </c>
      <c r="N162" s="372">
        <v>-9.4428236894778875E-2</v>
      </c>
      <c r="O162" s="427"/>
      <c r="P162" s="428"/>
    </row>
    <row r="163" spans="1:16" ht="16">
      <c r="A163" s="267"/>
      <c r="B163" s="327"/>
      <c r="C163" s="327"/>
      <c r="D163" s="327"/>
      <c r="E163" s="327"/>
      <c r="F163" s="327"/>
      <c r="G163" s="328"/>
      <c r="H163" s="327"/>
      <c r="I163" s="327"/>
      <c r="J163" s="327"/>
      <c r="K163" s="327"/>
      <c r="L163" s="327"/>
      <c r="M163" s="328"/>
      <c r="N163" s="329"/>
      <c r="O163" s="267"/>
      <c r="P163" s="267"/>
    </row>
    <row r="164" spans="1:16" ht="17">
      <c r="A164" s="277" t="s">
        <v>463</v>
      </c>
      <c r="B164" s="422"/>
      <c r="C164" s="422"/>
      <c r="D164" s="422"/>
      <c r="E164" s="422"/>
      <c r="F164" s="422"/>
      <c r="G164" s="422"/>
      <c r="H164" s="422"/>
      <c r="I164" s="422"/>
      <c r="J164" s="422"/>
      <c r="K164" s="422"/>
      <c r="L164" s="422"/>
      <c r="M164" s="422"/>
      <c r="N164" s="430"/>
      <c r="O164" s="377"/>
      <c r="P164" s="377"/>
    </row>
    <row r="165" spans="1:16" ht="34">
      <c r="A165" s="302" t="s">
        <v>463</v>
      </c>
      <c r="B165" s="411">
        <v>9</v>
      </c>
      <c r="C165" s="411">
        <v>0.81</v>
      </c>
      <c r="D165" s="411">
        <v>0</v>
      </c>
      <c r="E165" s="411">
        <v>0</v>
      </c>
      <c r="F165" s="411">
        <v>0</v>
      </c>
      <c r="G165" s="412">
        <v>9.81</v>
      </c>
      <c r="H165" s="340">
        <v>5.8</v>
      </c>
      <c r="I165" s="340">
        <v>0.81</v>
      </c>
      <c r="J165" s="340">
        <v>0</v>
      </c>
      <c r="K165" s="340">
        <v>0</v>
      </c>
      <c r="L165" s="340">
        <v>0</v>
      </c>
      <c r="M165" s="412">
        <v>6.6099999999999994</v>
      </c>
      <c r="N165" s="413">
        <v>-0.32619775739041801</v>
      </c>
      <c r="O165" s="302" t="s">
        <v>584</v>
      </c>
      <c r="P165" s="442" t="s">
        <v>585</v>
      </c>
    </row>
    <row r="166" spans="1:16" ht="51">
      <c r="A166" s="302" t="s">
        <v>464</v>
      </c>
      <c r="B166" s="392">
        <v>0</v>
      </c>
      <c r="C166" s="392">
        <v>0</v>
      </c>
      <c r="D166" s="392">
        <v>0</v>
      </c>
      <c r="E166" s="392">
        <v>205.9</v>
      </c>
      <c r="F166" s="392">
        <v>0</v>
      </c>
      <c r="G166" s="415">
        <v>205.9</v>
      </c>
      <c r="H166" s="340">
        <v>0</v>
      </c>
      <c r="I166" s="340">
        <v>0</v>
      </c>
      <c r="J166" s="340">
        <v>0</v>
      </c>
      <c r="K166" s="340">
        <v>240</v>
      </c>
      <c r="L166" s="340">
        <v>0</v>
      </c>
      <c r="M166" s="415">
        <v>240</v>
      </c>
      <c r="N166" s="416">
        <v>0.16561437591063619</v>
      </c>
      <c r="O166" s="454" t="s">
        <v>586</v>
      </c>
      <c r="P166" s="443" t="s">
        <v>587</v>
      </c>
    </row>
    <row r="167" spans="1:16" ht="17">
      <c r="A167" s="271" t="s">
        <v>465</v>
      </c>
      <c r="B167" s="392">
        <v>0</v>
      </c>
      <c r="C167" s="392">
        <v>0</v>
      </c>
      <c r="D167" s="392">
        <v>0</v>
      </c>
      <c r="E167" s="392">
        <v>0</v>
      </c>
      <c r="F167" s="392">
        <v>0</v>
      </c>
      <c r="G167" s="415">
        <v>0</v>
      </c>
      <c r="H167" s="340">
        <v>0</v>
      </c>
      <c r="I167" s="340">
        <v>0</v>
      </c>
      <c r="J167" s="340">
        <v>0</v>
      </c>
      <c r="K167" s="340">
        <v>-2.2000000000000002</v>
      </c>
      <c r="L167" s="340">
        <v>0</v>
      </c>
      <c r="M167" s="415">
        <v>-2.2000000000000002</v>
      </c>
      <c r="N167" s="416" t="s">
        <v>155</v>
      </c>
      <c r="O167" s="293" t="s">
        <v>588</v>
      </c>
      <c r="P167" s="426" t="s">
        <v>589</v>
      </c>
    </row>
    <row r="168" spans="1:16" ht="34">
      <c r="A168" s="280" t="s">
        <v>466</v>
      </c>
      <c r="B168" s="380">
        <v>9</v>
      </c>
      <c r="C168" s="380">
        <v>0.81</v>
      </c>
      <c r="D168" s="380">
        <v>0</v>
      </c>
      <c r="E168" s="380">
        <v>205.9</v>
      </c>
      <c r="F168" s="380">
        <v>0</v>
      </c>
      <c r="G168" s="380">
        <v>215.71</v>
      </c>
      <c r="H168" s="380">
        <v>5.8</v>
      </c>
      <c r="I168" s="380">
        <v>0.81</v>
      </c>
      <c r="J168" s="380">
        <v>0</v>
      </c>
      <c r="K168" s="380">
        <v>237.8</v>
      </c>
      <c r="L168" s="380">
        <v>0</v>
      </c>
      <c r="M168" s="380">
        <v>244.41000000000003</v>
      </c>
      <c r="N168" s="372">
        <v>0.13304900097352934</v>
      </c>
      <c r="O168" s="471"/>
      <c r="P168" s="281"/>
    </row>
    <row r="169" spans="1:16" ht="16">
      <c r="A169" s="303"/>
      <c r="B169" s="472"/>
      <c r="C169" s="472"/>
      <c r="D169" s="472"/>
      <c r="E169" s="472"/>
      <c r="F169" s="472"/>
      <c r="G169" s="472"/>
      <c r="H169" s="472"/>
      <c r="I169" s="472"/>
      <c r="J169" s="472"/>
      <c r="K169" s="472"/>
      <c r="L169" s="472"/>
      <c r="M169" s="472"/>
      <c r="N169" s="473"/>
      <c r="O169" s="474"/>
      <c r="P169" s="474"/>
    </row>
    <row r="170" spans="1:16" ht="17">
      <c r="A170" s="277" t="s">
        <v>467</v>
      </c>
      <c r="B170" s="422"/>
      <c r="C170" s="422"/>
      <c r="D170" s="422"/>
      <c r="E170" s="422"/>
      <c r="F170" s="422"/>
      <c r="G170" s="422"/>
      <c r="H170" s="422"/>
      <c r="I170" s="422"/>
      <c r="J170" s="422"/>
      <c r="K170" s="422"/>
      <c r="L170" s="422"/>
      <c r="M170" s="422"/>
      <c r="N170" s="430"/>
      <c r="O170" s="377"/>
      <c r="P170" s="377"/>
    </row>
    <row r="171" spans="1:16" ht="102">
      <c r="A171" s="289" t="s">
        <v>468</v>
      </c>
      <c r="B171" s="411">
        <v>2.1999999999999999E-2</v>
      </c>
      <c r="C171" s="411">
        <v>1</v>
      </c>
      <c r="D171" s="411">
        <v>0</v>
      </c>
      <c r="E171" s="411">
        <v>0</v>
      </c>
      <c r="F171" s="411">
        <v>0</v>
      </c>
      <c r="G171" s="412">
        <v>1.022</v>
      </c>
      <c r="H171" s="340">
        <v>0.26700000000000002</v>
      </c>
      <c r="I171" s="340">
        <v>0.85</v>
      </c>
      <c r="J171" s="340">
        <v>0</v>
      </c>
      <c r="K171" s="340">
        <v>0</v>
      </c>
      <c r="L171" s="340">
        <v>0</v>
      </c>
      <c r="M171" s="412">
        <v>1.117</v>
      </c>
      <c r="N171" s="413">
        <v>9.2954990215264155E-2</v>
      </c>
      <c r="O171" s="302" t="s">
        <v>590</v>
      </c>
      <c r="P171" s="442" t="s">
        <v>591</v>
      </c>
    </row>
    <row r="172" spans="1:16" ht="85">
      <c r="A172" s="289" t="s">
        <v>469</v>
      </c>
      <c r="B172" s="392">
        <v>0</v>
      </c>
      <c r="C172" s="392">
        <v>0</v>
      </c>
      <c r="D172" s="392">
        <v>1.1000000000000001</v>
      </c>
      <c r="E172" s="392">
        <v>0</v>
      </c>
      <c r="F172" s="392">
        <v>0</v>
      </c>
      <c r="G172" s="415">
        <v>1.1000000000000001</v>
      </c>
      <c r="H172" s="340">
        <v>0</v>
      </c>
      <c r="I172" s="340">
        <v>0</v>
      </c>
      <c r="J172" s="340">
        <v>0.85</v>
      </c>
      <c r="K172" s="340">
        <v>0</v>
      </c>
      <c r="L172" s="340">
        <v>0</v>
      </c>
      <c r="M172" s="415">
        <v>0.85</v>
      </c>
      <c r="N172" s="416">
        <v>-0.22727272727272735</v>
      </c>
      <c r="O172" s="454" t="s">
        <v>592</v>
      </c>
      <c r="P172" s="443" t="s">
        <v>507</v>
      </c>
    </row>
    <row r="173" spans="1:16" ht="16">
      <c r="A173" s="304" t="s">
        <v>470</v>
      </c>
      <c r="B173" s="380">
        <v>2.1999999999999999E-2</v>
      </c>
      <c r="C173" s="380">
        <v>1</v>
      </c>
      <c r="D173" s="380">
        <v>1.1000000000000001</v>
      </c>
      <c r="E173" s="380">
        <v>0</v>
      </c>
      <c r="F173" s="380">
        <v>0</v>
      </c>
      <c r="G173" s="380">
        <v>2.1219999999999999</v>
      </c>
      <c r="H173" s="380">
        <v>0.26700000000000002</v>
      </c>
      <c r="I173" s="380">
        <v>0.85</v>
      </c>
      <c r="J173" s="380">
        <v>0.85</v>
      </c>
      <c r="K173" s="380">
        <v>0</v>
      </c>
      <c r="L173" s="380">
        <v>0</v>
      </c>
      <c r="M173" s="380">
        <v>1.9670000000000001</v>
      </c>
      <c r="N173" s="372">
        <v>-7.3044297832233651E-2</v>
      </c>
      <c r="O173" s="471"/>
      <c r="P173" s="281"/>
    </row>
    <row r="174" spans="1:16" ht="16">
      <c r="A174" s="303"/>
      <c r="B174" s="472"/>
      <c r="C174" s="472"/>
      <c r="D174" s="472"/>
      <c r="E174" s="472"/>
      <c r="F174" s="472"/>
      <c r="G174" s="472"/>
      <c r="H174" s="472"/>
      <c r="I174" s="472"/>
      <c r="J174" s="472"/>
      <c r="K174" s="472"/>
      <c r="L174" s="472"/>
      <c r="M174" s="472"/>
      <c r="N174" s="473"/>
      <c r="O174" s="474"/>
      <c r="P174" s="474"/>
    </row>
    <row r="175" spans="1:16" ht="17">
      <c r="A175" s="268" t="s">
        <v>471</v>
      </c>
      <c r="B175" s="330"/>
      <c r="C175" s="330"/>
      <c r="D175" s="330"/>
      <c r="E175" s="330"/>
      <c r="F175" s="330"/>
      <c r="G175" s="330"/>
      <c r="H175" s="330"/>
      <c r="I175" s="330"/>
      <c r="J175" s="330"/>
      <c r="K175" s="330"/>
      <c r="L175" s="330"/>
      <c r="M175" s="330"/>
      <c r="N175" s="331"/>
      <c r="O175" s="332"/>
      <c r="P175" s="332"/>
    </row>
    <row r="176" spans="1:16" ht="68">
      <c r="A176" s="291" t="s">
        <v>471</v>
      </c>
      <c r="B176" s="367">
        <v>1.974</v>
      </c>
      <c r="C176" s="367">
        <v>0.48</v>
      </c>
      <c r="D176" s="367">
        <v>33.4</v>
      </c>
      <c r="E176" s="367">
        <v>0</v>
      </c>
      <c r="F176" s="367">
        <v>0</v>
      </c>
      <c r="G176" s="368">
        <v>35.853999999999999</v>
      </c>
      <c r="H176" s="340">
        <v>2.79</v>
      </c>
      <c r="I176" s="340">
        <v>0.48</v>
      </c>
      <c r="J176" s="340">
        <v>57.6</v>
      </c>
      <c r="K176" s="340">
        <v>0</v>
      </c>
      <c r="L176" s="340">
        <v>0</v>
      </c>
      <c r="M176" s="368">
        <v>60.870000000000005</v>
      </c>
      <c r="N176" s="475">
        <v>0.69771852512969279</v>
      </c>
      <c r="O176" s="370" t="s">
        <v>593</v>
      </c>
      <c r="P176" s="351" t="s">
        <v>594</v>
      </c>
    </row>
    <row r="177" spans="1:16" ht="17">
      <c r="A177" s="275" t="s">
        <v>472</v>
      </c>
      <c r="B177" s="355">
        <v>1.974</v>
      </c>
      <c r="C177" s="355">
        <v>0.48</v>
      </c>
      <c r="D177" s="355">
        <v>33.4</v>
      </c>
      <c r="E177" s="355">
        <v>0</v>
      </c>
      <c r="F177" s="355">
        <v>0</v>
      </c>
      <c r="G177" s="355">
        <v>35.853999999999999</v>
      </c>
      <c r="H177" s="355">
        <v>2.79</v>
      </c>
      <c r="I177" s="355">
        <v>0.48</v>
      </c>
      <c r="J177" s="355">
        <v>57.6</v>
      </c>
      <c r="K177" s="355">
        <v>0</v>
      </c>
      <c r="L177" s="355">
        <v>0</v>
      </c>
      <c r="M177" s="355">
        <v>60.870000000000005</v>
      </c>
      <c r="N177" s="356">
        <v>0.69771852512969279</v>
      </c>
      <c r="O177" s="357"/>
      <c r="P177" s="358"/>
    </row>
    <row r="179" spans="1:16" ht="17">
      <c r="A179" s="296" t="s">
        <v>473</v>
      </c>
      <c r="B179" s="465"/>
      <c r="C179" s="465"/>
      <c r="D179" s="465"/>
      <c r="E179" s="465"/>
      <c r="F179" s="465"/>
      <c r="G179" s="465"/>
      <c r="H179" s="465"/>
      <c r="I179" s="465"/>
      <c r="J179" s="465"/>
      <c r="K179" s="465"/>
      <c r="L179" s="465"/>
      <c r="M179" s="465"/>
      <c r="N179" s="466"/>
      <c r="O179" s="424"/>
      <c r="P179" s="424"/>
    </row>
    <row r="180" spans="1:16" ht="68">
      <c r="A180" s="300" t="s">
        <v>432</v>
      </c>
      <c r="B180" s="411">
        <v>0</v>
      </c>
      <c r="C180" s="411">
        <v>0</v>
      </c>
      <c r="D180" s="411">
        <v>0</v>
      </c>
      <c r="E180" s="411">
        <v>0</v>
      </c>
      <c r="F180" s="411">
        <v>0</v>
      </c>
      <c r="G180" s="412">
        <v>0</v>
      </c>
      <c r="H180" s="340">
        <v>0</v>
      </c>
      <c r="I180" s="340">
        <v>0</v>
      </c>
      <c r="J180" s="340">
        <v>0</v>
      </c>
      <c r="K180" s="340">
        <v>0</v>
      </c>
      <c r="L180" s="340">
        <v>0</v>
      </c>
      <c r="M180" s="412">
        <v>0</v>
      </c>
      <c r="N180" s="413" t="s">
        <v>155</v>
      </c>
      <c r="O180" s="302" t="s">
        <v>595</v>
      </c>
      <c r="P180" s="442" t="s">
        <v>337</v>
      </c>
    </row>
    <row r="181" spans="1:16" ht="17">
      <c r="A181" s="305" t="s">
        <v>433</v>
      </c>
      <c r="B181" s="392">
        <v>0</v>
      </c>
      <c r="C181" s="392">
        <v>5.9550000000000001</v>
      </c>
      <c r="D181" s="392">
        <v>0</v>
      </c>
      <c r="E181" s="392">
        <v>0</v>
      </c>
      <c r="F181" s="392">
        <v>0</v>
      </c>
      <c r="G181" s="415">
        <v>5.9550000000000001</v>
      </c>
      <c r="H181" s="340">
        <v>0</v>
      </c>
      <c r="I181" s="340">
        <v>4.5460000000000003</v>
      </c>
      <c r="J181" s="340">
        <v>0</v>
      </c>
      <c r="K181" s="340">
        <v>0</v>
      </c>
      <c r="L181" s="340">
        <v>0</v>
      </c>
      <c r="M181" s="415">
        <v>4.5460000000000003</v>
      </c>
      <c r="N181" s="416">
        <v>-0.23660789252728795</v>
      </c>
      <c r="O181" s="454" t="s">
        <v>596</v>
      </c>
      <c r="P181" s="443" t="s">
        <v>337</v>
      </c>
    </row>
    <row r="182" spans="1:16" ht="34">
      <c r="A182" s="306" t="s">
        <v>434</v>
      </c>
      <c r="B182" s="392">
        <v>0</v>
      </c>
      <c r="C182" s="392">
        <v>0</v>
      </c>
      <c r="D182" s="392">
        <v>2.5</v>
      </c>
      <c r="E182" s="392">
        <v>0</v>
      </c>
      <c r="F182" s="392">
        <v>0</v>
      </c>
      <c r="G182" s="415">
        <v>2.5</v>
      </c>
      <c r="H182" s="340">
        <v>0</v>
      </c>
      <c r="I182" s="340">
        <v>0</v>
      </c>
      <c r="J182" s="340">
        <v>5.9</v>
      </c>
      <c r="K182" s="340">
        <v>0</v>
      </c>
      <c r="L182" s="340">
        <v>0</v>
      </c>
      <c r="M182" s="415">
        <v>5.9</v>
      </c>
      <c r="N182" s="416">
        <v>1.36</v>
      </c>
      <c r="O182" s="454" t="s">
        <v>597</v>
      </c>
      <c r="P182" s="443" t="s">
        <v>598</v>
      </c>
    </row>
    <row r="183" spans="1:16" ht="17">
      <c r="A183" s="280" t="s">
        <v>474</v>
      </c>
      <c r="B183" s="467">
        <v>0</v>
      </c>
      <c r="C183" s="467">
        <v>5.9550000000000001</v>
      </c>
      <c r="D183" s="467">
        <v>2.5</v>
      </c>
      <c r="E183" s="467">
        <v>0</v>
      </c>
      <c r="F183" s="467">
        <v>0</v>
      </c>
      <c r="G183" s="467">
        <v>8.4550000000000001</v>
      </c>
      <c r="H183" s="467">
        <v>0</v>
      </c>
      <c r="I183" s="467">
        <v>4.5460000000000003</v>
      </c>
      <c r="J183" s="467">
        <v>5.9</v>
      </c>
      <c r="K183" s="467">
        <v>0</v>
      </c>
      <c r="L183" s="467">
        <v>0</v>
      </c>
      <c r="M183" s="467">
        <v>10.446000000000002</v>
      </c>
      <c r="N183" s="372">
        <v>0.23548196333530472</v>
      </c>
      <c r="O183" s="427"/>
      <c r="P183" s="428"/>
    </row>
    <row r="184" spans="1:16" ht="16">
      <c r="A184" s="267"/>
      <c r="B184" s="327"/>
      <c r="C184" s="327"/>
      <c r="D184" s="327"/>
      <c r="E184" s="327"/>
      <c r="F184" s="327"/>
      <c r="G184" s="328"/>
      <c r="H184" s="327"/>
      <c r="I184" s="327"/>
      <c r="J184" s="327"/>
      <c r="K184" s="327"/>
      <c r="L184" s="327"/>
      <c r="M184" s="328"/>
      <c r="N184" s="329"/>
      <c r="O184" s="267"/>
      <c r="P184" s="267"/>
    </row>
    <row r="185" spans="1:16" ht="17">
      <c r="A185" s="307" t="s">
        <v>272</v>
      </c>
      <c r="B185" s="476"/>
      <c r="C185" s="476"/>
      <c r="D185" s="476"/>
      <c r="E185" s="476"/>
      <c r="F185" s="476"/>
      <c r="G185" s="418"/>
      <c r="H185" s="476"/>
      <c r="I185" s="476"/>
      <c r="J185" s="476"/>
      <c r="K185" s="476"/>
      <c r="L185" s="476"/>
      <c r="M185" s="418"/>
      <c r="N185" s="329"/>
      <c r="O185" s="267"/>
      <c r="P185" s="267"/>
    </row>
    <row r="186" spans="1:16" ht="18">
      <c r="A186" s="308"/>
      <c r="B186" s="477"/>
      <c r="C186" s="477"/>
      <c r="D186" s="477"/>
      <c r="E186" s="477"/>
      <c r="F186" s="477"/>
      <c r="G186" s="478"/>
      <c r="H186" s="477"/>
      <c r="I186" s="477"/>
      <c r="J186" s="477"/>
      <c r="K186" s="477"/>
      <c r="L186" s="477"/>
      <c r="M186" s="478"/>
      <c r="N186" s="479"/>
      <c r="O186" s="308"/>
      <c r="P186" s="308"/>
    </row>
    <row r="187" spans="1:16" ht="17">
      <c r="A187" s="280" t="s">
        <v>475</v>
      </c>
      <c r="B187" s="371">
        <v>567.428</v>
      </c>
      <c r="C187" s="371">
        <v>47.817999999999998</v>
      </c>
      <c r="D187" s="371">
        <v>681</v>
      </c>
      <c r="E187" s="371">
        <v>284.60000000000002</v>
      </c>
      <c r="F187" s="371">
        <v>6470.3810000000003</v>
      </c>
      <c r="G187" s="371">
        <v>8051.2270000000017</v>
      </c>
      <c r="H187" s="371">
        <v>594.755</v>
      </c>
      <c r="I187" s="371">
        <v>50.346000000000004</v>
      </c>
      <c r="J187" s="371">
        <v>577.15000000000009</v>
      </c>
      <c r="K187" s="371">
        <v>258</v>
      </c>
      <c r="L187" s="371">
        <v>6921</v>
      </c>
      <c r="M187" s="371">
        <v>8401.2509999999984</v>
      </c>
      <c r="N187" s="372">
        <v>4.3474615732483589E-2</v>
      </c>
      <c r="O187" s="480"/>
      <c r="P187" s="480"/>
    </row>
    <row r="188" spans="1:16" ht="16">
      <c r="A188" s="267"/>
      <c r="B188" s="327"/>
      <c r="C188" s="327"/>
      <c r="D188" s="327"/>
      <c r="E188" s="327"/>
      <c r="F188" s="327"/>
      <c r="G188" s="328"/>
      <c r="H188" s="327"/>
      <c r="I188" s="327"/>
      <c r="J188" s="327"/>
      <c r="K188" s="327"/>
      <c r="L188" s="327"/>
      <c r="M188" s="328"/>
      <c r="N188" s="329"/>
      <c r="O188" s="480"/>
      <c r="P188" s="480"/>
    </row>
    <row r="190" spans="1:16" ht="16">
      <c r="A190" s="309" t="s">
        <v>476</v>
      </c>
      <c r="B190" s="481"/>
      <c r="C190" s="481"/>
      <c r="D190" s="481"/>
      <c r="E190" s="481"/>
      <c r="F190" s="481"/>
      <c r="G190" s="481"/>
      <c r="H190" s="481"/>
      <c r="I190" s="481"/>
      <c r="J190" s="481"/>
      <c r="K190" s="481"/>
      <c r="L190" s="481"/>
      <c r="M190" s="481"/>
      <c r="N190" s="482"/>
      <c r="O190" s="483"/>
      <c r="P190" s="483"/>
    </row>
    <row r="191" spans="1:16" ht="51">
      <c r="A191" s="310" t="s">
        <v>477</v>
      </c>
      <c r="B191" s="484">
        <v>0</v>
      </c>
      <c r="C191" s="484">
        <v>0</v>
      </c>
      <c r="D191" s="484">
        <v>0</v>
      </c>
      <c r="E191" s="484">
        <v>0</v>
      </c>
      <c r="F191" s="484">
        <v>0</v>
      </c>
      <c r="G191" s="485">
        <v>0</v>
      </c>
      <c r="H191" s="340">
        <v>0</v>
      </c>
      <c r="I191" s="340">
        <v>0</v>
      </c>
      <c r="J191" s="340">
        <v>0</v>
      </c>
      <c r="K191" s="340">
        <v>0</v>
      </c>
      <c r="L191" s="340">
        <v>0</v>
      </c>
      <c r="M191" s="485">
        <v>0</v>
      </c>
      <c r="N191" s="486" t="s">
        <v>155</v>
      </c>
      <c r="O191" s="310" t="s">
        <v>599</v>
      </c>
      <c r="P191" s="343" t="s">
        <v>600</v>
      </c>
    </row>
    <row r="192" spans="1:16" ht="16">
      <c r="A192" s="311" t="s">
        <v>478</v>
      </c>
      <c r="B192" s="487">
        <v>0</v>
      </c>
      <c r="C192" s="487">
        <v>0</v>
      </c>
      <c r="D192" s="487">
        <v>0</v>
      </c>
      <c r="E192" s="487">
        <v>0</v>
      </c>
      <c r="F192" s="487">
        <v>0</v>
      </c>
      <c r="G192" s="487">
        <v>0</v>
      </c>
      <c r="H192" s="487">
        <v>0</v>
      </c>
      <c r="I192" s="487">
        <v>0</v>
      </c>
      <c r="J192" s="487">
        <v>0</v>
      </c>
      <c r="K192" s="487">
        <v>0</v>
      </c>
      <c r="L192" s="487">
        <v>0</v>
      </c>
      <c r="M192" s="487">
        <v>0</v>
      </c>
      <c r="N192" s="488" t="s">
        <v>155</v>
      </c>
      <c r="O192" s="489"/>
      <c r="P192" s="49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7"/>
  <sheetViews>
    <sheetView topLeftCell="A201" zoomScale="78" zoomScaleNormal="78" workbookViewId="0">
      <selection activeCell="H206" sqref="H206"/>
    </sheetView>
  </sheetViews>
  <sheetFormatPr baseColWidth="10" defaultColWidth="8.83203125" defaultRowHeight="15" outlineLevelCol="1"/>
  <cols>
    <col min="1" max="1" width="40.6640625" customWidth="1"/>
    <col min="2" max="14" width="17.5" customWidth="1" outlineLevel="1"/>
    <col min="15" max="16" width="75.6640625" customWidth="1" outlineLevel="1"/>
  </cols>
  <sheetData>
    <row r="1" spans="1:16" ht="16" thickBot="1"/>
    <row r="2" spans="1:16" ht="21">
      <c r="A2" s="491"/>
      <c r="B2" s="522"/>
      <c r="C2" s="523"/>
      <c r="D2" s="523"/>
      <c r="E2" s="523"/>
      <c r="F2" s="523"/>
      <c r="G2" s="524"/>
      <c r="H2" s="522"/>
      <c r="I2" s="523"/>
      <c r="J2" s="523"/>
      <c r="K2" s="523"/>
      <c r="L2" s="523"/>
      <c r="M2" s="524"/>
      <c r="N2" s="525"/>
      <c r="O2" s="526"/>
      <c r="P2" s="527"/>
    </row>
    <row r="3" spans="1:16" ht="136">
      <c r="A3" s="4" t="s">
        <v>927</v>
      </c>
      <c r="B3" s="42" t="s">
        <v>100</v>
      </c>
      <c r="C3" s="42" t="s">
        <v>101</v>
      </c>
      <c r="D3" s="42" t="s">
        <v>102</v>
      </c>
      <c r="E3" s="42" t="s">
        <v>103</v>
      </c>
      <c r="F3" s="42" t="s">
        <v>104</v>
      </c>
      <c r="G3" s="42" t="s">
        <v>105</v>
      </c>
      <c r="H3" s="321" t="s">
        <v>106</v>
      </c>
      <c r="I3" s="321" t="s">
        <v>107</v>
      </c>
      <c r="J3" s="321" t="s">
        <v>108</v>
      </c>
      <c r="K3" s="321" t="s">
        <v>109</v>
      </c>
      <c r="L3" s="321" t="s">
        <v>110</v>
      </c>
      <c r="M3" s="321" t="s">
        <v>111</v>
      </c>
      <c r="N3" s="43" t="s">
        <v>112</v>
      </c>
      <c r="O3" s="44" t="s">
        <v>113</v>
      </c>
      <c r="P3" s="178" t="s">
        <v>114</v>
      </c>
    </row>
    <row r="4" spans="1:16" ht="22" thickBot="1">
      <c r="A4" s="133"/>
      <c r="B4" s="179"/>
      <c r="C4" s="179"/>
      <c r="D4" s="179"/>
      <c r="E4" s="179"/>
      <c r="F4" s="179"/>
      <c r="G4" s="179"/>
      <c r="H4" s="179"/>
      <c r="I4" s="179"/>
      <c r="J4" s="179"/>
      <c r="K4" s="179"/>
      <c r="L4" s="179"/>
      <c r="M4" s="179"/>
      <c r="N4" s="528"/>
      <c r="O4" s="181"/>
      <c r="P4" s="181"/>
    </row>
    <row r="5" spans="1:16" ht="16">
      <c r="A5" s="678"/>
      <c r="B5" s="702"/>
      <c r="C5" s="702"/>
      <c r="D5" s="702"/>
      <c r="E5" s="702"/>
      <c r="F5" s="702"/>
      <c r="G5" s="702"/>
      <c r="H5" s="702"/>
      <c r="I5" s="702"/>
      <c r="J5" s="702"/>
      <c r="K5" s="702"/>
      <c r="L5" s="702"/>
      <c r="M5" s="702"/>
      <c r="N5" s="703"/>
      <c r="O5" s="114"/>
      <c r="P5" s="114"/>
    </row>
    <row r="6" spans="1:16" ht="17">
      <c r="A6" s="501" t="s">
        <v>931</v>
      </c>
      <c r="B6" s="704"/>
      <c r="C6" s="704"/>
      <c r="D6" s="704"/>
      <c r="E6" s="704"/>
      <c r="F6" s="704"/>
      <c r="G6" s="704"/>
      <c r="H6" s="704"/>
      <c r="I6" s="704"/>
      <c r="J6" s="704"/>
      <c r="K6" s="704"/>
      <c r="L6" s="704"/>
      <c r="M6" s="704"/>
      <c r="N6" s="705"/>
      <c r="O6" s="532"/>
      <c r="P6" s="532"/>
    </row>
    <row r="7" spans="1:16" ht="16">
      <c r="A7" s="679"/>
      <c r="B7" s="706"/>
      <c r="C7" s="706"/>
      <c r="D7" s="706"/>
      <c r="E7" s="706"/>
      <c r="F7" s="706"/>
      <c r="G7" s="706"/>
      <c r="H7" s="706"/>
      <c r="I7" s="706"/>
      <c r="J7" s="706"/>
      <c r="K7" s="706"/>
      <c r="L7" s="706"/>
      <c r="M7" s="706"/>
      <c r="N7" s="707"/>
      <c r="O7" s="114"/>
      <c r="P7" s="114"/>
    </row>
    <row r="8" spans="1:16" ht="17">
      <c r="A8" s="680" t="s">
        <v>932</v>
      </c>
      <c r="B8" s="224"/>
      <c r="C8" s="224"/>
      <c r="D8" s="224"/>
      <c r="E8" s="224"/>
      <c r="F8" s="224"/>
      <c r="G8" s="224"/>
      <c r="H8" s="224"/>
      <c r="I8" s="224"/>
      <c r="J8" s="224"/>
      <c r="K8" s="224"/>
      <c r="L8" s="224"/>
      <c r="M8" s="224"/>
      <c r="N8" s="378"/>
      <c r="O8" s="533"/>
      <c r="P8" s="533"/>
    </row>
    <row r="9" spans="1:16" ht="34">
      <c r="A9" s="681" t="s">
        <v>933</v>
      </c>
      <c r="B9" s="708">
        <v>178.76900000000001</v>
      </c>
      <c r="C9" s="708">
        <v>0</v>
      </c>
      <c r="D9" s="708">
        <v>0</v>
      </c>
      <c r="E9" s="708">
        <v>0</v>
      </c>
      <c r="F9" s="708">
        <v>0</v>
      </c>
      <c r="G9" s="709">
        <v>178.76900000000001</v>
      </c>
      <c r="H9" s="708">
        <v>178.72300000000001</v>
      </c>
      <c r="I9" s="708">
        <v>0</v>
      </c>
      <c r="J9" s="708">
        <v>0</v>
      </c>
      <c r="K9" s="708">
        <v>0</v>
      </c>
      <c r="L9" s="708">
        <v>0</v>
      </c>
      <c r="M9" s="709">
        <v>178.72300000000001</v>
      </c>
      <c r="N9" s="710">
        <v>-2.5731530634501656E-4</v>
      </c>
      <c r="O9" s="681" t="s">
        <v>1098</v>
      </c>
      <c r="P9" s="538" t="s">
        <v>1099</v>
      </c>
    </row>
    <row r="10" spans="1:16" ht="68">
      <c r="A10" s="682" t="s">
        <v>934</v>
      </c>
      <c r="B10" s="708">
        <v>0.4</v>
      </c>
      <c r="C10" s="708">
        <v>0</v>
      </c>
      <c r="D10" s="708">
        <v>0</v>
      </c>
      <c r="E10" s="708">
        <v>0</v>
      </c>
      <c r="F10" s="708">
        <v>0</v>
      </c>
      <c r="G10" s="709">
        <v>0.4</v>
      </c>
      <c r="H10" s="711">
        <v>0.4</v>
      </c>
      <c r="I10" s="711">
        <v>0</v>
      </c>
      <c r="J10" s="711">
        <v>0</v>
      </c>
      <c r="K10" s="711">
        <v>0</v>
      </c>
      <c r="L10" s="711">
        <v>0</v>
      </c>
      <c r="M10" s="709">
        <v>0.4</v>
      </c>
      <c r="N10" s="712">
        <v>0</v>
      </c>
      <c r="O10" s="682" t="s">
        <v>1100</v>
      </c>
      <c r="P10" s="540" t="s">
        <v>513</v>
      </c>
    </row>
    <row r="11" spans="1:16" ht="68">
      <c r="A11" s="682" t="s">
        <v>935</v>
      </c>
      <c r="B11" s="708">
        <v>10.31</v>
      </c>
      <c r="C11" s="708">
        <v>0</v>
      </c>
      <c r="D11" s="708">
        <v>10</v>
      </c>
      <c r="E11" s="708">
        <v>0</v>
      </c>
      <c r="F11" s="708">
        <v>0</v>
      </c>
      <c r="G11" s="709">
        <v>20.310000000000002</v>
      </c>
      <c r="H11" s="711">
        <v>7.31</v>
      </c>
      <c r="I11" s="711">
        <v>0</v>
      </c>
      <c r="J11" s="711">
        <v>13</v>
      </c>
      <c r="K11" s="711">
        <v>0</v>
      </c>
      <c r="L11" s="711">
        <v>0</v>
      </c>
      <c r="M11" s="709">
        <v>20.309999999999999</v>
      </c>
      <c r="N11" s="712">
        <v>-1.7492435641558348E-16</v>
      </c>
      <c r="O11" s="682" t="s">
        <v>1101</v>
      </c>
      <c r="P11" s="540" t="s">
        <v>1102</v>
      </c>
    </row>
    <row r="12" spans="1:16" ht="17">
      <c r="A12" s="682" t="s">
        <v>936</v>
      </c>
      <c r="B12" s="708">
        <v>58.58</v>
      </c>
      <c r="C12" s="708">
        <v>0</v>
      </c>
      <c r="D12" s="708">
        <v>0</v>
      </c>
      <c r="E12" s="708">
        <v>0</v>
      </c>
      <c r="F12" s="708">
        <v>0</v>
      </c>
      <c r="G12" s="709">
        <v>58.58</v>
      </c>
      <c r="H12" s="711">
        <v>70.98</v>
      </c>
      <c r="I12" s="711">
        <v>0</v>
      </c>
      <c r="J12" s="711">
        <v>0</v>
      </c>
      <c r="K12" s="711">
        <v>0</v>
      </c>
      <c r="L12" s="711">
        <v>0</v>
      </c>
      <c r="M12" s="709">
        <v>70.98</v>
      </c>
      <c r="N12" s="713">
        <v>0.21167634004779798</v>
      </c>
      <c r="O12" s="682" t="s">
        <v>1103</v>
      </c>
      <c r="P12" s="540" t="s">
        <v>1104</v>
      </c>
    </row>
    <row r="13" spans="1:16" ht="17">
      <c r="A13" s="682" t="s">
        <v>937</v>
      </c>
      <c r="B13" s="708">
        <v>7</v>
      </c>
      <c r="C13" s="708">
        <v>0</v>
      </c>
      <c r="D13" s="708">
        <v>0</v>
      </c>
      <c r="E13" s="708">
        <v>0</v>
      </c>
      <c r="F13" s="708">
        <v>0</v>
      </c>
      <c r="G13" s="709">
        <v>7</v>
      </c>
      <c r="H13" s="711">
        <v>7</v>
      </c>
      <c r="I13" s="711">
        <v>0</v>
      </c>
      <c r="J13" s="711">
        <v>0</v>
      </c>
      <c r="K13" s="711">
        <v>0</v>
      </c>
      <c r="L13" s="711">
        <v>0</v>
      </c>
      <c r="M13" s="709">
        <v>7</v>
      </c>
      <c r="N13" s="712">
        <v>0</v>
      </c>
      <c r="O13" s="497" t="s">
        <v>1105</v>
      </c>
      <c r="P13" s="540" t="s">
        <v>513</v>
      </c>
    </row>
    <row r="14" spans="1:16" ht="17">
      <c r="A14" s="682" t="s">
        <v>938</v>
      </c>
      <c r="B14" s="708">
        <v>0</v>
      </c>
      <c r="C14" s="708">
        <v>0</v>
      </c>
      <c r="D14" s="708">
        <v>0.2</v>
      </c>
      <c r="E14" s="708">
        <v>0</v>
      </c>
      <c r="F14" s="708">
        <v>0</v>
      </c>
      <c r="G14" s="709">
        <v>0.2</v>
      </c>
      <c r="H14" s="711">
        <v>0</v>
      </c>
      <c r="I14" s="711">
        <v>0</v>
      </c>
      <c r="J14" s="711">
        <v>0.2</v>
      </c>
      <c r="K14" s="711">
        <v>0</v>
      </c>
      <c r="L14" s="711">
        <v>0</v>
      </c>
      <c r="M14" s="709">
        <v>0.2</v>
      </c>
      <c r="N14" s="713">
        <v>0</v>
      </c>
      <c r="O14" s="497" t="s">
        <v>1106</v>
      </c>
      <c r="P14" s="540" t="s">
        <v>513</v>
      </c>
    </row>
    <row r="15" spans="1:16" ht="34">
      <c r="A15" s="682" t="s">
        <v>939</v>
      </c>
      <c r="B15" s="708">
        <v>1.6</v>
      </c>
      <c r="C15" s="708">
        <v>0</v>
      </c>
      <c r="D15" s="708">
        <v>0</v>
      </c>
      <c r="E15" s="708">
        <v>0</v>
      </c>
      <c r="F15" s="708">
        <v>0</v>
      </c>
      <c r="G15" s="709">
        <v>1.6</v>
      </c>
      <c r="H15" s="711">
        <v>1.6</v>
      </c>
      <c r="I15" s="711">
        <v>0</v>
      </c>
      <c r="J15" s="711">
        <v>0</v>
      </c>
      <c r="K15" s="711">
        <v>0</v>
      </c>
      <c r="L15" s="711">
        <v>0</v>
      </c>
      <c r="M15" s="709">
        <v>1.6</v>
      </c>
      <c r="N15" s="712">
        <v>0</v>
      </c>
      <c r="O15" s="497" t="s">
        <v>1107</v>
      </c>
      <c r="P15" s="540" t="s">
        <v>513</v>
      </c>
    </row>
    <row r="16" spans="1:16" ht="51">
      <c r="A16" s="682" t="s">
        <v>940</v>
      </c>
      <c r="B16" s="708">
        <v>0.49299999999999999</v>
      </c>
      <c r="C16" s="708">
        <v>0</v>
      </c>
      <c r="D16" s="708">
        <v>0</v>
      </c>
      <c r="E16" s="708">
        <v>0</v>
      </c>
      <c r="F16" s="708">
        <v>0</v>
      </c>
      <c r="G16" s="709">
        <v>0.49299999999999999</v>
      </c>
      <c r="H16" s="711">
        <v>0.48099999999999998</v>
      </c>
      <c r="I16" s="711">
        <v>0</v>
      </c>
      <c r="J16" s="711">
        <v>0</v>
      </c>
      <c r="K16" s="711">
        <v>0</v>
      </c>
      <c r="L16" s="711">
        <v>0</v>
      </c>
      <c r="M16" s="709">
        <v>0.48099999999999998</v>
      </c>
      <c r="N16" s="714">
        <v>-2.4340770791075071E-2</v>
      </c>
      <c r="O16" s="497" t="s">
        <v>1108</v>
      </c>
      <c r="P16" s="540" t="s">
        <v>1109</v>
      </c>
    </row>
    <row r="17" spans="1:16" ht="17">
      <c r="A17" s="683" t="s">
        <v>941</v>
      </c>
      <c r="B17" s="248">
        <v>257.15200000000004</v>
      </c>
      <c r="C17" s="248">
        <v>0</v>
      </c>
      <c r="D17" s="248">
        <v>10.199999999999999</v>
      </c>
      <c r="E17" s="248">
        <v>0</v>
      </c>
      <c r="F17" s="248">
        <v>0</v>
      </c>
      <c r="G17" s="248">
        <v>267.35200000000003</v>
      </c>
      <c r="H17" s="248">
        <v>266.49400000000003</v>
      </c>
      <c r="I17" s="248">
        <v>0</v>
      </c>
      <c r="J17" s="248">
        <v>13.2</v>
      </c>
      <c r="K17" s="248">
        <v>0</v>
      </c>
      <c r="L17" s="248">
        <v>0</v>
      </c>
      <c r="M17" s="248">
        <v>279.69400000000002</v>
      </c>
      <c r="N17" s="419">
        <v>4.6163858882671473E-2</v>
      </c>
      <c r="O17" s="715"/>
      <c r="P17" s="716"/>
    </row>
    <row r="18" spans="1:16" ht="16">
      <c r="A18" s="82"/>
      <c r="B18" s="717"/>
      <c r="C18" s="717"/>
      <c r="D18" s="717"/>
      <c r="E18" s="717"/>
      <c r="F18" s="717"/>
      <c r="G18" s="717"/>
      <c r="H18" s="717"/>
      <c r="I18" s="717"/>
      <c r="J18" s="717"/>
      <c r="K18" s="717"/>
      <c r="L18" s="717"/>
      <c r="M18" s="717"/>
      <c r="N18" s="707"/>
      <c r="O18" s="114"/>
      <c r="P18" s="114"/>
    </row>
    <row r="19" spans="1:16" ht="17">
      <c r="A19" s="495" t="s">
        <v>942</v>
      </c>
      <c r="B19" s="224"/>
      <c r="C19" s="224"/>
      <c r="D19" s="224"/>
      <c r="E19" s="224"/>
      <c r="F19" s="224"/>
      <c r="G19" s="224"/>
      <c r="H19" s="224"/>
      <c r="I19" s="224"/>
      <c r="J19" s="224"/>
      <c r="K19" s="224"/>
      <c r="L19" s="224"/>
      <c r="M19" s="224"/>
      <c r="N19" s="378"/>
      <c r="O19" s="533"/>
      <c r="P19" s="533"/>
    </row>
    <row r="20" spans="1:16" ht="51">
      <c r="A20" s="496" t="s">
        <v>943</v>
      </c>
      <c r="B20" s="708">
        <v>0.86399999999999999</v>
      </c>
      <c r="C20" s="708">
        <v>0</v>
      </c>
      <c r="D20" s="708">
        <v>0</v>
      </c>
      <c r="E20" s="708">
        <v>0</v>
      </c>
      <c r="F20" s="708">
        <v>0</v>
      </c>
      <c r="G20" s="709">
        <v>0.86399999999999999</v>
      </c>
      <c r="H20" s="708">
        <v>0.45300000000000001</v>
      </c>
      <c r="I20" s="708">
        <v>0</v>
      </c>
      <c r="J20" s="708">
        <v>0.4</v>
      </c>
      <c r="K20" s="708">
        <v>0</v>
      </c>
      <c r="L20" s="708">
        <v>0</v>
      </c>
      <c r="M20" s="709">
        <v>0.85299999999999998</v>
      </c>
      <c r="N20" s="710">
        <v>-1.2731481481481493E-2</v>
      </c>
      <c r="O20" s="681" t="s">
        <v>1110</v>
      </c>
      <c r="P20" s="538" t="s">
        <v>1111</v>
      </c>
    </row>
    <row r="21" spans="1:16" ht="51">
      <c r="A21" s="684" t="s">
        <v>944</v>
      </c>
      <c r="B21" s="708">
        <v>2.1459999999999999</v>
      </c>
      <c r="C21" s="708">
        <v>0</v>
      </c>
      <c r="D21" s="708">
        <v>0</v>
      </c>
      <c r="E21" s="708">
        <v>0</v>
      </c>
      <c r="F21" s="708">
        <v>0</v>
      </c>
      <c r="G21" s="709">
        <v>2.1459999999999999</v>
      </c>
      <c r="H21" s="711">
        <v>1.8360000000000001</v>
      </c>
      <c r="I21" s="711">
        <v>0</v>
      </c>
      <c r="J21" s="711">
        <v>0.27900000000000003</v>
      </c>
      <c r="K21" s="711">
        <v>0</v>
      </c>
      <c r="L21" s="711">
        <v>0</v>
      </c>
      <c r="M21" s="709">
        <v>2.1150000000000002</v>
      </c>
      <c r="N21" s="712">
        <v>-1.44454799627212E-2</v>
      </c>
      <c r="O21" s="682" t="s">
        <v>1112</v>
      </c>
      <c r="P21" s="540" t="s">
        <v>1111</v>
      </c>
    </row>
    <row r="22" spans="1:16" ht="51">
      <c r="A22" s="684" t="s">
        <v>945</v>
      </c>
      <c r="B22" s="708">
        <v>1.0249999999999999</v>
      </c>
      <c r="C22" s="708">
        <v>0</v>
      </c>
      <c r="D22" s="708">
        <v>0</v>
      </c>
      <c r="E22" s="708">
        <v>0</v>
      </c>
      <c r="F22" s="708">
        <v>0</v>
      </c>
      <c r="G22" s="709">
        <v>1.0249999999999999</v>
      </c>
      <c r="H22" s="711">
        <v>0.88600000000000001</v>
      </c>
      <c r="I22" s="711">
        <v>0</v>
      </c>
      <c r="J22" s="711">
        <v>0.11600000000000001</v>
      </c>
      <c r="K22" s="711">
        <v>0</v>
      </c>
      <c r="L22" s="711">
        <v>0</v>
      </c>
      <c r="M22" s="709">
        <v>1.002</v>
      </c>
      <c r="N22" s="714">
        <v>-2.2439024390243815E-2</v>
      </c>
      <c r="O22" s="682" t="s">
        <v>1113</v>
      </c>
      <c r="P22" s="540" t="s">
        <v>1111</v>
      </c>
    </row>
    <row r="23" spans="1:16" ht="51">
      <c r="A23" s="684" t="s">
        <v>946</v>
      </c>
      <c r="B23" s="708">
        <v>1.0289999999999999</v>
      </c>
      <c r="C23" s="708">
        <v>0</v>
      </c>
      <c r="D23" s="708">
        <v>0</v>
      </c>
      <c r="E23" s="708">
        <v>0</v>
      </c>
      <c r="F23" s="708">
        <v>0</v>
      </c>
      <c r="G23" s="709">
        <v>1.0289999999999999</v>
      </c>
      <c r="H23" s="711">
        <v>1.008</v>
      </c>
      <c r="I23" s="711">
        <v>0</v>
      </c>
      <c r="J23" s="711">
        <v>0</v>
      </c>
      <c r="K23" s="711">
        <v>0</v>
      </c>
      <c r="L23" s="711">
        <v>0</v>
      </c>
      <c r="M23" s="709">
        <v>1.008</v>
      </c>
      <c r="N23" s="712">
        <v>-2.0408163265306034E-2</v>
      </c>
      <c r="O23" s="682" t="s">
        <v>1114</v>
      </c>
      <c r="P23" s="540" t="s">
        <v>1115</v>
      </c>
    </row>
    <row r="24" spans="1:16" ht="17">
      <c r="A24" s="499" t="s">
        <v>947</v>
      </c>
      <c r="B24" s="248">
        <v>5.0640000000000001</v>
      </c>
      <c r="C24" s="248">
        <v>0</v>
      </c>
      <c r="D24" s="248">
        <v>0</v>
      </c>
      <c r="E24" s="248">
        <v>0</v>
      </c>
      <c r="F24" s="248">
        <v>0</v>
      </c>
      <c r="G24" s="248">
        <v>5.0640000000000001</v>
      </c>
      <c r="H24" s="248">
        <v>4.1829999999999998</v>
      </c>
      <c r="I24" s="248">
        <v>0</v>
      </c>
      <c r="J24" s="248">
        <v>0.79500000000000004</v>
      </c>
      <c r="K24" s="248">
        <v>0</v>
      </c>
      <c r="L24" s="248">
        <v>0</v>
      </c>
      <c r="M24" s="248">
        <v>4.9779999999999998</v>
      </c>
      <c r="N24" s="419">
        <v>-1.6982622432859459E-2</v>
      </c>
      <c r="O24" s="715"/>
      <c r="P24" s="716"/>
    </row>
    <row r="25" spans="1:16" ht="16">
      <c r="A25" s="82"/>
      <c r="B25" s="717"/>
      <c r="C25" s="717"/>
      <c r="D25" s="717"/>
      <c r="E25" s="717"/>
      <c r="F25" s="717"/>
      <c r="G25" s="717"/>
      <c r="H25" s="717"/>
      <c r="I25" s="717"/>
      <c r="J25" s="717"/>
      <c r="K25" s="717"/>
      <c r="L25" s="717"/>
      <c r="M25" s="717"/>
      <c r="N25" s="707"/>
      <c r="O25" s="688"/>
      <c r="P25" s="114"/>
    </row>
    <row r="26" spans="1:16" ht="17">
      <c r="A26" s="495" t="s">
        <v>948</v>
      </c>
      <c r="B26" s="224"/>
      <c r="C26" s="224"/>
      <c r="D26" s="224"/>
      <c r="E26" s="224"/>
      <c r="F26" s="224"/>
      <c r="G26" s="224"/>
      <c r="H26" s="224"/>
      <c r="I26" s="224"/>
      <c r="J26" s="224"/>
      <c r="K26" s="224"/>
      <c r="L26" s="224"/>
      <c r="M26" s="224"/>
      <c r="N26" s="378"/>
      <c r="O26" s="533"/>
      <c r="P26" s="533"/>
    </row>
    <row r="27" spans="1:16" ht="17">
      <c r="A27" s="681" t="s">
        <v>949</v>
      </c>
      <c r="B27" s="708">
        <v>0.184</v>
      </c>
      <c r="C27" s="708">
        <v>0</v>
      </c>
      <c r="D27" s="708">
        <v>0</v>
      </c>
      <c r="E27" s="708">
        <v>0</v>
      </c>
      <c r="F27" s="708">
        <v>0</v>
      </c>
      <c r="G27" s="709">
        <v>0.184</v>
      </c>
      <c r="H27" s="708">
        <v>0.184</v>
      </c>
      <c r="I27" s="708">
        <v>0</v>
      </c>
      <c r="J27" s="708">
        <v>0</v>
      </c>
      <c r="K27" s="708">
        <v>0</v>
      </c>
      <c r="L27" s="708">
        <v>0</v>
      </c>
      <c r="M27" s="709">
        <v>0.184</v>
      </c>
      <c r="N27" s="710">
        <v>0</v>
      </c>
      <c r="O27" s="496" t="s">
        <v>1116</v>
      </c>
      <c r="P27" s="538" t="s">
        <v>513</v>
      </c>
    </row>
    <row r="28" spans="1:16" ht="51">
      <c r="A28" s="682" t="s">
        <v>950</v>
      </c>
      <c r="B28" s="708">
        <v>80.126000000000005</v>
      </c>
      <c r="C28" s="708">
        <v>0</v>
      </c>
      <c r="D28" s="708">
        <v>0</v>
      </c>
      <c r="E28" s="708">
        <v>0</v>
      </c>
      <c r="F28" s="708">
        <v>0</v>
      </c>
      <c r="G28" s="709">
        <v>80.126000000000005</v>
      </c>
      <c r="H28" s="711">
        <v>81.198999999999998</v>
      </c>
      <c r="I28" s="711">
        <v>0</v>
      </c>
      <c r="J28" s="711">
        <v>0</v>
      </c>
      <c r="K28" s="711">
        <v>0</v>
      </c>
      <c r="L28" s="711">
        <v>0</v>
      </c>
      <c r="M28" s="709">
        <v>81.198999999999998</v>
      </c>
      <c r="N28" s="712">
        <v>1.3391408531562704E-2</v>
      </c>
      <c r="O28" s="497" t="s">
        <v>1117</v>
      </c>
      <c r="P28" s="540" t="s">
        <v>1118</v>
      </c>
    </row>
    <row r="29" spans="1:16" ht="17">
      <c r="A29" s="682" t="s">
        <v>951</v>
      </c>
      <c r="B29" s="708">
        <v>0</v>
      </c>
      <c r="C29" s="708">
        <v>0</v>
      </c>
      <c r="D29" s="708">
        <v>0.2</v>
      </c>
      <c r="E29" s="708">
        <v>0</v>
      </c>
      <c r="F29" s="708">
        <v>0</v>
      </c>
      <c r="G29" s="709">
        <v>0.2</v>
      </c>
      <c r="H29" s="711">
        <v>0</v>
      </c>
      <c r="I29" s="711">
        <v>0</v>
      </c>
      <c r="J29" s="711">
        <v>0.2</v>
      </c>
      <c r="K29" s="711">
        <v>0</v>
      </c>
      <c r="L29" s="711">
        <v>0</v>
      </c>
      <c r="M29" s="709">
        <v>0.2</v>
      </c>
      <c r="N29" s="713">
        <v>0</v>
      </c>
      <c r="O29" s="497" t="s">
        <v>1119</v>
      </c>
      <c r="P29" s="540" t="s">
        <v>513</v>
      </c>
    </row>
    <row r="30" spans="1:16" ht="17">
      <c r="A30" s="682" t="s">
        <v>952</v>
      </c>
      <c r="B30" s="708">
        <v>0.80700000000000005</v>
      </c>
      <c r="C30" s="708">
        <v>0</v>
      </c>
      <c r="D30" s="708">
        <v>0</v>
      </c>
      <c r="E30" s="708">
        <v>0</v>
      </c>
      <c r="F30" s="708">
        <v>0</v>
      </c>
      <c r="G30" s="709">
        <v>0.80700000000000005</v>
      </c>
      <c r="H30" s="711">
        <v>0.441</v>
      </c>
      <c r="I30" s="711">
        <v>0</v>
      </c>
      <c r="J30" s="711">
        <v>0</v>
      </c>
      <c r="K30" s="711">
        <v>0</v>
      </c>
      <c r="L30" s="711">
        <v>0</v>
      </c>
      <c r="M30" s="709">
        <v>0.441</v>
      </c>
      <c r="N30" s="712">
        <v>-0.45353159851301117</v>
      </c>
      <c r="O30" s="497" t="s">
        <v>1120</v>
      </c>
      <c r="P30" s="540" t="s">
        <v>1121</v>
      </c>
    </row>
    <row r="31" spans="1:16" ht="85">
      <c r="A31" s="685" t="s">
        <v>953</v>
      </c>
      <c r="B31" s="708">
        <v>26.832000000000001</v>
      </c>
      <c r="C31" s="708">
        <v>0</v>
      </c>
      <c r="D31" s="708">
        <v>0</v>
      </c>
      <c r="E31" s="708">
        <v>0</v>
      </c>
      <c r="F31" s="708">
        <v>0</v>
      </c>
      <c r="G31" s="709">
        <v>26.832000000000001</v>
      </c>
      <c r="H31" s="711">
        <v>26.832000000000001</v>
      </c>
      <c r="I31" s="711">
        <v>0</v>
      </c>
      <c r="J31" s="711">
        <v>0</v>
      </c>
      <c r="K31" s="711">
        <v>0</v>
      </c>
      <c r="L31" s="711">
        <v>0</v>
      </c>
      <c r="M31" s="709">
        <v>26.832000000000001</v>
      </c>
      <c r="N31" s="712">
        <v>0</v>
      </c>
      <c r="O31" s="497" t="s">
        <v>1122</v>
      </c>
      <c r="P31" s="540" t="s">
        <v>513</v>
      </c>
    </row>
    <row r="32" spans="1:16" ht="68">
      <c r="A32" s="682" t="s">
        <v>954</v>
      </c>
      <c r="B32" s="708">
        <v>50.92</v>
      </c>
      <c r="C32" s="708">
        <v>0</v>
      </c>
      <c r="D32" s="708">
        <v>30</v>
      </c>
      <c r="E32" s="708">
        <v>0</v>
      </c>
      <c r="F32" s="708">
        <v>0</v>
      </c>
      <c r="G32" s="709">
        <v>80.92</v>
      </c>
      <c r="H32" s="711">
        <v>68.444999999999993</v>
      </c>
      <c r="I32" s="711">
        <v>0</v>
      </c>
      <c r="J32" s="711">
        <v>80</v>
      </c>
      <c r="K32" s="711">
        <v>0</v>
      </c>
      <c r="L32" s="711">
        <v>0</v>
      </c>
      <c r="M32" s="709">
        <v>148.44499999999999</v>
      </c>
      <c r="N32" s="712">
        <v>0.83446613939693515</v>
      </c>
      <c r="O32" s="497" t="s">
        <v>1123</v>
      </c>
      <c r="P32" s="540" t="s">
        <v>1124</v>
      </c>
    </row>
    <row r="33" spans="1:16" ht="34">
      <c r="A33" s="499" t="s">
        <v>955</v>
      </c>
      <c r="B33" s="248">
        <v>158.86900000000003</v>
      </c>
      <c r="C33" s="248">
        <v>0</v>
      </c>
      <c r="D33" s="248">
        <v>30.2</v>
      </c>
      <c r="E33" s="248">
        <v>0</v>
      </c>
      <c r="F33" s="248">
        <v>0</v>
      </c>
      <c r="G33" s="248">
        <v>189.06900000000002</v>
      </c>
      <c r="H33" s="248">
        <v>177.101</v>
      </c>
      <c r="I33" s="248">
        <v>0</v>
      </c>
      <c r="J33" s="248">
        <v>80.2</v>
      </c>
      <c r="K33" s="248">
        <v>0</v>
      </c>
      <c r="L33" s="248">
        <v>0</v>
      </c>
      <c r="M33" s="248">
        <v>257.30099999999999</v>
      </c>
      <c r="N33" s="419">
        <v>0.36088412166986639</v>
      </c>
      <c r="O33" s="715"/>
      <c r="P33" s="716"/>
    </row>
    <row r="34" spans="1:16" ht="16">
      <c r="A34" s="678"/>
      <c r="B34" s="702"/>
      <c r="C34" s="702"/>
      <c r="D34" s="702"/>
      <c r="E34" s="702"/>
      <c r="F34" s="702"/>
      <c r="G34" s="702"/>
      <c r="H34" s="702"/>
      <c r="I34" s="702"/>
      <c r="J34" s="702"/>
      <c r="K34" s="702"/>
      <c r="L34" s="702"/>
      <c r="M34" s="702"/>
      <c r="N34" s="703"/>
      <c r="O34" s="114"/>
      <c r="P34" s="114"/>
    </row>
    <row r="35" spans="1:16" ht="17">
      <c r="A35" s="686" t="s">
        <v>956</v>
      </c>
      <c r="B35" s="718">
        <v>421.08500000000004</v>
      </c>
      <c r="C35" s="718">
        <v>0</v>
      </c>
      <c r="D35" s="718">
        <v>40.4</v>
      </c>
      <c r="E35" s="718">
        <v>0</v>
      </c>
      <c r="F35" s="718">
        <v>0</v>
      </c>
      <c r="G35" s="718">
        <v>461.48500000000001</v>
      </c>
      <c r="H35" s="718">
        <v>447.77800000000002</v>
      </c>
      <c r="I35" s="718">
        <v>0</v>
      </c>
      <c r="J35" s="718">
        <v>94.195000000000007</v>
      </c>
      <c r="K35" s="718">
        <v>0</v>
      </c>
      <c r="L35" s="718">
        <v>0</v>
      </c>
      <c r="M35" s="718">
        <v>541.97299999999996</v>
      </c>
      <c r="N35" s="719">
        <v>0.17441086925902238</v>
      </c>
      <c r="O35" s="720"/>
      <c r="P35" s="721"/>
    </row>
    <row r="36" spans="1:16" ht="16">
      <c r="A36" s="82"/>
      <c r="B36" s="722"/>
      <c r="C36" s="722"/>
      <c r="D36" s="722"/>
      <c r="E36" s="722"/>
      <c r="F36" s="722"/>
      <c r="G36" s="722"/>
      <c r="H36" s="722"/>
      <c r="I36" s="722"/>
      <c r="J36" s="722"/>
      <c r="K36" s="722"/>
      <c r="L36" s="722"/>
      <c r="M36" s="722"/>
      <c r="N36" s="723"/>
      <c r="O36" s="688"/>
      <c r="P36" s="82"/>
    </row>
    <row r="37" spans="1:16" ht="17">
      <c r="A37" s="501" t="s">
        <v>957</v>
      </c>
      <c r="B37" s="704"/>
      <c r="C37" s="704"/>
      <c r="D37" s="704"/>
      <c r="E37" s="704"/>
      <c r="F37" s="704"/>
      <c r="G37" s="704"/>
      <c r="H37" s="704"/>
      <c r="I37" s="704"/>
      <c r="J37" s="704"/>
      <c r="K37" s="704"/>
      <c r="L37" s="704"/>
      <c r="M37" s="704"/>
      <c r="N37" s="705"/>
      <c r="O37" s="532"/>
      <c r="P37" s="532"/>
    </row>
    <row r="38" spans="1:16" ht="16">
      <c r="A38" s="679"/>
      <c r="B38" s="717"/>
      <c r="C38" s="717"/>
      <c r="D38" s="717"/>
      <c r="E38" s="717"/>
      <c r="F38" s="717"/>
      <c r="G38" s="717"/>
      <c r="H38" s="717"/>
      <c r="I38" s="717"/>
      <c r="J38" s="717"/>
      <c r="K38" s="717"/>
      <c r="L38" s="717"/>
      <c r="M38" s="717"/>
      <c r="N38" s="707"/>
      <c r="O38" s="114"/>
      <c r="P38" s="114"/>
    </row>
    <row r="39" spans="1:16" ht="17">
      <c r="A39" s="495" t="s">
        <v>958</v>
      </c>
      <c r="B39" s="224"/>
      <c r="C39" s="224"/>
      <c r="D39" s="224"/>
      <c r="E39" s="224"/>
      <c r="F39" s="224"/>
      <c r="G39" s="224"/>
      <c r="H39" s="224"/>
      <c r="I39" s="224"/>
      <c r="J39" s="224"/>
      <c r="K39" s="224"/>
      <c r="L39" s="224"/>
      <c r="M39" s="224"/>
      <c r="N39" s="533"/>
      <c r="O39" s="533"/>
      <c r="P39" s="533"/>
    </row>
    <row r="40" spans="1:16" ht="68">
      <c r="A40" s="687" t="s">
        <v>959</v>
      </c>
      <c r="B40" s="708">
        <v>5.125</v>
      </c>
      <c r="C40" s="708">
        <v>0</v>
      </c>
      <c r="D40" s="708">
        <v>0</v>
      </c>
      <c r="E40" s="708">
        <v>0</v>
      </c>
      <c r="F40" s="708">
        <v>0</v>
      </c>
      <c r="G40" s="709">
        <v>5.125</v>
      </c>
      <c r="H40" s="708">
        <v>5.125</v>
      </c>
      <c r="I40" s="708">
        <v>0</v>
      </c>
      <c r="J40" s="708">
        <v>0</v>
      </c>
      <c r="K40" s="708">
        <v>0</v>
      </c>
      <c r="L40" s="708">
        <v>0</v>
      </c>
      <c r="M40" s="709">
        <v>5.125</v>
      </c>
      <c r="N40" s="710">
        <v>0</v>
      </c>
      <c r="O40" s="496" t="s">
        <v>1125</v>
      </c>
      <c r="P40" s="538" t="s">
        <v>513</v>
      </c>
    </row>
    <row r="41" spans="1:16" ht="51">
      <c r="A41" s="685" t="s">
        <v>960</v>
      </c>
      <c r="B41" s="708">
        <v>0</v>
      </c>
      <c r="C41" s="708">
        <v>0</v>
      </c>
      <c r="D41" s="708">
        <v>3</v>
      </c>
      <c r="E41" s="708">
        <v>0</v>
      </c>
      <c r="F41" s="708">
        <v>0</v>
      </c>
      <c r="G41" s="709">
        <v>3</v>
      </c>
      <c r="H41" s="711">
        <v>0</v>
      </c>
      <c r="I41" s="711">
        <v>0</v>
      </c>
      <c r="J41" s="711">
        <v>4</v>
      </c>
      <c r="K41" s="711">
        <v>0</v>
      </c>
      <c r="L41" s="711">
        <v>0</v>
      </c>
      <c r="M41" s="709">
        <v>4</v>
      </c>
      <c r="N41" s="712">
        <v>0.33333333333333331</v>
      </c>
      <c r="O41" s="497" t="s">
        <v>1126</v>
      </c>
      <c r="P41" s="540" t="s">
        <v>1127</v>
      </c>
    </row>
    <row r="42" spans="1:16" ht="51">
      <c r="A42" s="685" t="s">
        <v>961</v>
      </c>
      <c r="B42" s="708">
        <v>1</v>
      </c>
      <c r="C42" s="708">
        <v>0</v>
      </c>
      <c r="D42" s="708">
        <v>0</v>
      </c>
      <c r="E42" s="708">
        <v>0</v>
      </c>
      <c r="F42" s="708">
        <v>0</v>
      </c>
      <c r="G42" s="709">
        <v>1</v>
      </c>
      <c r="H42" s="711">
        <v>1</v>
      </c>
      <c r="I42" s="711">
        <v>0</v>
      </c>
      <c r="J42" s="711">
        <v>0</v>
      </c>
      <c r="K42" s="711">
        <v>0</v>
      </c>
      <c r="L42" s="711">
        <v>0</v>
      </c>
      <c r="M42" s="709">
        <v>1</v>
      </c>
      <c r="N42" s="712">
        <v>0</v>
      </c>
      <c r="O42" s="497" t="s">
        <v>1128</v>
      </c>
      <c r="P42" s="540" t="s">
        <v>513</v>
      </c>
    </row>
    <row r="43" spans="1:16" ht="51">
      <c r="A43" s="685" t="s">
        <v>962</v>
      </c>
      <c r="B43" s="708">
        <v>13.238</v>
      </c>
      <c r="C43" s="708">
        <v>0</v>
      </c>
      <c r="D43" s="708">
        <v>0</v>
      </c>
      <c r="E43" s="708">
        <v>0</v>
      </c>
      <c r="F43" s="708">
        <v>0</v>
      </c>
      <c r="G43" s="709">
        <v>13.238</v>
      </c>
      <c r="H43" s="711">
        <v>13.227</v>
      </c>
      <c r="I43" s="711">
        <v>0</v>
      </c>
      <c r="J43" s="711">
        <v>0</v>
      </c>
      <c r="K43" s="711">
        <v>0</v>
      </c>
      <c r="L43" s="711">
        <v>0</v>
      </c>
      <c r="M43" s="709">
        <v>13.227</v>
      </c>
      <c r="N43" s="712">
        <v>-8.3094122979296219E-4</v>
      </c>
      <c r="O43" s="497" t="s">
        <v>1129</v>
      </c>
      <c r="P43" s="540" t="s">
        <v>1130</v>
      </c>
    </row>
    <row r="44" spans="1:16" ht="34">
      <c r="A44" s="685" t="s">
        <v>963</v>
      </c>
      <c r="B44" s="708">
        <v>2.15</v>
      </c>
      <c r="C44" s="708">
        <v>0</v>
      </c>
      <c r="D44" s="708">
        <v>0</v>
      </c>
      <c r="E44" s="708">
        <v>0</v>
      </c>
      <c r="F44" s="708">
        <v>0</v>
      </c>
      <c r="G44" s="709">
        <v>2.15</v>
      </c>
      <c r="H44" s="711">
        <v>2.15</v>
      </c>
      <c r="I44" s="711">
        <v>0</v>
      </c>
      <c r="J44" s="711">
        <v>0</v>
      </c>
      <c r="K44" s="711">
        <v>0</v>
      </c>
      <c r="L44" s="711">
        <v>0</v>
      </c>
      <c r="M44" s="709">
        <v>2.15</v>
      </c>
      <c r="N44" s="712">
        <v>0</v>
      </c>
      <c r="O44" s="497" t="s">
        <v>1131</v>
      </c>
      <c r="P44" s="540" t="s">
        <v>1132</v>
      </c>
    </row>
    <row r="45" spans="1:16" ht="34">
      <c r="A45" s="685" t="s">
        <v>964</v>
      </c>
      <c r="B45" s="708">
        <v>0.25</v>
      </c>
      <c r="C45" s="708">
        <v>0</v>
      </c>
      <c r="D45" s="708">
        <v>0</v>
      </c>
      <c r="E45" s="708">
        <v>0</v>
      </c>
      <c r="F45" s="708">
        <v>0</v>
      </c>
      <c r="G45" s="709">
        <v>0.25</v>
      </c>
      <c r="H45" s="711">
        <v>0.25</v>
      </c>
      <c r="I45" s="711">
        <v>0</v>
      </c>
      <c r="J45" s="711">
        <v>0</v>
      </c>
      <c r="K45" s="711">
        <v>0</v>
      </c>
      <c r="L45" s="711">
        <v>0</v>
      </c>
      <c r="M45" s="709">
        <v>0.25</v>
      </c>
      <c r="N45" s="712">
        <v>0</v>
      </c>
      <c r="O45" s="497" t="s">
        <v>1133</v>
      </c>
      <c r="P45" s="540" t="s">
        <v>513</v>
      </c>
    </row>
    <row r="46" spans="1:16" ht="34">
      <c r="A46" s="685" t="s">
        <v>965</v>
      </c>
      <c r="B46" s="708">
        <v>0.5</v>
      </c>
      <c r="C46" s="708">
        <v>0</v>
      </c>
      <c r="D46" s="708">
        <v>0</v>
      </c>
      <c r="E46" s="708">
        <v>0</v>
      </c>
      <c r="F46" s="708">
        <v>0</v>
      </c>
      <c r="G46" s="709">
        <v>0.5</v>
      </c>
      <c r="H46" s="711">
        <v>0.5</v>
      </c>
      <c r="I46" s="711">
        <v>0</v>
      </c>
      <c r="J46" s="711">
        <v>0</v>
      </c>
      <c r="K46" s="711">
        <v>0</v>
      </c>
      <c r="L46" s="711">
        <v>0</v>
      </c>
      <c r="M46" s="709">
        <v>0.5</v>
      </c>
      <c r="N46" s="712">
        <v>0</v>
      </c>
      <c r="O46" s="497" t="s">
        <v>1134</v>
      </c>
      <c r="P46" s="540" t="s">
        <v>513</v>
      </c>
    </row>
    <row r="47" spans="1:16" ht="17">
      <c r="A47" s="499" t="s">
        <v>966</v>
      </c>
      <c r="B47" s="248">
        <v>22.262999999999998</v>
      </c>
      <c r="C47" s="248">
        <v>0</v>
      </c>
      <c r="D47" s="248">
        <v>3</v>
      </c>
      <c r="E47" s="248">
        <v>0</v>
      </c>
      <c r="F47" s="248">
        <v>0</v>
      </c>
      <c r="G47" s="248">
        <v>25.262999999999998</v>
      </c>
      <c r="H47" s="248">
        <v>22.251999999999999</v>
      </c>
      <c r="I47" s="248">
        <v>0</v>
      </c>
      <c r="J47" s="248">
        <v>4</v>
      </c>
      <c r="K47" s="248">
        <v>0</v>
      </c>
      <c r="L47" s="248">
        <v>0</v>
      </c>
      <c r="M47" s="248">
        <v>26.251999999999999</v>
      </c>
      <c r="N47" s="419">
        <v>3.914816134267509E-2</v>
      </c>
      <c r="O47" s="715"/>
      <c r="P47" s="716"/>
    </row>
    <row r="48" spans="1:16" ht="16">
      <c r="A48" s="688"/>
      <c r="B48" s="717"/>
      <c r="C48" s="717"/>
      <c r="D48" s="717"/>
      <c r="E48" s="717"/>
      <c r="F48" s="717"/>
      <c r="G48" s="717"/>
      <c r="H48" s="717"/>
      <c r="I48" s="717"/>
      <c r="J48" s="717"/>
      <c r="K48" s="717"/>
      <c r="L48" s="717"/>
      <c r="M48" s="717"/>
      <c r="N48" s="707"/>
      <c r="O48" s="114"/>
      <c r="P48" s="114"/>
    </row>
    <row r="49" spans="1:16" ht="17">
      <c r="A49" s="495" t="s">
        <v>967</v>
      </c>
      <c r="B49" s="224"/>
      <c r="C49" s="224"/>
      <c r="D49" s="224"/>
      <c r="E49" s="224"/>
      <c r="F49" s="224"/>
      <c r="G49" s="224"/>
      <c r="H49" s="224"/>
      <c r="I49" s="224"/>
      <c r="J49" s="224"/>
      <c r="K49" s="224"/>
      <c r="L49" s="224"/>
      <c r="M49" s="224"/>
      <c r="N49" s="378"/>
      <c r="O49" s="533"/>
      <c r="P49" s="533"/>
    </row>
    <row r="50" spans="1:16" ht="51">
      <c r="A50" s="681" t="s">
        <v>968</v>
      </c>
      <c r="B50" s="708">
        <v>31.442</v>
      </c>
      <c r="C50" s="708">
        <v>0</v>
      </c>
      <c r="D50" s="708">
        <v>0</v>
      </c>
      <c r="E50" s="708">
        <v>0</v>
      </c>
      <c r="F50" s="708">
        <v>0</v>
      </c>
      <c r="G50" s="709">
        <v>31.442</v>
      </c>
      <c r="H50" s="708">
        <v>31.504999999999999</v>
      </c>
      <c r="I50" s="708">
        <v>0</v>
      </c>
      <c r="J50" s="708">
        <v>0</v>
      </c>
      <c r="K50" s="708">
        <v>0</v>
      </c>
      <c r="L50" s="708">
        <v>0</v>
      </c>
      <c r="M50" s="709">
        <v>31.504999999999999</v>
      </c>
      <c r="N50" s="710">
        <v>2.0036893327396105E-3</v>
      </c>
      <c r="O50" s="496" t="s">
        <v>1135</v>
      </c>
      <c r="P50" s="538" t="s">
        <v>1136</v>
      </c>
    </row>
    <row r="51" spans="1:16" ht="17">
      <c r="A51" s="499" t="s">
        <v>969</v>
      </c>
      <c r="B51" s="248">
        <v>31.442</v>
      </c>
      <c r="C51" s="248">
        <v>0</v>
      </c>
      <c r="D51" s="248">
        <v>0</v>
      </c>
      <c r="E51" s="248">
        <v>0</v>
      </c>
      <c r="F51" s="248">
        <v>0</v>
      </c>
      <c r="G51" s="248">
        <v>31.442</v>
      </c>
      <c r="H51" s="248">
        <v>31.504999999999999</v>
      </c>
      <c r="I51" s="248">
        <v>0</v>
      </c>
      <c r="J51" s="248">
        <v>0</v>
      </c>
      <c r="K51" s="248">
        <v>0</v>
      </c>
      <c r="L51" s="248">
        <v>0</v>
      </c>
      <c r="M51" s="248">
        <v>31.504999999999999</v>
      </c>
      <c r="N51" s="419">
        <v>2.0036893327396105E-3</v>
      </c>
      <c r="O51" s="715"/>
      <c r="P51" s="716"/>
    </row>
    <row r="52" spans="1:16" ht="16">
      <c r="A52" s="688"/>
      <c r="B52" s="717"/>
      <c r="C52" s="717"/>
      <c r="D52" s="717"/>
      <c r="E52" s="717"/>
      <c r="F52" s="717"/>
      <c r="G52" s="717"/>
      <c r="H52" s="717"/>
      <c r="I52" s="717"/>
      <c r="J52" s="717"/>
      <c r="K52" s="717"/>
      <c r="L52" s="717"/>
      <c r="M52" s="717"/>
      <c r="N52" s="707"/>
      <c r="O52" s="114"/>
      <c r="P52" s="114"/>
    </row>
    <row r="53" spans="1:16" ht="17">
      <c r="A53" s="680" t="s">
        <v>957</v>
      </c>
      <c r="B53" s="224"/>
      <c r="C53" s="224"/>
      <c r="D53" s="224"/>
      <c r="E53" s="224"/>
      <c r="F53" s="224"/>
      <c r="G53" s="224"/>
      <c r="H53" s="224"/>
      <c r="I53" s="224"/>
      <c r="J53" s="224"/>
      <c r="K53" s="224"/>
      <c r="L53" s="224"/>
      <c r="M53" s="224"/>
      <c r="N53" s="378"/>
      <c r="O53" s="533"/>
      <c r="P53" s="533"/>
    </row>
    <row r="54" spans="1:16" ht="34">
      <c r="A54" s="682" t="s">
        <v>957</v>
      </c>
      <c r="B54" s="711">
        <v>4.7720000000000002</v>
      </c>
      <c r="C54" s="711">
        <v>0</v>
      </c>
      <c r="D54" s="711">
        <v>0</v>
      </c>
      <c r="E54" s="711">
        <v>0</v>
      </c>
      <c r="F54" s="711">
        <v>0</v>
      </c>
      <c r="G54" s="709">
        <v>4.7720000000000002</v>
      </c>
      <c r="H54" s="711">
        <v>12.933</v>
      </c>
      <c r="I54" s="711">
        <v>0</v>
      </c>
      <c r="J54" s="711">
        <v>0</v>
      </c>
      <c r="K54" s="711">
        <v>0</v>
      </c>
      <c r="L54" s="711">
        <v>0</v>
      </c>
      <c r="M54" s="709">
        <v>12.933</v>
      </c>
      <c r="N54" s="713">
        <v>1.7101844090528078</v>
      </c>
      <c r="O54" s="682" t="s">
        <v>1137</v>
      </c>
      <c r="P54" s="540" t="s">
        <v>1138</v>
      </c>
    </row>
    <row r="55" spans="1:16" ht="34">
      <c r="A55" s="682" t="s">
        <v>970</v>
      </c>
      <c r="B55" s="708">
        <v>3.4249999999999998</v>
      </c>
      <c r="C55" s="708">
        <v>0</v>
      </c>
      <c r="D55" s="708">
        <v>0</v>
      </c>
      <c r="E55" s="708">
        <v>0</v>
      </c>
      <c r="F55" s="708">
        <v>0</v>
      </c>
      <c r="G55" s="709">
        <v>3.4249999999999998</v>
      </c>
      <c r="H55" s="711">
        <v>3.4249999999999998</v>
      </c>
      <c r="I55" s="711">
        <v>0</v>
      </c>
      <c r="J55" s="711">
        <v>0</v>
      </c>
      <c r="K55" s="711">
        <v>0</v>
      </c>
      <c r="L55" s="711">
        <v>0</v>
      </c>
      <c r="M55" s="709">
        <v>3.4249999999999998</v>
      </c>
      <c r="N55" s="712">
        <v>0</v>
      </c>
      <c r="O55" s="497" t="s">
        <v>1139</v>
      </c>
      <c r="P55" s="540" t="s">
        <v>513</v>
      </c>
    </row>
    <row r="56" spans="1:16" ht="34">
      <c r="A56" s="682" t="s">
        <v>971</v>
      </c>
      <c r="B56" s="708">
        <v>1.2999999999999999E-2</v>
      </c>
      <c r="C56" s="708">
        <v>0</v>
      </c>
      <c r="D56" s="708">
        <v>0</v>
      </c>
      <c r="E56" s="708">
        <v>0</v>
      </c>
      <c r="F56" s="708">
        <v>0</v>
      </c>
      <c r="G56" s="709">
        <v>1.2999999999999999E-2</v>
      </c>
      <c r="H56" s="711">
        <v>1.2999999999999999E-2</v>
      </c>
      <c r="I56" s="711">
        <v>0</v>
      </c>
      <c r="J56" s="711">
        <v>0</v>
      </c>
      <c r="K56" s="711">
        <v>0</v>
      </c>
      <c r="L56" s="711">
        <v>0</v>
      </c>
      <c r="M56" s="709">
        <v>1.2999999999999999E-2</v>
      </c>
      <c r="N56" s="712">
        <v>0</v>
      </c>
      <c r="O56" s="497" t="s">
        <v>1140</v>
      </c>
      <c r="P56" s="724" t="s">
        <v>513</v>
      </c>
    </row>
    <row r="57" spans="1:16" ht="17">
      <c r="A57" s="682" t="s">
        <v>972</v>
      </c>
      <c r="B57" s="708">
        <v>21.631</v>
      </c>
      <c r="C57" s="708">
        <v>4</v>
      </c>
      <c r="D57" s="708">
        <v>0</v>
      </c>
      <c r="E57" s="708">
        <v>0</v>
      </c>
      <c r="F57" s="708">
        <v>0</v>
      </c>
      <c r="G57" s="709">
        <v>25.631</v>
      </c>
      <c r="H57" s="711">
        <v>21.631</v>
      </c>
      <c r="I57" s="711">
        <v>2</v>
      </c>
      <c r="J57" s="711">
        <v>0</v>
      </c>
      <c r="K57" s="711">
        <v>0</v>
      </c>
      <c r="L57" s="711">
        <v>0</v>
      </c>
      <c r="M57" s="709">
        <v>23.631</v>
      </c>
      <c r="N57" s="712">
        <v>-7.8030509929382388E-2</v>
      </c>
      <c r="O57" s="497" t="s">
        <v>1141</v>
      </c>
      <c r="P57" s="725" t="s">
        <v>1142</v>
      </c>
    </row>
    <row r="58" spans="1:16" ht="17">
      <c r="A58" s="682" t="s">
        <v>973</v>
      </c>
      <c r="B58" s="708">
        <v>0</v>
      </c>
      <c r="C58" s="708">
        <v>0</v>
      </c>
      <c r="D58" s="708">
        <v>2.5</v>
      </c>
      <c r="E58" s="708">
        <v>0</v>
      </c>
      <c r="F58" s="708">
        <v>0</v>
      </c>
      <c r="G58" s="709">
        <v>2.5</v>
      </c>
      <c r="H58" s="711">
        <v>0</v>
      </c>
      <c r="I58" s="711">
        <v>0</v>
      </c>
      <c r="J58" s="711">
        <v>2.5</v>
      </c>
      <c r="K58" s="711">
        <v>0</v>
      </c>
      <c r="L58" s="711">
        <v>0</v>
      </c>
      <c r="M58" s="709">
        <v>2.5</v>
      </c>
      <c r="N58" s="712">
        <v>0</v>
      </c>
      <c r="O58" s="497" t="s">
        <v>1143</v>
      </c>
      <c r="P58" s="726" t="s">
        <v>513</v>
      </c>
    </row>
    <row r="59" spans="1:16" ht="17">
      <c r="A59" s="683" t="s">
        <v>974</v>
      </c>
      <c r="B59" s="248">
        <v>29.841000000000001</v>
      </c>
      <c r="C59" s="248">
        <v>4</v>
      </c>
      <c r="D59" s="248">
        <v>2.5</v>
      </c>
      <c r="E59" s="248">
        <v>0</v>
      </c>
      <c r="F59" s="248">
        <v>0</v>
      </c>
      <c r="G59" s="248">
        <v>36.341000000000001</v>
      </c>
      <c r="H59" s="248">
        <v>38.002000000000002</v>
      </c>
      <c r="I59" s="248">
        <v>2</v>
      </c>
      <c r="J59" s="248">
        <v>2.5</v>
      </c>
      <c r="K59" s="248">
        <v>0</v>
      </c>
      <c r="L59" s="248">
        <v>0</v>
      </c>
      <c r="M59" s="248">
        <v>42.502000000000002</v>
      </c>
      <c r="N59" s="419">
        <v>0.16953303431386041</v>
      </c>
      <c r="O59" s="715"/>
      <c r="P59" s="716"/>
    </row>
    <row r="60" spans="1:16" ht="16">
      <c r="A60" s="82"/>
      <c r="B60" s="717"/>
      <c r="C60" s="717"/>
      <c r="D60" s="717"/>
      <c r="E60" s="717"/>
      <c r="F60" s="717"/>
      <c r="G60" s="717"/>
      <c r="H60" s="717"/>
      <c r="I60" s="717"/>
      <c r="J60" s="717"/>
      <c r="K60" s="717"/>
      <c r="L60" s="717"/>
      <c r="M60" s="717"/>
      <c r="N60" s="707"/>
      <c r="O60" s="688"/>
      <c r="P60" s="114"/>
    </row>
    <row r="61" spans="1:16" ht="17">
      <c r="A61" s="686" t="s">
        <v>974</v>
      </c>
      <c r="B61" s="718">
        <v>83.545999999999992</v>
      </c>
      <c r="C61" s="718">
        <v>4</v>
      </c>
      <c r="D61" s="718">
        <v>5.5</v>
      </c>
      <c r="E61" s="718">
        <v>0</v>
      </c>
      <c r="F61" s="718">
        <v>0</v>
      </c>
      <c r="G61" s="718">
        <v>93.045999999999992</v>
      </c>
      <c r="H61" s="718">
        <v>91.759</v>
      </c>
      <c r="I61" s="718">
        <v>2</v>
      </c>
      <c r="J61" s="718">
        <v>6.5</v>
      </c>
      <c r="K61" s="718">
        <v>0</v>
      </c>
      <c r="L61" s="718">
        <v>0</v>
      </c>
      <c r="M61" s="718">
        <v>100.259</v>
      </c>
      <c r="N61" s="719">
        <v>7.7520796165337663E-2</v>
      </c>
      <c r="O61" s="720"/>
      <c r="P61" s="721"/>
    </row>
    <row r="62" spans="1:16" ht="16">
      <c r="A62" s="82"/>
      <c r="B62" s="717"/>
      <c r="C62" s="717"/>
      <c r="D62" s="717"/>
      <c r="E62" s="717"/>
      <c r="F62" s="717"/>
      <c r="G62" s="717"/>
      <c r="H62" s="717"/>
      <c r="I62" s="717"/>
      <c r="J62" s="717"/>
      <c r="K62" s="717"/>
      <c r="L62" s="717"/>
      <c r="M62" s="717"/>
      <c r="N62" s="707"/>
      <c r="O62" s="688"/>
      <c r="P62" s="114"/>
    </row>
    <row r="63" spans="1:16" ht="17">
      <c r="A63" s="501" t="s">
        <v>975</v>
      </c>
      <c r="B63" s="202"/>
      <c r="C63" s="202"/>
      <c r="D63" s="202"/>
      <c r="E63" s="202"/>
      <c r="F63" s="202"/>
      <c r="G63" s="202"/>
      <c r="H63" s="202"/>
      <c r="I63" s="202"/>
      <c r="J63" s="202"/>
      <c r="K63" s="202"/>
      <c r="L63" s="202"/>
      <c r="M63" s="202"/>
      <c r="N63" s="705"/>
      <c r="O63" s="532"/>
      <c r="P63" s="532"/>
    </row>
    <row r="64" spans="1:16" ht="16">
      <c r="A64" s="82"/>
      <c r="B64" s="722"/>
      <c r="C64" s="722"/>
      <c r="D64" s="722"/>
      <c r="E64" s="722"/>
      <c r="F64" s="722"/>
      <c r="G64" s="722"/>
      <c r="H64" s="722"/>
      <c r="I64" s="722"/>
      <c r="J64" s="722"/>
      <c r="K64" s="722"/>
      <c r="L64" s="722"/>
      <c r="M64" s="722"/>
      <c r="N64" s="723"/>
      <c r="O64" s="688"/>
      <c r="P64" s="82"/>
    </row>
    <row r="65" spans="1:16" ht="17">
      <c r="A65" s="495" t="s">
        <v>975</v>
      </c>
      <c r="B65" s="533"/>
      <c r="C65" s="533"/>
      <c r="D65" s="533"/>
      <c r="E65" s="533"/>
      <c r="F65" s="533"/>
      <c r="G65" s="533"/>
      <c r="H65" s="533"/>
      <c r="I65" s="533"/>
      <c r="J65" s="533"/>
      <c r="K65" s="533"/>
      <c r="L65" s="533"/>
      <c r="M65" s="533"/>
      <c r="N65" s="533"/>
      <c r="O65" s="533"/>
      <c r="P65" s="533"/>
    </row>
    <row r="66" spans="1:16" ht="17">
      <c r="A66" s="681" t="s">
        <v>976</v>
      </c>
      <c r="B66" s="708">
        <v>-0.94899999999999995</v>
      </c>
      <c r="C66" s="708">
        <v>0</v>
      </c>
      <c r="D66" s="708">
        <v>0</v>
      </c>
      <c r="E66" s="708">
        <v>0</v>
      </c>
      <c r="F66" s="708">
        <v>0</v>
      </c>
      <c r="G66" s="709">
        <v>-0.94899999999999995</v>
      </c>
      <c r="H66" s="708">
        <v>-0.94899999999999995</v>
      </c>
      <c r="I66" s="708">
        <v>0</v>
      </c>
      <c r="J66" s="708">
        <v>0</v>
      </c>
      <c r="K66" s="708">
        <v>0</v>
      </c>
      <c r="L66" s="708">
        <v>0</v>
      </c>
      <c r="M66" s="709">
        <v>-0.94899999999999995</v>
      </c>
      <c r="N66" s="710">
        <v>0</v>
      </c>
      <c r="O66" s="496" t="s">
        <v>337</v>
      </c>
      <c r="P66" s="538" t="s">
        <v>513</v>
      </c>
    </row>
    <row r="67" spans="1:16" ht="51">
      <c r="A67" s="682" t="s">
        <v>977</v>
      </c>
      <c r="B67" s="708">
        <v>22.457999999999998</v>
      </c>
      <c r="C67" s="708">
        <v>0</v>
      </c>
      <c r="D67" s="708">
        <v>0</v>
      </c>
      <c r="E67" s="708">
        <v>0</v>
      </c>
      <c r="F67" s="708">
        <v>0</v>
      </c>
      <c r="G67" s="709">
        <v>22.457999999999998</v>
      </c>
      <c r="H67" s="711">
        <v>22.457999999999998</v>
      </c>
      <c r="I67" s="711">
        <v>0</v>
      </c>
      <c r="J67" s="711">
        <v>0</v>
      </c>
      <c r="K67" s="711">
        <v>0</v>
      </c>
      <c r="L67" s="711">
        <v>0</v>
      </c>
      <c r="M67" s="709">
        <v>22.457999999999998</v>
      </c>
      <c r="N67" s="712">
        <v>0</v>
      </c>
      <c r="O67" s="497" t="s">
        <v>1144</v>
      </c>
      <c r="P67" s="540" t="s">
        <v>513</v>
      </c>
    </row>
    <row r="68" spans="1:16" ht="34">
      <c r="A68" s="682" t="s">
        <v>978</v>
      </c>
      <c r="B68" s="708">
        <v>5.875</v>
      </c>
      <c r="C68" s="708">
        <v>0</v>
      </c>
      <c r="D68" s="708">
        <v>0</v>
      </c>
      <c r="E68" s="708">
        <v>0</v>
      </c>
      <c r="F68" s="708">
        <v>0</v>
      </c>
      <c r="G68" s="709">
        <v>5.875</v>
      </c>
      <c r="H68" s="711">
        <v>5.875</v>
      </c>
      <c r="I68" s="711">
        <v>0</v>
      </c>
      <c r="J68" s="711">
        <v>0</v>
      </c>
      <c r="K68" s="711">
        <v>0</v>
      </c>
      <c r="L68" s="711">
        <v>0</v>
      </c>
      <c r="M68" s="709">
        <v>5.875</v>
      </c>
      <c r="N68" s="712">
        <v>0</v>
      </c>
      <c r="O68" s="497" t="s">
        <v>1145</v>
      </c>
      <c r="P68" s="540" t="s">
        <v>513</v>
      </c>
    </row>
    <row r="69" spans="1:16" ht="17">
      <c r="A69" s="684" t="s">
        <v>979</v>
      </c>
      <c r="B69" s="708">
        <v>0</v>
      </c>
      <c r="C69" s="708">
        <v>1.35</v>
      </c>
      <c r="D69" s="708">
        <v>0</v>
      </c>
      <c r="E69" s="708">
        <v>0</v>
      </c>
      <c r="F69" s="708">
        <v>0</v>
      </c>
      <c r="G69" s="709">
        <v>1.35</v>
      </c>
      <c r="H69" s="711">
        <v>0</v>
      </c>
      <c r="I69" s="711">
        <v>1.3580000000000001</v>
      </c>
      <c r="J69" s="711">
        <v>0</v>
      </c>
      <c r="K69" s="711">
        <v>0</v>
      </c>
      <c r="L69" s="711">
        <v>0</v>
      </c>
      <c r="M69" s="709">
        <v>1.3580000000000001</v>
      </c>
      <c r="N69" s="712">
        <v>5.9259259259259308E-3</v>
      </c>
      <c r="O69" s="497" t="s">
        <v>1146</v>
      </c>
      <c r="P69" s="540" t="s">
        <v>1147</v>
      </c>
    </row>
    <row r="70" spans="1:16" ht="17">
      <c r="A70" s="499" t="s">
        <v>980</v>
      </c>
      <c r="B70" s="248">
        <v>27.383999999999997</v>
      </c>
      <c r="C70" s="248">
        <v>1.35</v>
      </c>
      <c r="D70" s="248">
        <v>0</v>
      </c>
      <c r="E70" s="248">
        <v>0</v>
      </c>
      <c r="F70" s="248">
        <v>0</v>
      </c>
      <c r="G70" s="248">
        <v>28.733999999999998</v>
      </c>
      <c r="H70" s="248">
        <v>27.383999999999997</v>
      </c>
      <c r="I70" s="248">
        <v>1.3580000000000001</v>
      </c>
      <c r="J70" s="248">
        <v>0</v>
      </c>
      <c r="K70" s="248">
        <v>0</v>
      </c>
      <c r="L70" s="248">
        <v>0</v>
      </c>
      <c r="M70" s="248">
        <v>28.741999999999997</v>
      </c>
      <c r="N70" s="419">
        <v>2.7841581401820561E-4</v>
      </c>
      <c r="O70" s="715"/>
      <c r="P70" s="716"/>
    </row>
    <row r="71" spans="1:16" ht="16">
      <c r="A71" s="82"/>
      <c r="B71" s="722"/>
      <c r="C71" s="722"/>
      <c r="D71" s="722"/>
      <c r="E71" s="722"/>
      <c r="F71" s="722"/>
      <c r="G71" s="722"/>
      <c r="H71" s="722"/>
      <c r="I71" s="722"/>
      <c r="J71" s="722"/>
      <c r="K71" s="722"/>
      <c r="L71" s="722"/>
      <c r="M71" s="722"/>
      <c r="N71" s="723"/>
      <c r="O71" s="688"/>
      <c r="P71" s="82"/>
    </row>
    <row r="72" spans="1:16" ht="17">
      <c r="A72" s="686" t="s">
        <v>980</v>
      </c>
      <c r="B72" s="727">
        <v>27.383999999999997</v>
      </c>
      <c r="C72" s="727">
        <v>1.35</v>
      </c>
      <c r="D72" s="727">
        <v>0</v>
      </c>
      <c r="E72" s="727">
        <v>0</v>
      </c>
      <c r="F72" s="727">
        <v>0</v>
      </c>
      <c r="G72" s="727">
        <v>28.733999999999998</v>
      </c>
      <c r="H72" s="727">
        <v>27.383999999999997</v>
      </c>
      <c r="I72" s="727">
        <v>1.3580000000000001</v>
      </c>
      <c r="J72" s="727">
        <v>0</v>
      </c>
      <c r="K72" s="727">
        <v>0</v>
      </c>
      <c r="L72" s="727">
        <v>0</v>
      </c>
      <c r="M72" s="727">
        <v>28.741999999999997</v>
      </c>
      <c r="N72" s="728">
        <v>2.7841581401820561E-4</v>
      </c>
      <c r="O72" s="729"/>
      <c r="P72" s="729"/>
    </row>
    <row r="73" spans="1:16" ht="16">
      <c r="A73" s="678"/>
      <c r="B73" s="717"/>
      <c r="C73" s="717"/>
      <c r="D73" s="717"/>
      <c r="E73" s="717"/>
      <c r="F73" s="717"/>
      <c r="G73" s="717"/>
      <c r="H73" s="717"/>
      <c r="I73" s="717"/>
      <c r="J73" s="717"/>
      <c r="K73" s="717"/>
      <c r="L73" s="717"/>
      <c r="M73" s="717"/>
      <c r="N73" s="707"/>
      <c r="O73" s="688"/>
      <c r="P73" s="114"/>
    </row>
    <row r="74" spans="1:16" ht="17">
      <c r="A74" s="501" t="s">
        <v>981</v>
      </c>
      <c r="B74" s="202"/>
      <c r="C74" s="202"/>
      <c r="D74" s="202"/>
      <c r="E74" s="202"/>
      <c r="F74" s="202"/>
      <c r="G74" s="202"/>
      <c r="H74" s="202"/>
      <c r="I74" s="202"/>
      <c r="J74" s="202"/>
      <c r="K74" s="202"/>
      <c r="L74" s="202"/>
      <c r="M74" s="202"/>
      <c r="N74" s="705"/>
      <c r="O74" s="532"/>
      <c r="P74" s="532"/>
    </row>
    <row r="75" spans="1:16" ht="16">
      <c r="A75" s="82"/>
      <c r="B75" s="722"/>
      <c r="C75" s="722"/>
      <c r="D75" s="722"/>
      <c r="E75" s="722"/>
      <c r="F75" s="722"/>
      <c r="G75" s="722"/>
      <c r="H75" s="722"/>
      <c r="I75" s="722"/>
      <c r="J75" s="722"/>
      <c r="K75" s="722"/>
      <c r="L75" s="722"/>
      <c r="M75" s="722"/>
      <c r="N75" s="723"/>
      <c r="O75" s="688"/>
      <c r="P75" s="82"/>
    </row>
    <row r="76" spans="1:16" ht="34">
      <c r="A76" s="680" t="s">
        <v>982</v>
      </c>
      <c r="B76" s="224"/>
      <c r="C76" s="224"/>
      <c r="D76" s="224"/>
      <c r="E76" s="224"/>
      <c r="F76" s="224"/>
      <c r="G76" s="224"/>
      <c r="H76" s="224"/>
      <c r="I76" s="224"/>
      <c r="J76" s="224"/>
      <c r="K76" s="224"/>
      <c r="L76" s="224"/>
      <c r="M76" s="224"/>
      <c r="N76" s="378"/>
      <c r="O76" s="533"/>
      <c r="P76" s="533"/>
    </row>
    <row r="77" spans="1:16" ht="17">
      <c r="A77" s="681" t="s">
        <v>983</v>
      </c>
      <c r="B77" s="708">
        <v>25.16</v>
      </c>
      <c r="C77" s="708">
        <v>2.4</v>
      </c>
      <c r="D77" s="708">
        <v>0</v>
      </c>
      <c r="E77" s="708">
        <v>0</v>
      </c>
      <c r="F77" s="708">
        <v>0</v>
      </c>
      <c r="G77" s="709">
        <v>27.56</v>
      </c>
      <c r="H77" s="708">
        <v>25.16</v>
      </c>
      <c r="I77" s="708">
        <v>1.7170000000000001</v>
      </c>
      <c r="J77" s="708">
        <v>0</v>
      </c>
      <c r="K77" s="708">
        <v>0</v>
      </c>
      <c r="L77" s="708">
        <v>0</v>
      </c>
      <c r="M77" s="709">
        <v>26.876999999999999</v>
      </c>
      <c r="N77" s="710">
        <v>-2.4782293178519588E-2</v>
      </c>
      <c r="O77" s="681" t="s">
        <v>1148</v>
      </c>
      <c r="P77" s="538" t="s">
        <v>1149</v>
      </c>
    </row>
    <row r="78" spans="1:16" ht="34">
      <c r="A78" s="682" t="s">
        <v>984</v>
      </c>
      <c r="B78" s="708">
        <v>0</v>
      </c>
      <c r="C78" s="708">
        <v>0</v>
      </c>
      <c r="D78" s="708">
        <v>1.7</v>
      </c>
      <c r="E78" s="708">
        <v>0</v>
      </c>
      <c r="F78" s="708">
        <v>0</v>
      </c>
      <c r="G78" s="709">
        <v>1.7</v>
      </c>
      <c r="H78" s="711">
        <v>0</v>
      </c>
      <c r="I78" s="711">
        <v>0</v>
      </c>
      <c r="J78" s="711">
        <v>1.9</v>
      </c>
      <c r="K78" s="711">
        <v>0</v>
      </c>
      <c r="L78" s="711">
        <v>0</v>
      </c>
      <c r="M78" s="709">
        <v>1.9</v>
      </c>
      <c r="N78" s="713">
        <v>0.11764705882352938</v>
      </c>
      <c r="O78" s="682" t="s">
        <v>1150</v>
      </c>
      <c r="P78" s="540" t="s">
        <v>1151</v>
      </c>
    </row>
    <row r="79" spans="1:16" ht="17">
      <c r="A79" s="682" t="s">
        <v>985</v>
      </c>
      <c r="B79" s="708">
        <v>4.6289999999999996</v>
      </c>
      <c r="C79" s="708">
        <v>0.41</v>
      </c>
      <c r="D79" s="708">
        <v>0</v>
      </c>
      <c r="E79" s="708">
        <v>0</v>
      </c>
      <c r="F79" s="708">
        <v>0</v>
      </c>
      <c r="G79" s="709">
        <v>5.0389999999999997</v>
      </c>
      <c r="H79" s="711">
        <v>4.6289999999999996</v>
      </c>
      <c r="I79" s="711">
        <v>0.309</v>
      </c>
      <c r="J79" s="711">
        <v>0</v>
      </c>
      <c r="K79" s="711">
        <v>0</v>
      </c>
      <c r="L79" s="711">
        <v>0</v>
      </c>
      <c r="M79" s="709">
        <v>4.9379999999999997</v>
      </c>
      <c r="N79" s="712">
        <v>-2.0043659456241314E-2</v>
      </c>
      <c r="O79" s="682" t="s">
        <v>1152</v>
      </c>
      <c r="P79" s="540" t="s">
        <v>1149</v>
      </c>
    </row>
    <row r="80" spans="1:16" ht="34">
      <c r="A80" s="682" t="s">
        <v>986</v>
      </c>
      <c r="B80" s="708">
        <v>0</v>
      </c>
      <c r="C80" s="708">
        <v>0</v>
      </c>
      <c r="D80" s="708">
        <v>0.4</v>
      </c>
      <c r="E80" s="708">
        <v>0</v>
      </c>
      <c r="F80" s="708">
        <v>0</v>
      </c>
      <c r="G80" s="709">
        <v>0.4</v>
      </c>
      <c r="H80" s="711">
        <v>0</v>
      </c>
      <c r="I80" s="711">
        <v>0</v>
      </c>
      <c r="J80" s="711">
        <v>0.5</v>
      </c>
      <c r="K80" s="711">
        <v>0</v>
      </c>
      <c r="L80" s="711">
        <v>0</v>
      </c>
      <c r="M80" s="709">
        <v>0.5</v>
      </c>
      <c r="N80" s="712">
        <v>0.24999999999999994</v>
      </c>
      <c r="O80" s="682" t="s">
        <v>1153</v>
      </c>
      <c r="P80" s="540" t="s">
        <v>1154</v>
      </c>
    </row>
    <row r="81" spans="1:16" ht="51">
      <c r="A81" s="682" t="s">
        <v>987</v>
      </c>
      <c r="B81" s="708">
        <v>4.05</v>
      </c>
      <c r="C81" s="708">
        <v>0</v>
      </c>
      <c r="D81" s="708">
        <v>0</v>
      </c>
      <c r="E81" s="708">
        <v>0</v>
      </c>
      <c r="F81" s="708">
        <v>0</v>
      </c>
      <c r="G81" s="709">
        <v>4.05</v>
      </c>
      <c r="H81" s="711">
        <v>4.05</v>
      </c>
      <c r="I81" s="711">
        <v>0</v>
      </c>
      <c r="J81" s="711">
        <v>0</v>
      </c>
      <c r="K81" s="711">
        <v>0</v>
      </c>
      <c r="L81" s="711">
        <v>0</v>
      </c>
      <c r="M81" s="709">
        <v>4.05</v>
      </c>
      <c r="N81" s="712">
        <v>0</v>
      </c>
      <c r="O81" s="682" t="s">
        <v>1155</v>
      </c>
      <c r="P81" s="540" t="s">
        <v>513</v>
      </c>
    </row>
    <row r="82" spans="1:16" ht="68">
      <c r="A82" s="497" t="s">
        <v>988</v>
      </c>
      <c r="B82" s="708">
        <v>5.0049999999999999</v>
      </c>
      <c r="C82" s="708">
        <v>0</v>
      </c>
      <c r="D82" s="708">
        <v>0</v>
      </c>
      <c r="E82" s="708">
        <v>0</v>
      </c>
      <c r="F82" s="708">
        <v>0</v>
      </c>
      <c r="G82" s="709">
        <v>5.0049999999999999</v>
      </c>
      <c r="H82" s="711">
        <v>4.9630000000000001</v>
      </c>
      <c r="I82" s="711">
        <v>0</v>
      </c>
      <c r="J82" s="711">
        <v>0</v>
      </c>
      <c r="K82" s="711">
        <v>0</v>
      </c>
      <c r="L82" s="711">
        <v>0</v>
      </c>
      <c r="M82" s="709">
        <v>4.9630000000000001</v>
      </c>
      <c r="N82" s="712">
        <v>-8.3916083916083552E-3</v>
      </c>
      <c r="O82" s="682" t="s">
        <v>1156</v>
      </c>
      <c r="P82" s="540" t="s">
        <v>1157</v>
      </c>
    </row>
    <row r="83" spans="1:16" ht="85">
      <c r="A83" s="682" t="s">
        <v>989</v>
      </c>
      <c r="B83" s="708">
        <v>4.2679999999999998</v>
      </c>
      <c r="C83" s="708">
        <v>0</v>
      </c>
      <c r="D83" s="708">
        <v>0</v>
      </c>
      <c r="E83" s="708">
        <v>0</v>
      </c>
      <c r="F83" s="708">
        <v>0</v>
      </c>
      <c r="G83" s="709">
        <v>4.2679999999999998</v>
      </c>
      <c r="H83" s="711">
        <v>4.2389999999999999</v>
      </c>
      <c r="I83" s="711">
        <v>0</v>
      </c>
      <c r="J83" s="711">
        <v>0</v>
      </c>
      <c r="K83" s="711">
        <v>0</v>
      </c>
      <c r="L83" s="711">
        <v>0</v>
      </c>
      <c r="M83" s="709">
        <v>4.2389999999999999</v>
      </c>
      <c r="N83" s="712">
        <v>-6.7947516401124456E-3</v>
      </c>
      <c r="O83" s="682" t="s">
        <v>1158</v>
      </c>
      <c r="P83" s="540" t="s">
        <v>1157</v>
      </c>
    </row>
    <row r="84" spans="1:16" ht="85">
      <c r="A84" s="689" t="s">
        <v>990</v>
      </c>
      <c r="B84" s="708">
        <v>3.4260000000000002</v>
      </c>
      <c r="C84" s="708">
        <v>0</v>
      </c>
      <c r="D84" s="708">
        <v>0</v>
      </c>
      <c r="E84" s="708">
        <v>0</v>
      </c>
      <c r="F84" s="708">
        <v>0</v>
      </c>
      <c r="G84" s="709">
        <v>3.4260000000000002</v>
      </c>
      <c r="H84" s="711">
        <v>3.4260000000000002</v>
      </c>
      <c r="I84" s="711">
        <v>0</v>
      </c>
      <c r="J84" s="711">
        <v>0</v>
      </c>
      <c r="K84" s="711">
        <v>0</v>
      </c>
      <c r="L84" s="711">
        <v>0</v>
      </c>
      <c r="M84" s="709">
        <v>3.4260000000000002</v>
      </c>
      <c r="N84" s="730">
        <v>0</v>
      </c>
      <c r="O84" s="682" t="s">
        <v>1159</v>
      </c>
      <c r="P84" s="540" t="s">
        <v>513</v>
      </c>
    </row>
    <row r="85" spans="1:16" ht="34">
      <c r="A85" s="683" t="s">
        <v>991</v>
      </c>
      <c r="B85" s="248">
        <v>46.538000000000004</v>
      </c>
      <c r="C85" s="248">
        <v>2.81</v>
      </c>
      <c r="D85" s="248">
        <v>2.1</v>
      </c>
      <c r="E85" s="248">
        <v>0</v>
      </c>
      <c r="F85" s="248">
        <v>0</v>
      </c>
      <c r="G85" s="248">
        <v>51.448</v>
      </c>
      <c r="H85" s="248">
        <v>46.466999999999999</v>
      </c>
      <c r="I85" s="248">
        <v>2.0260000000000002</v>
      </c>
      <c r="J85" s="248">
        <v>2.4</v>
      </c>
      <c r="K85" s="248">
        <v>0</v>
      </c>
      <c r="L85" s="248">
        <v>0</v>
      </c>
      <c r="M85" s="248">
        <v>50.892999999999994</v>
      </c>
      <c r="N85" s="419">
        <v>-1.0787591354377369E-2</v>
      </c>
      <c r="O85" s="715"/>
      <c r="P85" s="716"/>
    </row>
    <row r="86" spans="1:16" ht="16">
      <c r="A86" s="678"/>
      <c r="B86" s="717"/>
      <c r="C86" s="717"/>
      <c r="D86" s="717"/>
      <c r="E86" s="717"/>
      <c r="F86" s="717"/>
      <c r="G86" s="717"/>
      <c r="H86" s="717"/>
      <c r="I86" s="717"/>
      <c r="J86" s="717"/>
      <c r="K86" s="717"/>
      <c r="L86" s="717"/>
      <c r="M86" s="717"/>
      <c r="N86" s="707"/>
      <c r="O86" s="688"/>
      <c r="P86" s="114"/>
    </row>
    <row r="87" spans="1:16" ht="17">
      <c r="A87" s="680" t="s">
        <v>992</v>
      </c>
      <c r="B87" s="224"/>
      <c r="C87" s="224"/>
      <c r="D87" s="224"/>
      <c r="E87" s="224"/>
      <c r="F87" s="224"/>
      <c r="G87" s="224"/>
      <c r="H87" s="224"/>
      <c r="I87" s="224"/>
      <c r="J87" s="224"/>
      <c r="K87" s="224"/>
      <c r="L87" s="224"/>
      <c r="M87" s="224"/>
      <c r="N87" s="378"/>
      <c r="O87" s="533"/>
      <c r="P87" s="533"/>
    </row>
    <row r="88" spans="1:16" ht="102">
      <c r="A88" s="690" t="s">
        <v>993</v>
      </c>
      <c r="B88" s="711">
        <v>18.861000000000001</v>
      </c>
      <c r="C88" s="711">
        <v>0</v>
      </c>
      <c r="D88" s="711">
        <v>0</v>
      </c>
      <c r="E88" s="711">
        <v>0</v>
      </c>
      <c r="F88" s="711">
        <v>0</v>
      </c>
      <c r="G88" s="709">
        <v>18.861000000000001</v>
      </c>
      <c r="H88" s="711">
        <v>15.8</v>
      </c>
      <c r="I88" s="711">
        <v>0</v>
      </c>
      <c r="J88" s="711">
        <v>0</v>
      </c>
      <c r="K88" s="711">
        <v>0</v>
      </c>
      <c r="L88" s="711">
        <v>0</v>
      </c>
      <c r="M88" s="709">
        <v>15.8</v>
      </c>
      <c r="N88" s="730">
        <v>-0.16229256137002279</v>
      </c>
      <c r="O88" s="682" t="s">
        <v>1160</v>
      </c>
      <c r="P88" s="540" t="s">
        <v>1161</v>
      </c>
    </row>
    <row r="89" spans="1:16" ht="17">
      <c r="A89" s="682" t="s">
        <v>994</v>
      </c>
      <c r="B89" s="711">
        <v>0.55200000000000005</v>
      </c>
      <c r="C89" s="711">
        <v>0</v>
      </c>
      <c r="D89" s="711">
        <v>0</v>
      </c>
      <c r="E89" s="711">
        <v>0</v>
      </c>
      <c r="F89" s="711">
        <v>0</v>
      </c>
      <c r="G89" s="709">
        <v>0.55200000000000005</v>
      </c>
      <c r="H89" s="711">
        <v>0.55200000000000005</v>
      </c>
      <c r="I89" s="711">
        <v>0</v>
      </c>
      <c r="J89" s="711">
        <v>0</v>
      </c>
      <c r="K89" s="711">
        <v>0</v>
      </c>
      <c r="L89" s="711">
        <v>0</v>
      </c>
      <c r="M89" s="709">
        <v>0.55200000000000005</v>
      </c>
      <c r="N89" s="712">
        <v>0</v>
      </c>
      <c r="O89" s="682" t="s">
        <v>1162</v>
      </c>
      <c r="P89" s="540" t="s">
        <v>293</v>
      </c>
    </row>
    <row r="90" spans="1:16" ht="34">
      <c r="A90" s="690" t="s">
        <v>995</v>
      </c>
      <c r="B90" s="711">
        <v>6.6</v>
      </c>
      <c r="C90" s="711">
        <v>0</v>
      </c>
      <c r="D90" s="711">
        <v>0</v>
      </c>
      <c r="E90" s="711">
        <v>0</v>
      </c>
      <c r="F90" s="711">
        <v>0</v>
      </c>
      <c r="G90" s="709">
        <v>6.6</v>
      </c>
      <c r="H90" s="711">
        <v>29.55</v>
      </c>
      <c r="I90" s="711">
        <v>0</v>
      </c>
      <c r="J90" s="711">
        <v>0</v>
      </c>
      <c r="K90" s="711">
        <v>0</v>
      </c>
      <c r="L90" s="711">
        <v>0</v>
      </c>
      <c r="M90" s="709">
        <v>29.55</v>
      </c>
      <c r="N90" s="730">
        <v>3.477272727272728</v>
      </c>
      <c r="O90" s="682" t="s">
        <v>1163</v>
      </c>
      <c r="P90" s="540" t="s">
        <v>1164</v>
      </c>
    </row>
    <row r="91" spans="1:16" ht="51">
      <c r="A91" s="690" t="s">
        <v>996</v>
      </c>
      <c r="B91" s="711">
        <v>0</v>
      </c>
      <c r="C91" s="711">
        <v>0</v>
      </c>
      <c r="D91" s="711">
        <v>0</v>
      </c>
      <c r="E91" s="711">
        <v>0</v>
      </c>
      <c r="F91" s="711">
        <v>0</v>
      </c>
      <c r="G91" s="709">
        <v>0</v>
      </c>
      <c r="H91" s="711">
        <v>50</v>
      </c>
      <c r="I91" s="711">
        <v>0</v>
      </c>
      <c r="J91" s="711">
        <v>0</v>
      </c>
      <c r="K91" s="711">
        <v>0</v>
      </c>
      <c r="L91" s="711">
        <v>0</v>
      </c>
      <c r="M91" s="709">
        <v>50</v>
      </c>
      <c r="N91" s="730" t="s">
        <v>155</v>
      </c>
      <c r="O91" s="682" t="s">
        <v>1165</v>
      </c>
      <c r="P91" s="540" t="s">
        <v>1166</v>
      </c>
    </row>
    <row r="92" spans="1:16" ht="34">
      <c r="A92" s="683" t="s">
        <v>997</v>
      </c>
      <c r="B92" s="248">
        <v>26.012999999999998</v>
      </c>
      <c r="C92" s="248">
        <v>0</v>
      </c>
      <c r="D92" s="248">
        <v>0</v>
      </c>
      <c r="E92" s="248">
        <v>0</v>
      </c>
      <c r="F92" s="248">
        <v>0</v>
      </c>
      <c r="G92" s="248">
        <v>26.012999999999998</v>
      </c>
      <c r="H92" s="248">
        <v>95.902000000000001</v>
      </c>
      <c r="I92" s="248">
        <v>0</v>
      </c>
      <c r="J92" s="248">
        <v>0</v>
      </c>
      <c r="K92" s="248">
        <v>0</v>
      </c>
      <c r="L92" s="248">
        <v>0</v>
      </c>
      <c r="M92" s="248">
        <v>95.902000000000001</v>
      </c>
      <c r="N92" s="419">
        <v>2.6866951139814712</v>
      </c>
      <c r="O92" s="715"/>
      <c r="P92" s="716"/>
    </row>
    <row r="93" spans="1:16" ht="16">
      <c r="A93" s="82"/>
      <c r="B93" s="731"/>
      <c r="C93" s="731"/>
      <c r="D93" s="731"/>
      <c r="E93" s="731"/>
      <c r="F93" s="731"/>
      <c r="G93" s="731"/>
      <c r="H93" s="731"/>
      <c r="I93" s="731"/>
      <c r="J93" s="731"/>
      <c r="K93" s="731"/>
      <c r="L93" s="731"/>
      <c r="M93" s="731"/>
      <c r="N93" s="703"/>
      <c r="O93" s="688"/>
      <c r="P93" s="114"/>
    </row>
    <row r="94" spans="1:16" ht="17">
      <c r="A94" s="680" t="s">
        <v>998</v>
      </c>
      <c r="B94" s="224"/>
      <c r="C94" s="224"/>
      <c r="D94" s="224"/>
      <c r="E94" s="224"/>
      <c r="F94" s="224"/>
      <c r="G94" s="224"/>
      <c r="H94" s="224"/>
      <c r="I94" s="224"/>
      <c r="J94" s="224"/>
      <c r="K94" s="224"/>
      <c r="L94" s="224"/>
      <c r="M94" s="224"/>
      <c r="N94" s="378"/>
      <c r="O94" s="533"/>
      <c r="P94" s="533"/>
    </row>
    <row r="95" spans="1:16" ht="34">
      <c r="A95" s="690" t="s">
        <v>999</v>
      </c>
      <c r="B95" s="711">
        <v>7.43</v>
      </c>
      <c r="C95" s="711">
        <v>0</v>
      </c>
      <c r="D95" s="711">
        <v>0</v>
      </c>
      <c r="E95" s="711">
        <v>0</v>
      </c>
      <c r="F95" s="711">
        <v>0</v>
      </c>
      <c r="G95" s="709">
        <v>7.43</v>
      </c>
      <c r="H95" s="711">
        <v>7.375</v>
      </c>
      <c r="I95" s="711">
        <v>0</v>
      </c>
      <c r="J95" s="711">
        <v>0</v>
      </c>
      <c r="K95" s="711">
        <v>0</v>
      </c>
      <c r="L95" s="711">
        <v>0</v>
      </c>
      <c r="M95" s="709">
        <v>7.375</v>
      </c>
      <c r="N95" s="730">
        <v>-7.4024226110363011E-3</v>
      </c>
      <c r="O95" s="682" t="s">
        <v>1167</v>
      </c>
      <c r="P95" s="540" t="s">
        <v>1157</v>
      </c>
    </row>
    <row r="96" spans="1:16" ht="17">
      <c r="A96" s="690" t="s">
        <v>1000</v>
      </c>
      <c r="B96" s="711">
        <v>0</v>
      </c>
      <c r="C96" s="711">
        <v>0</v>
      </c>
      <c r="D96" s="711">
        <v>0</v>
      </c>
      <c r="E96" s="711">
        <v>0</v>
      </c>
      <c r="F96" s="711">
        <v>0</v>
      </c>
      <c r="G96" s="709">
        <v>0</v>
      </c>
      <c r="H96" s="711">
        <v>0</v>
      </c>
      <c r="I96" s="711">
        <v>0</v>
      </c>
      <c r="J96" s="711">
        <v>0</v>
      </c>
      <c r="K96" s="711">
        <v>0</v>
      </c>
      <c r="L96" s="711">
        <v>0</v>
      </c>
      <c r="M96" s="709">
        <v>0</v>
      </c>
      <c r="N96" s="730" t="s">
        <v>155</v>
      </c>
      <c r="O96" s="682" t="s">
        <v>1168</v>
      </c>
      <c r="P96" s="540" t="s">
        <v>337</v>
      </c>
    </row>
    <row r="97" spans="1:16" ht="17">
      <c r="A97" s="690" t="s">
        <v>1001</v>
      </c>
      <c r="B97" s="711">
        <v>40.917000000000002</v>
      </c>
      <c r="C97" s="711">
        <v>0</v>
      </c>
      <c r="D97" s="711">
        <v>0</v>
      </c>
      <c r="E97" s="711">
        <v>0</v>
      </c>
      <c r="F97" s="711">
        <v>0</v>
      </c>
      <c r="G97" s="709">
        <v>40.917000000000002</v>
      </c>
      <c r="H97" s="711">
        <v>40.917000000000002</v>
      </c>
      <c r="I97" s="711">
        <v>0</v>
      </c>
      <c r="J97" s="711">
        <v>0</v>
      </c>
      <c r="K97" s="711">
        <v>0</v>
      </c>
      <c r="L97" s="711">
        <v>0</v>
      </c>
      <c r="M97" s="709">
        <v>40.917000000000002</v>
      </c>
      <c r="N97" s="730">
        <v>0</v>
      </c>
      <c r="O97" s="682" t="s">
        <v>1169</v>
      </c>
      <c r="P97" s="540" t="s">
        <v>293</v>
      </c>
    </row>
    <row r="98" spans="1:16" ht="34">
      <c r="A98" s="682" t="s">
        <v>1002</v>
      </c>
      <c r="B98" s="711">
        <v>9.1760000000000002</v>
      </c>
      <c r="C98" s="711">
        <v>0</v>
      </c>
      <c r="D98" s="711">
        <v>0</v>
      </c>
      <c r="E98" s="711">
        <v>0</v>
      </c>
      <c r="F98" s="711">
        <v>0</v>
      </c>
      <c r="G98" s="709">
        <v>9.1760000000000002</v>
      </c>
      <c r="H98" s="711">
        <v>9.4149999999999991</v>
      </c>
      <c r="I98" s="711">
        <v>0</v>
      </c>
      <c r="J98" s="711">
        <v>0</v>
      </c>
      <c r="K98" s="711">
        <v>0</v>
      </c>
      <c r="L98" s="711">
        <v>0</v>
      </c>
      <c r="M98" s="709">
        <v>9.4149999999999991</v>
      </c>
      <c r="N98" s="730">
        <v>2.604620749782029E-2</v>
      </c>
      <c r="O98" s="682" t="s">
        <v>1170</v>
      </c>
      <c r="P98" s="540" t="s">
        <v>1171</v>
      </c>
    </row>
    <row r="99" spans="1:16" ht="34">
      <c r="A99" s="690" t="s">
        <v>1003</v>
      </c>
      <c r="B99" s="711">
        <v>5</v>
      </c>
      <c r="C99" s="711">
        <v>0</v>
      </c>
      <c r="D99" s="711">
        <v>0</v>
      </c>
      <c r="E99" s="711">
        <v>0</v>
      </c>
      <c r="F99" s="711">
        <v>0</v>
      </c>
      <c r="G99" s="709">
        <v>5</v>
      </c>
      <c r="H99" s="711">
        <v>5</v>
      </c>
      <c r="I99" s="711">
        <v>0</v>
      </c>
      <c r="J99" s="711">
        <v>0</v>
      </c>
      <c r="K99" s="711">
        <v>0</v>
      </c>
      <c r="L99" s="711">
        <v>0</v>
      </c>
      <c r="M99" s="709">
        <v>5</v>
      </c>
      <c r="N99" s="730">
        <v>0</v>
      </c>
      <c r="O99" s="682" t="s">
        <v>1172</v>
      </c>
      <c r="P99" s="540" t="s">
        <v>293</v>
      </c>
    </row>
    <row r="100" spans="1:16" ht="34">
      <c r="A100" s="683" t="s">
        <v>1004</v>
      </c>
      <c r="B100" s="248">
        <v>62.523000000000003</v>
      </c>
      <c r="C100" s="248">
        <v>0</v>
      </c>
      <c r="D100" s="248">
        <v>0</v>
      </c>
      <c r="E100" s="248">
        <v>0</v>
      </c>
      <c r="F100" s="248">
        <v>0</v>
      </c>
      <c r="G100" s="248">
        <v>62.523000000000003</v>
      </c>
      <c r="H100" s="248">
        <v>62.707000000000001</v>
      </c>
      <c r="I100" s="248">
        <v>0</v>
      </c>
      <c r="J100" s="248">
        <v>0</v>
      </c>
      <c r="K100" s="248">
        <v>0</v>
      </c>
      <c r="L100" s="248">
        <v>0</v>
      </c>
      <c r="M100" s="248">
        <v>62.707000000000001</v>
      </c>
      <c r="N100" s="419">
        <v>2.9429170065415526E-3</v>
      </c>
      <c r="O100" s="715"/>
      <c r="P100" s="716"/>
    </row>
    <row r="101" spans="1:16" ht="16">
      <c r="A101" s="82"/>
      <c r="B101" s="731"/>
      <c r="C101" s="731"/>
      <c r="D101" s="731"/>
      <c r="E101" s="731"/>
      <c r="F101" s="731"/>
      <c r="G101" s="731"/>
      <c r="H101" s="731"/>
      <c r="I101" s="731"/>
      <c r="J101" s="731"/>
      <c r="K101" s="731"/>
      <c r="L101" s="731"/>
      <c r="M101" s="731"/>
      <c r="N101" s="703"/>
      <c r="O101" s="688"/>
      <c r="P101" s="114"/>
    </row>
    <row r="102" spans="1:16" ht="17">
      <c r="A102" s="495" t="s">
        <v>1005</v>
      </c>
      <c r="B102" s="224"/>
      <c r="C102" s="224"/>
      <c r="D102" s="224"/>
      <c r="E102" s="224"/>
      <c r="F102" s="224"/>
      <c r="G102" s="224"/>
      <c r="H102" s="224"/>
      <c r="I102" s="224"/>
      <c r="J102" s="224"/>
      <c r="K102" s="224"/>
      <c r="L102" s="224"/>
      <c r="M102" s="224"/>
      <c r="N102" s="378"/>
      <c r="O102" s="533"/>
      <c r="P102" s="533"/>
    </row>
    <row r="103" spans="1:16" ht="85">
      <c r="A103" s="682" t="s">
        <v>1006</v>
      </c>
      <c r="B103" s="711">
        <v>8.4440000000000008</v>
      </c>
      <c r="C103" s="711">
        <v>9.5030000000000001</v>
      </c>
      <c r="D103" s="711">
        <v>6.4</v>
      </c>
      <c r="E103" s="711">
        <v>0</v>
      </c>
      <c r="F103" s="711">
        <v>0</v>
      </c>
      <c r="G103" s="709">
        <v>24.347000000000001</v>
      </c>
      <c r="H103" s="711">
        <v>8.4440000000000008</v>
      </c>
      <c r="I103" s="711">
        <v>10.061999999999999</v>
      </c>
      <c r="J103" s="711">
        <v>5</v>
      </c>
      <c r="K103" s="711">
        <v>0</v>
      </c>
      <c r="L103" s="711">
        <v>0</v>
      </c>
      <c r="M103" s="709">
        <v>23.506</v>
      </c>
      <c r="N103" s="712">
        <v>-3.4542243397543887E-2</v>
      </c>
      <c r="O103" s="682" t="s">
        <v>1173</v>
      </c>
      <c r="P103" s="540" t="s">
        <v>1174</v>
      </c>
    </row>
    <row r="104" spans="1:16" ht="17">
      <c r="A104" s="499" t="s">
        <v>1007</v>
      </c>
      <c r="B104" s="248">
        <v>8.4440000000000008</v>
      </c>
      <c r="C104" s="248">
        <v>9.5030000000000001</v>
      </c>
      <c r="D104" s="248">
        <v>6.4</v>
      </c>
      <c r="E104" s="248">
        <v>0</v>
      </c>
      <c r="F104" s="248">
        <v>0</v>
      </c>
      <c r="G104" s="248">
        <v>24.347000000000001</v>
      </c>
      <c r="H104" s="248">
        <v>8.4440000000000008</v>
      </c>
      <c r="I104" s="248">
        <v>10.061999999999999</v>
      </c>
      <c r="J104" s="248">
        <v>5</v>
      </c>
      <c r="K104" s="248">
        <v>0</v>
      </c>
      <c r="L104" s="248">
        <v>0</v>
      </c>
      <c r="M104" s="248">
        <v>23.506</v>
      </c>
      <c r="N104" s="419">
        <v>-3.4542243397543887E-2</v>
      </c>
      <c r="O104" s="715"/>
      <c r="P104" s="716"/>
    </row>
    <row r="105" spans="1:16" ht="16">
      <c r="A105" s="82"/>
      <c r="B105" s="731"/>
      <c r="C105" s="731"/>
      <c r="D105" s="731"/>
      <c r="E105" s="731"/>
      <c r="F105" s="731"/>
      <c r="G105" s="731"/>
      <c r="H105" s="731"/>
      <c r="I105" s="731"/>
      <c r="J105" s="731"/>
      <c r="K105" s="731"/>
      <c r="L105" s="731"/>
      <c r="M105" s="731"/>
      <c r="N105" s="703"/>
      <c r="O105" s="688"/>
      <c r="P105" s="114"/>
    </row>
    <row r="106" spans="1:16" ht="17">
      <c r="A106" s="495" t="s">
        <v>1008</v>
      </c>
      <c r="B106" s="224"/>
      <c r="C106" s="224"/>
      <c r="D106" s="224"/>
      <c r="E106" s="224"/>
      <c r="F106" s="224"/>
      <c r="G106" s="224"/>
      <c r="H106" s="224"/>
      <c r="I106" s="224"/>
      <c r="J106" s="224"/>
      <c r="K106" s="224"/>
      <c r="L106" s="224"/>
      <c r="M106" s="224"/>
      <c r="N106" s="378"/>
      <c r="O106" s="533"/>
      <c r="P106" s="533"/>
    </row>
    <row r="107" spans="1:16" ht="85">
      <c r="A107" s="682" t="s">
        <v>1009</v>
      </c>
      <c r="B107" s="711">
        <v>16.035</v>
      </c>
      <c r="C107" s="711">
        <v>0</v>
      </c>
      <c r="D107" s="711">
        <v>0</v>
      </c>
      <c r="E107" s="711">
        <v>0</v>
      </c>
      <c r="F107" s="711">
        <v>0</v>
      </c>
      <c r="G107" s="709">
        <v>16.035</v>
      </c>
      <c r="H107" s="711">
        <v>16.035</v>
      </c>
      <c r="I107" s="711">
        <v>0</v>
      </c>
      <c r="J107" s="711">
        <v>0</v>
      </c>
      <c r="K107" s="711">
        <v>0</v>
      </c>
      <c r="L107" s="711">
        <v>0</v>
      </c>
      <c r="M107" s="709">
        <v>16.035</v>
      </c>
      <c r="N107" s="712">
        <v>0</v>
      </c>
      <c r="O107" s="682" t="s">
        <v>1175</v>
      </c>
      <c r="P107" s="540" t="s">
        <v>293</v>
      </c>
    </row>
    <row r="108" spans="1:16" ht="34">
      <c r="A108" s="682" t="s">
        <v>1010</v>
      </c>
      <c r="B108" s="711">
        <v>5.1719999999999997</v>
      </c>
      <c r="C108" s="711">
        <v>0</v>
      </c>
      <c r="D108" s="711">
        <v>0</v>
      </c>
      <c r="E108" s="711">
        <v>0</v>
      </c>
      <c r="F108" s="711">
        <v>0</v>
      </c>
      <c r="G108" s="709">
        <v>5.1719999999999997</v>
      </c>
      <c r="H108" s="711">
        <v>5.1390000000000002</v>
      </c>
      <c r="I108" s="711">
        <v>0</v>
      </c>
      <c r="J108" s="711">
        <v>0</v>
      </c>
      <c r="K108" s="711">
        <v>0</v>
      </c>
      <c r="L108" s="711">
        <v>0</v>
      </c>
      <c r="M108" s="709">
        <v>5.1390000000000002</v>
      </c>
      <c r="N108" s="712">
        <v>-6.3805104408351659E-3</v>
      </c>
      <c r="O108" s="682" t="s">
        <v>1176</v>
      </c>
      <c r="P108" s="540" t="s">
        <v>1157</v>
      </c>
    </row>
    <row r="109" spans="1:16" ht="34">
      <c r="A109" s="499" t="s">
        <v>1011</v>
      </c>
      <c r="B109" s="248">
        <v>21.207000000000001</v>
      </c>
      <c r="C109" s="248">
        <v>0</v>
      </c>
      <c r="D109" s="248">
        <v>0</v>
      </c>
      <c r="E109" s="248">
        <v>0</v>
      </c>
      <c r="F109" s="248">
        <v>0</v>
      </c>
      <c r="G109" s="248">
        <v>21.207000000000001</v>
      </c>
      <c r="H109" s="248">
        <v>21.173999999999999</v>
      </c>
      <c r="I109" s="248">
        <v>0</v>
      </c>
      <c r="J109" s="248">
        <v>0</v>
      </c>
      <c r="K109" s="248">
        <v>0</v>
      </c>
      <c r="L109" s="248">
        <v>0</v>
      </c>
      <c r="M109" s="248">
        <v>21.173999999999999</v>
      </c>
      <c r="N109" s="419">
        <v>-1.5560899702928867E-3</v>
      </c>
      <c r="O109" s="715"/>
      <c r="P109" s="716"/>
    </row>
    <row r="110" spans="1:16" ht="16">
      <c r="A110" s="82"/>
      <c r="B110" s="731"/>
      <c r="C110" s="731"/>
      <c r="D110" s="731"/>
      <c r="E110" s="731"/>
      <c r="F110" s="731"/>
      <c r="G110" s="731"/>
      <c r="H110" s="731"/>
      <c r="I110" s="731"/>
      <c r="J110" s="731"/>
      <c r="K110" s="731"/>
      <c r="L110" s="731"/>
      <c r="M110" s="731"/>
      <c r="N110" s="703"/>
      <c r="O110" s="688"/>
      <c r="P110" s="114"/>
    </row>
    <row r="111" spans="1:16" ht="17">
      <c r="A111" s="495" t="s">
        <v>1012</v>
      </c>
      <c r="B111" s="224"/>
      <c r="C111" s="224"/>
      <c r="D111" s="224"/>
      <c r="E111" s="224"/>
      <c r="F111" s="224"/>
      <c r="G111" s="224"/>
      <c r="H111" s="224"/>
      <c r="I111" s="224"/>
      <c r="J111" s="224"/>
      <c r="K111" s="224"/>
      <c r="L111" s="224"/>
      <c r="M111" s="224"/>
      <c r="N111" s="378"/>
      <c r="O111" s="533"/>
      <c r="P111" s="533"/>
    </row>
    <row r="112" spans="1:16" ht="34">
      <c r="A112" s="682" t="s">
        <v>1013</v>
      </c>
      <c r="B112" s="711">
        <v>4.6970000000000001</v>
      </c>
      <c r="C112" s="711">
        <v>0</v>
      </c>
      <c r="D112" s="711">
        <v>0</v>
      </c>
      <c r="E112" s="711">
        <v>0</v>
      </c>
      <c r="F112" s="711">
        <v>0</v>
      </c>
      <c r="G112" s="709">
        <v>4.6970000000000001</v>
      </c>
      <c r="H112" s="711">
        <v>4.6619999999999999</v>
      </c>
      <c r="I112" s="711">
        <v>0</v>
      </c>
      <c r="J112" s="711">
        <v>0</v>
      </c>
      <c r="K112" s="711">
        <v>0</v>
      </c>
      <c r="L112" s="711">
        <v>0</v>
      </c>
      <c r="M112" s="709">
        <v>4.6619999999999999</v>
      </c>
      <c r="N112" s="712">
        <v>-7.4515648286140393E-3</v>
      </c>
      <c r="O112" s="682" t="s">
        <v>1177</v>
      </c>
      <c r="P112" s="540" t="s">
        <v>1157</v>
      </c>
    </row>
    <row r="113" spans="1:16" ht="34">
      <c r="A113" s="682" t="s">
        <v>1014</v>
      </c>
      <c r="B113" s="711">
        <v>0</v>
      </c>
      <c r="C113" s="711">
        <v>0</v>
      </c>
      <c r="D113" s="711">
        <v>5</v>
      </c>
      <c r="E113" s="711">
        <v>0</v>
      </c>
      <c r="F113" s="711">
        <v>0</v>
      </c>
      <c r="G113" s="709">
        <v>5</v>
      </c>
      <c r="H113" s="711">
        <v>0</v>
      </c>
      <c r="I113" s="711">
        <v>0</v>
      </c>
      <c r="J113" s="711">
        <v>10</v>
      </c>
      <c r="K113" s="711">
        <v>0</v>
      </c>
      <c r="L113" s="711">
        <v>0</v>
      </c>
      <c r="M113" s="709">
        <v>10</v>
      </c>
      <c r="N113" s="712">
        <v>1</v>
      </c>
      <c r="O113" s="682" t="s">
        <v>1178</v>
      </c>
      <c r="P113" s="540" t="s">
        <v>1179</v>
      </c>
    </row>
    <row r="114" spans="1:16" ht="68">
      <c r="A114" s="682" t="s">
        <v>1015</v>
      </c>
      <c r="B114" s="711">
        <v>16</v>
      </c>
      <c r="C114" s="711">
        <v>0</v>
      </c>
      <c r="D114" s="711">
        <v>0</v>
      </c>
      <c r="E114" s="711">
        <v>0</v>
      </c>
      <c r="F114" s="711">
        <v>0</v>
      </c>
      <c r="G114" s="709">
        <v>16</v>
      </c>
      <c r="H114" s="711">
        <v>16</v>
      </c>
      <c r="I114" s="711">
        <v>0</v>
      </c>
      <c r="J114" s="711">
        <v>0</v>
      </c>
      <c r="K114" s="711">
        <v>0</v>
      </c>
      <c r="L114" s="711">
        <v>0</v>
      </c>
      <c r="M114" s="709">
        <v>16</v>
      </c>
      <c r="N114" s="712">
        <v>0</v>
      </c>
      <c r="O114" s="682" t="s">
        <v>1180</v>
      </c>
      <c r="P114" s="540" t="s">
        <v>293</v>
      </c>
    </row>
    <row r="115" spans="1:16" ht="68">
      <c r="A115" s="682" t="s">
        <v>1016</v>
      </c>
      <c r="B115" s="711">
        <v>1.855</v>
      </c>
      <c r="C115" s="711">
        <v>0</v>
      </c>
      <c r="D115" s="711">
        <v>0</v>
      </c>
      <c r="E115" s="711">
        <v>0</v>
      </c>
      <c r="F115" s="711">
        <v>0</v>
      </c>
      <c r="G115" s="709">
        <v>1.855</v>
      </c>
      <c r="H115" s="711">
        <v>1.8089999999999999</v>
      </c>
      <c r="I115" s="711">
        <v>0</v>
      </c>
      <c r="J115" s="711">
        <v>0</v>
      </c>
      <c r="K115" s="711">
        <v>0</v>
      </c>
      <c r="L115" s="711">
        <v>0</v>
      </c>
      <c r="M115" s="709">
        <v>1.8089999999999999</v>
      </c>
      <c r="N115" s="712">
        <v>-2.4797843665768215E-2</v>
      </c>
      <c r="O115" s="682" t="s">
        <v>1181</v>
      </c>
      <c r="P115" s="540" t="s">
        <v>1157</v>
      </c>
    </row>
    <row r="116" spans="1:16" ht="51">
      <c r="A116" s="682" t="s">
        <v>1017</v>
      </c>
      <c r="B116" s="711">
        <v>6.3330000000000002</v>
      </c>
      <c r="C116" s="711">
        <v>0</v>
      </c>
      <c r="D116" s="711">
        <v>0</v>
      </c>
      <c r="E116" s="711">
        <v>0</v>
      </c>
      <c r="F116" s="711">
        <v>0</v>
      </c>
      <c r="G116" s="709">
        <v>6.3330000000000002</v>
      </c>
      <c r="H116" s="711">
        <v>6.2629999999999999</v>
      </c>
      <c r="I116" s="711">
        <v>0</v>
      </c>
      <c r="J116" s="711">
        <v>0</v>
      </c>
      <c r="K116" s="711">
        <v>0</v>
      </c>
      <c r="L116" s="711">
        <v>0</v>
      </c>
      <c r="M116" s="709">
        <v>6.2629999999999999</v>
      </c>
      <c r="N116" s="712">
        <v>-1.1053213327017256E-2</v>
      </c>
      <c r="O116" s="682" t="s">
        <v>1182</v>
      </c>
      <c r="P116" s="540" t="s">
        <v>1157</v>
      </c>
    </row>
    <row r="117" spans="1:16" ht="17">
      <c r="A117" s="682" t="s">
        <v>1018</v>
      </c>
      <c r="B117" s="711">
        <v>0.80400000000000005</v>
      </c>
      <c r="C117" s="711">
        <v>0</v>
      </c>
      <c r="D117" s="711">
        <v>0</v>
      </c>
      <c r="E117" s="711">
        <v>0</v>
      </c>
      <c r="F117" s="711">
        <v>0</v>
      </c>
      <c r="G117" s="709">
        <v>0.80400000000000005</v>
      </c>
      <c r="H117" s="711">
        <v>0.78400000000000003</v>
      </c>
      <c r="I117" s="711">
        <v>0</v>
      </c>
      <c r="J117" s="711">
        <v>0</v>
      </c>
      <c r="K117" s="711">
        <v>0</v>
      </c>
      <c r="L117" s="711">
        <v>0</v>
      </c>
      <c r="M117" s="709">
        <v>0.78400000000000003</v>
      </c>
      <c r="N117" s="714">
        <v>-2.4875621890547286E-2</v>
      </c>
      <c r="O117" s="682" t="s">
        <v>1183</v>
      </c>
      <c r="P117" s="540" t="s">
        <v>1184</v>
      </c>
    </row>
    <row r="118" spans="1:16" ht="17">
      <c r="A118" s="499" t="s">
        <v>1019</v>
      </c>
      <c r="B118" s="248">
        <v>29.688999999999997</v>
      </c>
      <c r="C118" s="248">
        <v>0</v>
      </c>
      <c r="D118" s="248">
        <v>5</v>
      </c>
      <c r="E118" s="248">
        <v>0</v>
      </c>
      <c r="F118" s="248">
        <v>0</v>
      </c>
      <c r="G118" s="248">
        <v>34.689</v>
      </c>
      <c r="H118" s="248">
        <v>29.518000000000001</v>
      </c>
      <c r="I118" s="248">
        <v>0</v>
      </c>
      <c r="J118" s="248">
        <v>10</v>
      </c>
      <c r="K118" s="248">
        <v>0</v>
      </c>
      <c r="L118" s="248">
        <v>0</v>
      </c>
      <c r="M118" s="248">
        <v>39.517999999999994</v>
      </c>
      <c r="N118" s="419">
        <v>0.13920839459194539</v>
      </c>
      <c r="O118" s="715"/>
      <c r="P118" s="716"/>
    </row>
    <row r="119" spans="1:16" ht="16">
      <c r="A119" s="82"/>
      <c r="B119" s="732"/>
      <c r="C119" s="732"/>
      <c r="D119" s="732"/>
      <c r="E119" s="732"/>
      <c r="F119" s="732"/>
      <c r="G119" s="732"/>
      <c r="H119" s="732"/>
      <c r="I119" s="732"/>
      <c r="J119" s="732"/>
      <c r="K119" s="732"/>
      <c r="L119" s="732"/>
      <c r="M119" s="732"/>
      <c r="N119" s="703"/>
      <c r="O119" s="688"/>
      <c r="P119" s="114"/>
    </row>
    <row r="120" spans="1:16" ht="17">
      <c r="A120" s="686" t="s">
        <v>1020</v>
      </c>
      <c r="B120" s="718">
        <v>194.41400000000002</v>
      </c>
      <c r="C120" s="718">
        <v>12.313000000000001</v>
      </c>
      <c r="D120" s="718">
        <v>13.5</v>
      </c>
      <c r="E120" s="718">
        <v>0</v>
      </c>
      <c r="F120" s="718">
        <v>0</v>
      </c>
      <c r="G120" s="718">
        <v>220.227</v>
      </c>
      <c r="H120" s="718">
        <v>264.21199999999999</v>
      </c>
      <c r="I120" s="718">
        <v>12.087999999999999</v>
      </c>
      <c r="J120" s="718">
        <v>17.399999999999999</v>
      </c>
      <c r="K120" s="718">
        <v>0</v>
      </c>
      <c r="L120" s="718">
        <v>0</v>
      </c>
      <c r="M120" s="718">
        <v>293.7</v>
      </c>
      <c r="N120" s="719">
        <v>0.33362394256834987</v>
      </c>
      <c r="O120" s="733"/>
      <c r="P120" s="721"/>
    </row>
    <row r="121" spans="1:16" ht="16">
      <c r="A121" s="82"/>
      <c r="B121" s="732"/>
      <c r="C121" s="732"/>
      <c r="D121" s="732"/>
      <c r="E121" s="732"/>
      <c r="F121" s="732"/>
      <c r="G121" s="732"/>
      <c r="H121" s="732"/>
      <c r="I121" s="732"/>
      <c r="J121" s="732"/>
      <c r="K121" s="732"/>
      <c r="L121" s="732"/>
      <c r="M121" s="732"/>
      <c r="N121" s="703"/>
      <c r="O121" s="688"/>
      <c r="P121" s="114"/>
    </row>
    <row r="122" spans="1:16" ht="34">
      <c r="A122" s="501" t="s">
        <v>1021</v>
      </c>
      <c r="B122" s="202"/>
      <c r="C122" s="202"/>
      <c r="D122" s="202"/>
      <c r="E122" s="202"/>
      <c r="F122" s="202"/>
      <c r="G122" s="202"/>
      <c r="H122" s="202"/>
      <c r="I122" s="202"/>
      <c r="J122" s="202"/>
      <c r="K122" s="202"/>
      <c r="L122" s="202"/>
      <c r="M122" s="202"/>
      <c r="N122" s="705"/>
      <c r="O122" s="532"/>
      <c r="P122" s="532"/>
    </row>
    <row r="123" spans="1:16" ht="16">
      <c r="A123" s="678"/>
      <c r="B123" s="731"/>
      <c r="C123" s="731"/>
      <c r="D123" s="731"/>
      <c r="E123" s="731"/>
      <c r="F123" s="731"/>
      <c r="G123" s="731"/>
      <c r="H123" s="731"/>
      <c r="I123" s="731"/>
      <c r="J123" s="731"/>
      <c r="K123" s="731"/>
      <c r="L123" s="731"/>
      <c r="M123" s="731"/>
      <c r="N123" s="703"/>
      <c r="O123" s="688"/>
      <c r="P123" s="114"/>
    </row>
    <row r="124" spans="1:16" ht="17">
      <c r="A124" s="495" t="s">
        <v>1022</v>
      </c>
      <c r="B124" s="224"/>
      <c r="C124" s="224"/>
      <c r="D124" s="224"/>
      <c r="E124" s="224"/>
      <c r="F124" s="224"/>
      <c r="G124" s="224"/>
      <c r="H124" s="224"/>
      <c r="I124" s="224"/>
      <c r="J124" s="224"/>
      <c r="K124" s="224"/>
      <c r="L124" s="224"/>
      <c r="M124" s="224"/>
      <c r="N124" s="378"/>
      <c r="O124" s="533"/>
      <c r="P124" s="533"/>
    </row>
    <row r="125" spans="1:16" ht="68">
      <c r="A125" s="682" t="s">
        <v>1023</v>
      </c>
      <c r="B125" s="711">
        <v>25.009</v>
      </c>
      <c r="C125" s="711">
        <v>0</v>
      </c>
      <c r="D125" s="711">
        <v>0</v>
      </c>
      <c r="E125" s="711">
        <v>0</v>
      </c>
      <c r="F125" s="711">
        <v>0</v>
      </c>
      <c r="G125" s="709">
        <v>25.009</v>
      </c>
      <c r="H125" s="711">
        <v>11.41</v>
      </c>
      <c r="I125" s="711">
        <v>0</v>
      </c>
      <c r="J125" s="711">
        <v>0</v>
      </c>
      <c r="K125" s="711">
        <v>0</v>
      </c>
      <c r="L125" s="711">
        <v>0</v>
      </c>
      <c r="M125" s="709">
        <v>11.41</v>
      </c>
      <c r="N125" s="712">
        <v>-0.54376424487184616</v>
      </c>
      <c r="O125" s="682" t="s">
        <v>1185</v>
      </c>
      <c r="P125" s="540" t="s">
        <v>1186</v>
      </c>
    </row>
    <row r="126" spans="1:16" ht="51">
      <c r="A126" s="682" t="s">
        <v>1024</v>
      </c>
      <c r="B126" s="711">
        <v>31.75</v>
      </c>
      <c r="C126" s="711">
        <v>0</v>
      </c>
      <c r="D126" s="711">
        <v>0</v>
      </c>
      <c r="E126" s="711">
        <v>0</v>
      </c>
      <c r="F126" s="711">
        <v>0</v>
      </c>
      <c r="G126" s="709">
        <v>31.75</v>
      </c>
      <c r="H126" s="711">
        <v>36.817999999999998</v>
      </c>
      <c r="I126" s="711">
        <v>0</v>
      </c>
      <c r="J126" s="711">
        <v>5</v>
      </c>
      <c r="K126" s="711">
        <v>0</v>
      </c>
      <c r="L126" s="711">
        <v>0</v>
      </c>
      <c r="M126" s="709">
        <v>41.817999999999998</v>
      </c>
      <c r="N126" s="712">
        <v>0.31710236220472432</v>
      </c>
      <c r="O126" s="682" t="s">
        <v>1187</v>
      </c>
      <c r="P126" s="540" t="s">
        <v>1188</v>
      </c>
    </row>
    <row r="127" spans="1:16" ht="17">
      <c r="A127" s="499" t="s">
        <v>1025</v>
      </c>
      <c r="B127" s="248">
        <v>56.759</v>
      </c>
      <c r="C127" s="248">
        <v>0</v>
      </c>
      <c r="D127" s="248">
        <v>0</v>
      </c>
      <c r="E127" s="248">
        <v>0</v>
      </c>
      <c r="F127" s="248">
        <v>0</v>
      </c>
      <c r="G127" s="248">
        <v>56.759</v>
      </c>
      <c r="H127" s="248">
        <v>48.227999999999994</v>
      </c>
      <c r="I127" s="248">
        <v>0</v>
      </c>
      <c r="J127" s="248">
        <v>5</v>
      </c>
      <c r="K127" s="248">
        <v>0</v>
      </c>
      <c r="L127" s="248">
        <v>0</v>
      </c>
      <c r="M127" s="248">
        <v>53.227999999999994</v>
      </c>
      <c r="N127" s="419">
        <v>-6.2210398350922423E-2</v>
      </c>
      <c r="O127" s="715"/>
      <c r="P127" s="716"/>
    </row>
    <row r="128" spans="1:16" ht="16">
      <c r="A128" s="688"/>
      <c r="B128" s="717"/>
      <c r="C128" s="717"/>
      <c r="D128" s="717"/>
      <c r="E128" s="717"/>
      <c r="F128" s="717"/>
      <c r="G128" s="717"/>
      <c r="H128" s="717"/>
      <c r="I128" s="717"/>
      <c r="J128" s="717"/>
      <c r="K128" s="717"/>
      <c r="L128" s="717"/>
      <c r="M128" s="717"/>
      <c r="N128" s="706"/>
      <c r="O128" s="688"/>
      <c r="P128" s="114"/>
    </row>
    <row r="129" spans="1:16" ht="34">
      <c r="A129" s="691" t="s">
        <v>1026</v>
      </c>
      <c r="B129" s="718">
        <v>56.759</v>
      </c>
      <c r="C129" s="718">
        <v>0</v>
      </c>
      <c r="D129" s="718">
        <v>0</v>
      </c>
      <c r="E129" s="718">
        <v>0</v>
      </c>
      <c r="F129" s="718">
        <v>0</v>
      </c>
      <c r="G129" s="718">
        <v>56.759</v>
      </c>
      <c r="H129" s="718">
        <v>48.227999999999994</v>
      </c>
      <c r="I129" s="718">
        <v>0</v>
      </c>
      <c r="J129" s="718">
        <v>5</v>
      </c>
      <c r="K129" s="718">
        <v>0</v>
      </c>
      <c r="L129" s="718">
        <v>0</v>
      </c>
      <c r="M129" s="718">
        <v>53.227999999999994</v>
      </c>
      <c r="N129" s="719">
        <v>-6.2210398350922423E-2</v>
      </c>
      <c r="O129" s="734"/>
      <c r="P129" s="735"/>
    </row>
    <row r="130" spans="1:16" ht="16">
      <c r="A130" s="688"/>
      <c r="B130" s="717"/>
      <c r="C130" s="717"/>
      <c r="D130" s="717"/>
      <c r="E130" s="717"/>
      <c r="F130" s="717"/>
      <c r="G130" s="717"/>
      <c r="H130" s="717"/>
      <c r="I130" s="717"/>
      <c r="J130" s="717"/>
      <c r="K130" s="717"/>
      <c r="L130" s="717"/>
      <c r="M130" s="717"/>
      <c r="N130" s="707"/>
      <c r="O130" s="688"/>
      <c r="P130" s="114"/>
    </row>
    <row r="131" spans="1:16" ht="17">
      <c r="A131" s="692" t="s">
        <v>1027</v>
      </c>
      <c r="B131" s="202"/>
      <c r="C131" s="202"/>
      <c r="D131" s="202"/>
      <c r="E131" s="202"/>
      <c r="F131" s="202"/>
      <c r="G131" s="202"/>
      <c r="H131" s="202"/>
      <c r="I131" s="202"/>
      <c r="J131" s="202"/>
      <c r="K131" s="202"/>
      <c r="L131" s="202"/>
      <c r="M131" s="202"/>
      <c r="N131" s="705"/>
      <c r="O131" s="532"/>
      <c r="P131" s="532"/>
    </row>
    <row r="132" spans="1:16" ht="16">
      <c r="A132" s="82"/>
      <c r="B132" s="722"/>
      <c r="C132" s="722"/>
      <c r="D132" s="722"/>
      <c r="E132" s="722"/>
      <c r="F132" s="722"/>
      <c r="G132" s="722"/>
      <c r="H132" s="722"/>
      <c r="I132" s="722"/>
      <c r="J132" s="722"/>
      <c r="K132" s="722"/>
      <c r="L132" s="722"/>
      <c r="M132" s="722"/>
      <c r="N132" s="723"/>
      <c r="O132" s="736"/>
      <c r="P132" s="82"/>
    </row>
    <row r="133" spans="1:16" ht="17">
      <c r="A133" s="495" t="s">
        <v>1028</v>
      </c>
      <c r="B133" s="224"/>
      <c r="C133" s="224"/>
      <c r="D133" s="224"/>
      <c r="E133" s="224"/>
      <c r="F133" s="224"/>
      <c r="G133" s="224"/>
      <c r="H133" s="224"/>
      <c r="I133" s="224"/>
      <c r="J133" s="224"/>
      <c r="K133" s="224"/>
      <c r="L133" s="224"/>
      <c r="M133" s="224"/>
      <c r="N133" s="378"/>
      <c r="O133" s="533"/>
      <c r="P133" s="533"/>
    </row>
    <row r="134" spans="1:16" ht="17">
      <c r="A134" s="682" t="s">
        <v>1029</v>
      </c>
      <c r="B134" s="711">
        <v>7.7519999999999998</v>
      </c>
      <c r="C134" s="711">
        <v>0</v>
      </c>
      <c r="D134" s="711">
        <v>0</v>
      </c>
      <c r="E134" s="711">
        <v>0</v>
      </c>
      <c r="F134" s="711">
        <v>0</v>
      </c>
      <c r="G134" s="709">
        <v>7.7519999999999998</v>
      </c>
      <c r="H134" s="711">
        <v>7.7519999999999998</v>
      </c>
      <c r="I134" s="711">
        <v>0</v>
      </c>
      <c r="J134" s="711">
        <v>0</v>
      </c>
      <c r="K134" s="711">
        <v>0</v>
      </c>
      <c r="L134" s="711">
        <v>0</v>
      </c>
      <c r="M134" s="709">
        <v>7.7519999999999998</v>
      </c>
      <c r="N134" s="712">
        <v>0</v>
      </c>
      <c r="O134" s="682" t="s">
        <v>1189</v>
      </c>
      <c r="P134" s="540" t="s">
        <v>337</v>
      </c>
    </row>
    <row r="135" spans="1:16" ht="51">
      <c r="A135" s="682" t="s">
        <v>1030</v>
      </c>
      <c r="B135" s="711">
        <v>0.46</v>
      </c>
      <c r="C135" s="711">
        <v>0</v>
      </c>
      <c r="D135" s="711">
        <v>0</v>
      </c>
      <c r="E135" s="711">
        <v>0</v>
      </c>
      <c r="F135" s="711">
        <v>0</v>
      </c>
      <c r="G135" s="709">
        <v>0.46</v>
      </c>
      <c r="H135" s="711">
        <v>0.46</v>
      </c>
      <c r="I135" s="711">
        <v>0</v>
      </c>
      <c r="J135" s="711">
        <v>0</v>
      </c>
      <c r="K135" s="711">
        <v>0</v>
      </c>
      <c r="L135" s="711">
        <v>0</v>
      </c>
      <c r="M135" s="709">
        <v>0.46</v>
      </c>
      <c r="N135" s="712">
        <v>0</v>
      </c>
      <c r="O135" s="682" t="s">
        <v>1190</v>
      </c>
      <c r="P135" s="540" t="s">
        <v>337</v>
      </c>
    </row>
    <row r="136" spans="1:16" ht="34">
      <c r="A136" s="682" t="s">
        <v>1031</v>
      </c>
      <c r="B136" s="711">
        <v>6.6589999999999998</v>
      </c>
      <c r="C136" s="711">
        <v>0</v>
      </c>
      <c r="D136" s="711">
        <v>0</v>
      </c>
      <c r="E136" s="711">
        <v>0</v>
      </c>
      <c r="F136" s="711">
        <v>0</v>
      </c>
      <c r="G136" s="709">
        <v>6.6589999999999998</v>
      </c>
      <c r="H136" s="711">
        <v>6.4939999999999998</v>
      </c>
      <c r="I136" s="711">
        <v>0</v>
      </c>
      <c r="J136" s="711">
        <v>0</v>
      </c>
      <c r="K136" s="711">
        <v>0</v>
      </c>
      <c r="L136" s="711">
        <v>0</v>
      </c>
      <c r="M136" s="709">
        <v>6.4939999999999998</v>
      </c>
      <c r="N136" s="712">
        <v>-2.477849526956E-2</v>
      </c>
      <c r="O136" s="737" t="s">
        <v>1191</v>
      </c>
      <c r="P136" s="725" t="s">
        <v>1192</v>
      </c>
    </row>
    <row r="137" spans="1:16" ht="17">
      <c r="A137" s="499" t="s">
        <v>1032</v>
      </c>
      <c r="B137" s="248">
        <v>14.870999999999999</v>
      </c>
      <c r="C137" s="248">
        <v>0</v>
      </c>
      <c r="D137" s="248">
        <v>0</v>
      </c>
      <c r="E137" s="248">
        <v>0</v>
      </c>
      <c r="F137" s="248">
        <v>0</v>
      </c>
      <c r="G137" s="248">
        <v>14.870999999999999</v>
      </c>
      <c r="H137" s="248">
        <v>14.706</v>
      </c>
      <c r="I137" s="248">
        <v>0</v>
      </c>
      <c r="J137" s="248">
        <v>0</v>
      </c>
      <c r="K137" s="248">
        <v>0</v>
      </c>
      <c r="L137" s="248">
        <v>0</v>
      </c>
      <c r="M137" s="248">
        <v>14.706</v>
      </c>
      <c r="N137" s="419">
        <v>-1.1095420617308799E-2</v>
      </c>
      <c r="O137" s="715"/>
      <c r="P137" s="716"/>
    </row>
    <row r="138" spans="1:16" ht="16">
      <c r="A138" s="82"/>
      <c r="B138" s="731"/>
      <c r="C138" s="731"/>
      <c r="D138" s="731"/>
      <c r="E138" s="731"/>
      <c r="F138" s="731"/>
      <c r="G138" s="731"/>
      <c r="H138" s="731"/>
      <c r="I138" s="731"/>
      <c r="J138" s="731"/>
      <c r="K138" s="731"/>
      <c r="L138" s="731"/>
      <c r="M138" s="731"/>
      <c r="N138" s="703"/>
      <c r="O138" s="688"/>
      <c r="P138" s="114"/>
    </row>
    <row r="139" spans="1:16" ht="17">
      <c r="A139" s="495" t="s">
        <v>1033</v>
      </c>
      <c r="B139" s="224"/>
      <c r="C139" s="224"/>
      <c r="D139" s="224"/>
      <c r="E139" s="224"/>
      <c r="F139" s="224"/>
      <c r="G139" s="224"/>
      <c r="H139" s="224"/>
      <c r="I139" s="224"/>
      <c r="J139" s="224"/>
      <c r="K139" s="224"/>
      <c r="L139" s="224"/>
      <c r="M139" s="224"/>
      <c r="N139" s="378"/>
      <c r="O139" s="533"/>
      <c r="P139" s="533"/>
    </row>
    <row r="140" spans="1:16" ht="51">
      <c r="A140" s="682" t="s">
        <v>1034</v>
      </c>
      <c r="B140" s="711">
        <v>9.9000000000000005E-2</v>
      </c>
      <c r="C140" s="711">
        <v>0</v>
      </c>
      <c r="D140" s="711">
        <v>0</v>
      </c>
      <c r="E140" s="711">
        <v>0</v>
      </c>
      <c r="F140" s="711">
        <v>0</v>
      </c>
      <c r="G140" s="709">
        <v>9.9000000000000005E-2</v>
      </c>
      <c r="H140" s="711">
        <v>9.9000000000000005E-2</v>
      </c>
      <c r="I140" s="711">
        <v>0</v>
      </c>
      <c r="J140" s="711">
        <v>0</v>
      </c>
      <c r="K140" s="711">
        <v>0</v>
      </c>
      <c r="L140" s="711">
        <v>0</v>
      </c>
      <c r="M140" s="709">
        <v>9.9000000000000005E-2</v>
      </c>
      <c r="N140" s="712">
        <v>0</v>
      </c>
      <c r="O140" s="682" t="s">
        <v>1193</v>
      </c>
      <c r="P140" s="540" t="s">
        <v>337</v>
      </c>
    </row>
    <row r="141" spans="1:16" ht="17">
      <c r="A141" s="497" t="s">
        <v>1035</v>
      </c>
      <c r="B141" s="711">
        <v>0.129</v>
      </c>
      <c r="C141" s="711">
        <v>0</v>
      </c>
      <c r="D141" s="711">
        <v>0</v>
      </c>
      <c r="E141" s="711">
        <v>0</v>
      </c>
      <c r="F141" s="711">
        <v>0</v>
      </c>
      <c r="G141" s="709">
        <v>0.129</v>
      </c>
      <c r="H141" s="711">
        <v>0.129</v>
      </c>
      <c r="I141" s="711">
        <v>0</v>
      </c>
      <c r="J141" s="711">
        <v>0</v>
      </c>
      <c r="K141" s="711">
        <v>0</v>
      </c>
      <c r="L141" s="711">
        <v>0</v>
      </c>
      <c r="M141" s="709">
        <v>0.129</v>
      </c>
      <c r="N141" s="712">
        <v>0</v>
      </c>
      <c r="O141" s="682" t="s">
        <v>1194</v>
      </c>
      <c r="P141" s="540" t="s">
        <v>337</v>
      </c>
    </row>
    <row r="142" spans="1:16" ht="17">
      <c r="A142" s="497" t="s">
        <v>1036</v>
      </c>
      <c r="B142" s="711">
        <v>1.0249999999999999</v>
      </c>
      <c r="C142" s="711">
        <v>0</v>
      </c>
      <c r="D142" s="711">
        <v>0</v>
      </c>
      <c r="E142" s="711">
        <v>0</v>
      </c>
      <c r="F142" s="711">
        <v>0</v>
      </c>
      <c r="G142" s="709">
        <v>1.0249999999999999</v>
      </c>
      <c r="H142" s="711">
        <v>1.0249999999999999</v>
      </c>
      <c r="I142" s="711">
        <v>0</v>
      </c>
      <c r="J142" s="711">
        <v>0</v>
      </c>
      <c r="K142" s="711">
        <v>0</v>
      </c>
      <c r="L142" s="711">
        <v>0</v>
      </c>
      <c r="M142" s="709">
        <v>1.0249999999999999</v>
      </c>
      <c r="N142" s="712">
        <v>0</v>
      </c>
      <c r="O142" s="682" t="s">
        <v>1195</v>
      </c>
      <c r="P142" s="540" t="s">
        <v>337</v>
      </c>
    </row>
    <row r="143" spans="1:16" ht="17">
      <c r="A143" s="497" t="s">
        <v>1037</v>
      </c>
      <c r="B143" s="711">
        <v>0.47499999999999998</v>
      </c>
      <c r="C143" s="711">
        <v>0</v>
      </c>
      <c r="D143" s="711">
        <v>0</v>
      </c>
      <c r="E143" s="711">
        <v>0</v>
      </c>
      <c r="F143" s="711">
        <v>0</v>
      </c>
      <c r="G143" s="709">
        <v>0.47499999999999998</v>
      </c>
      <c r="H143" s="711">
        <v>0.52300000000000002</v>
      </c>
      <c r="I143" s="711">
        <v>0</v>
      </c>
      <c r="J143" s="711">
        <v>0</v>
      </c>
      <c r="K143" s="711">
        <v>0</v>
      </c>
      <c r="L143" s="711">
        <v>0</v>
      </c>
      <c r="M143" s="709">
        <v>0.52300000000000002</v>
      </c>
      <c r="N143" s="712">
        <v>0.10105263157894746</v>
      </c>
      <c r="O143" s="682" t="s">
        <v>1196</v>
      </c>
      <c r="P143" s="540" t="s">
        <v>1197</v>
      </c>
    </row>
    <row r="144" spans="1:16" ht="51">
      <c r="A144" s="497" t="s">
        <v>1038</v>
      </c>
      <c r="B144" s="711">
        <v>3.2290000000000001</v>
      </c>
      <c r="C144" s="711">
        <v>0</v>
      </c>
      <c r="D144" s="711">
        <v>0</v>
      </c>
      <c r="E144" s="711">
        <v>0</v>
      </c>
      <c r="F144" s="711">
        <v>0</v>
      </c>
      <c r="G144" s="709">
        <v>3.2290000000000001</v>
      </c>
      <c r="H144" s="711">
        <v>3.2290000000000001</v>
      </c>
      <c r="I144" s="711">
        <v>0</v>
      </c>
      <c r="J144" s="711">
        <v>0</v>
      </c>
      <c r="K144" s="711">
        <v>0</v>
      </c>
      <c r="L144" s="711">
        <v>0</v>
      </c>
      <c r="M144" s="709">
        <v>3.2290000000000001</v>
      </c>
      <c r="N144" s="712">
        <v>0</v>
      </c>
      <c r="O144" s="682" t="s">
        <v>1198</v>
      </c>
      <c r="P144" s="540" t="s">
        <v>337</v>
      </c>
    </row>
    <row r="145" spans="1:16" ht="17">
      <c r="A145" s="499" t="s">
        <v>1039</v>
      </c>
      <c r="B145" s="248">
        <v>4.9569999999999999</v>
      </c>
      <c r="C145" s="248">
        <v>0</v>
      </c>
      <c r="D145" s="248">
        <v>0</v>
      </c>
      <c r="E145" s="248">
        <v>0</v>
      </c>
      <c r="F145" s="248">
        <v>0</v>
      </c>
      <c r="G145" s="248">
        <v>4.9569999999999999</v>
      </c>
      <c r="H145" s="248">
        <v>5.0049999999999999</v>
      </c>
      <c r="I145" s="248">
        <v>0</v>
      </c>
      <c r="J145" s="248">
        <v>0</v>
      </c>
      <c r="K145" s="248">
        <v>0</v>
      </c>
      <c r="L145" s="248">
        <v>0</v>
      </c>
      <c r="M145" s="248">
        <v>5.0049999999999999</v>
      </c>
      <c r="N145" s="419">
        <v>9.6832761751059204E-3</v>
      </c>
      <c r="O145" s="715"/>
      <c r="P145" s="716"/>
    </row>
    <row r="146" spans="1:16" ht="16">
      <c r="A146" s="82"/>
      <c r="B146" s="731"/>
      <c r="C146" s="731"/>
      <c r="D146" s="731"/>
      <c r="E146" s="731"/>
      <c r="F146" s="731"/>
      <c r="G146" s="731"/>
      <c r="H146" s="731"/>
      <c r="I146" s="731"/>
      <c r="J146" s="731"/>
      <c r="K146" s="731"/>
      <c r="L146" s="731"/>
      <c r="M146" s="731"/>
      <c r="N146" s="703"/>
      <c r="O146" s="688"/>
      <c r="P146" s="114"/>
    </row>
    <row r="147" spans="1:16" ht="17">
      <c r="A147" s="495" t="s">
        <v>1040</v>
      </c>
      <c r="B147" s="224"/>
      <c r="C147" s="224"/>
      <c r="D147" s="224"/>
      <c r="E147" s="224"/>
      <c r="F147" s="224"/>
      <c r="G147" s="224"/>
      <c r="H147" s="224"/>
      <c r="I147" s="224"/>
      <c r="J147" s="224"/>
      <c r="K147" s="224"/>
      <c r="L147" s="224"/>
      <c r="M147" s="224"/>
      <c r="N147" s="378"/>
      <c r="O147" s="533"/>
      <c r="P147" s="533"/>
    </row>
    <row r="148" spans="1:16" ht="102">
      <c r="A148" s="693" t="s">
        <v>1041</v>
      </c>
      <c r="B148" s="711">
        <v>3.0249999999999999</v>
      </c>
      <c r="C148" s="711">
        <v>0</v>
      </c>
      <c r="D148" s="711">
        <v>0</v>
      </c>
      <c r="E148" s="711">
        <v>0</v>
      </c>
      <c r="F148" s="711">
        <v>0</v>
      </c>
      <c r="G148" s="709">
        <v>3.0249999999999999</v>
      </c>
      <c r="H148" s="711">
        <v>3.0249999999999999</v>
      </c>
      <c r="I148" s="711">
        <v>0</v>
      </c>
      <c r="J148" s="711">
        <v>0</v>
      </c>
      <c r="K148" s="711">
        <v>0</v>
      </c>
      <c r="L148" s="711">
        <v>0</v>
      </c>
      <c r="M148" s="709">
        <v>3.0249999999999999</v>
      </c>
      <c r="N148" s="712">
        <v>0</v>
      </c>
      <c r="O148" s="682" t="s">
        <v>1199</v>
      </c>
      <c r="P148" s="540" t="s">
        <v>337</v>
      </c>
    </row>
    <row r="149" spans="1:16" ht="17">
      <c r="A149" s="499" t="s">
        <v>1042</v>
      </c>
      <c r="B149" s="248">
        <v>3.0249999999999999</v>
      </c>
      <c r="C149" s="248">
        <v>0</v>
      </c>
      <c r="D149" s="248">
        <v>0</v>
      </c>
      <c r="E149" s="248">
        <v>0</v>
      </c>
      <c r="F149" s="248">
        <v>0</v>
      </c>
      <c r="G149" s="248">
        <v>3.0249999999999999</v>
      </c>
      <c r="H149" s="248">
        <v>3.0249999999999999</v>
      </c>
      <c r="I149" s="248">
        <v>0</v>
      </c>
      <c r="J149" s="248">
        <v>0</v>
      </c>
      <c r="K149" s="248">
        <v>0</v>
      </c>
      <c r="L149" s="248">
        <v>0</v>
      </c>
      <c r="M149" s="248">
        <v>3.0249999999999999</v>
      </c>
      <c r="N149" s="419">
        <v>0</v>
      </c>
      <c r="O149" s="715"/>
      <c r="P149" s="716"/>
    </row>
    <row r="150" spans="1:16" ht="16">
      <c r="A150" s="678"/>
      <c r="B150" s="717"/>
      <c r="C150" s="717"/>
      <c r="D150" s="717"/>
      <c r="E150" s="717"/>
      <c r="F150" s="717"/>
      <c r="G150" s="717"/>
      <c r="H150" s="717"/>
      <c r="I150" s="717"/>
      <c r="J150" s="717"/>
      <c r="K150" s="717"/>
      <c r="L150" s="717"/>
      <c r="M150" s="717"/>
      <c r="N150" s="707"/>
      <c r="O150" s="688"/>
      <c r="P150" s="114"/>
    </row>
    <row r="151" spans="1:16" ht="17">
      <c r="A151" s="686" t="s">
        <v>1043</v>
      </c>
      <c r="B151" s="718">
        <v>22.852999999999998</v>
      </c>
      <c r="C151" s="718">
        <v>0</v>
      </c>
      <c r="D151" s="718">
        <v>0</v>
      </c>
      <c r="E151" s="718">
        <v>0</v>
      </c>
      <c r="F151" s="718">
        <v>0</v>
      </c>
      <c r="G151" s="718">
        <v>22.852999999999998</v>
      </c>
      <c r="H151" s="718">
        <v>22.735999999999997</v>
      </c>
      <c r="I151" s="718">
        <v>0</v>
      </c>
      <c r="J151" s="718">
        <v>0</v>
      </c>
      <c r="K151" s="718">
        <v>0</v>
      </c>
      <c r="L151" s="718">
        <v>0</v>
      </c>
      <c r="M151" s="718">
        <v>22.735999999999997</v>
      </c>
      <c r="N151" s="738">
        <v>-5.1196779416269591E-3</v>
      </c>
      <c r="O151" s="733"/>
      <c r="P151" s="721"/>
    </row>
    <row r="152" spans="1:16" ht="16">
      <c r="A152" s="678"/>
      <c r="B152" s="731"/>
      <c r="C152" s="731"/>
      <c r="D152" s="731"/>
      <c r="E152" s="731"/>
      <c r="F152" s="731"/>
      <c r="G152" s="731"/>
      <c r="H152" s="731"/>
      <c r="I152" s="731"/>
      <c r="J152" s="731"/>
      <c r="K152" s="731"/>
      <c r="L152" s="731"/>
      <c r="M152" s="731"/>
      <c r="N152" s="703"/>
      <c r="O152" s="688"/>
      <c r="P152" s="114"/>
    </row>
    <row r="153" spans="1:16" ht="17">
      <c r="A153" s="501" t="s">
        <v>1044</v>
      </c>
      <c r="B153" s="202"/>
      <c r="C153" s="202"/>
      <c r="D153" s="202"/>
      <c r="E153" s="202"/>
      <c r="F153" s="202"/>
      <c r="G153" s="202"/>
      <c r="H153" s="202"/>
      <c r="I153" s="202"/>
      <c r="J153" s="202"/>
      <c r="K153" s="202"/>
      <c r="L153" s="202"/>
      <c r="M153" s="202"/>
      <c r="N153" s="705"/>
      <c r="O153" s="532"/>
      <c r="P153" s="532"/>
    </row>
    <row r="154" spans="1:16" ht="16">
      <c r="A154" s="82"/>
      <c r="B154" s="722"/>
      <c r="C154" s="722"/>
      <c r="D154" s="722"/>
      <c r="E154" s="722"/>
      <c r="F154" s="722"/>
      <c r="G154" s="722"/>
      <c r="H154" s="722"/>
      <c r="I154" s="722"/>
      <c r="J154" s="722"/>
      <c r="K154" s="722"/>
      <c r="L154" s="722"/>
      <c r="M154" s="722"/>
      <c r="N154" s="723"/>
      <c r="O154" s="736"/>
      <c r="P154" s="82"/>
    </row>
    <row r="155" spans="1:16" ht="34">
      <c r="A155" s="694" t="s">
        <v>1045</v>
      </c>
      <c r="B155" s="711">
        <v>7.6340000000000003</v>
      </c>
      <c r="C155" s="711">
        <v>0.45</v>
      </c>
      <c r="D155" s="711">
        <v>0</v>
      </c>
      <c r="E155" s="711">
        <v>0</v>
      </c>
      <c r="F155" s="711">
        <v>0</v>
      </c>
      <c r="G155" s="739">
        <v>8.0839999999999996</v>
      </c>
      <c r="H155" s="711">
        <v>7.6340000000000003</v>
      </c>
      <c r="I155" s="711">
        <v>0.15</v>
      </c>
      <c r="J155" s="711">
        <v>0</v>
      </c>
      <c r="K155" s="711">
        <v>0</v>
      </c>
      <c r="L155" s="711">
        <v>0</v>
      </c>
      <c r="M155" s="739">
        <v>7.7840000000000007</v>
      </c>
      <c r="N155" s="740">
        <v>-3.7110341415140892E-2</v>
      </c>
      <c r="O155" s="682" t="s">
        <v>1200</v>
      </c>
      <c r="P155" s="741" t="s">
        <v>1201</v>
      </c>
    </row>
    <row r="156" spans="1:16" ht="17">
      <c r="A156" s="689" t="s">
        <v>1046</v>
      </c>
      <c r="B156" s="711">
        <v>865.68100000000004</v>
      </c>
      <c r="C156" s="711">
        <v>0</v>
      </c>
      <c r="D156" s="711">
        <v>0</v>
      </c>
      <c r="E156" s="711">
        <v>0</v>
      </c>
      <c r="F156" s="711">
        <v>0</v>
      </c>
      <c r="G156" s="709">
        <v>865.68100000000004</v>
      </c>
      <c r="H156" s="711">
        <v>891.68100000000004</v>
      </c>
      <c r="I156" s="711">
        <v>0</v>
      </c>
      <c r="J156" s="711">
        <v>0</v>
      </c>
      <c r="K156" s="711">
        <v>0</v>
      </c>
      <c r="L156" s="711">
        <v>0</v>
      </c>
      <c r="M156" s="709">
        <v>891.68100000000004</v>
      </c>
      <c r="N156" s="712">
        <v>3.0034158079015248E-2</v>
      </c>
      <c r="O156" s="682" t="s">
        <v>1202</v>
      </c>
      <c r="P156" s="741" t="s">
        <v>1203</v>
      </c>
    </row>
    <row r="157" spans="1:16" ht="34">
      <c r="A157" s="682" t="s">
        <v>1047</v>
      </c>
      <c r="B157" s="711">
        <v>-190</v>
      </c>
      <c r="C157" s="711">
        <v>0</v>
      </c>
      <c r="D157" s="711">
        <v>0</v>
      </c>
      <c r="E157" s="711">
        <v>0</v>
      </c>
      <c r="F157" s="711">
        <v>0</v>
      </c>
      <c r="G157" s="709">
        <v>-190</v>
      </c>
      <c r="H157" s="711">
        <v>-190</v>
      </c>
      <c r="I157" s="711">
        <v>0</v>
      </c>
      <c r="J157" s="711">
        <v>0</v>
      </c>
      <c r="K157" s="711">
        <v>0</v>
      </c>
      <c r="L157" s="711">
        <v>0</v>
      </c>
      <c r="M157" s="709">
        <v>-190</v>
      </c>
      <c r="N157" s="712">
        <v>0</v>
      </c>
      <c r="O157" s="497" t="s">
        <v>1204</v>
      </c>
      <c r="P157" s="540" t="s">
        <v>337</v>
      </c>
    </row>
    <row r="158" spans="1:16" ht="17">
      <c r="A158" s="694" t="s">
        <v>1048</v>
      </c>
      <c r="B158" s="742">
        <v>675.68100000000004</v>
      </c>
      <c r="C158" s="711">
        <v>0</v>
      </c>
      <c r="D158" s="711">
        <v>0</v>
      </c>
      <c r="E158" s="711">
        <v>0</v>
      </c>
      <c r="F158" s="711">
        <v>0</v>
      </c>
      <c r="G158" s="739">
        <v>675.68100000000004</v>
      </c>
      <c r="H158" s="742">
        <v>701.68100000000004</v>
      </c>
      <c r="I158" s="742">
        <v>0</v>
      </c>
      <c r="J158" s="742">
        <v>0</v>
      </c>
      <c r="K158" s="742">
        <v>0</v>
      </c>
      <c r="L158" s="711">
        <v>0</v>
      </c>
      <c r="M158" s="739">
        <v>701.68100000000004</v>
      </c>
      <c r="N158" s="740">
        <v>3.8479696779989372E-2</v>
      </c>
      <c r="O158" s="682" t="s">
        <v>337</v>
      </c>
      <c r="P158" s="741" t="s">
        <v>337</v>
      </c>
    </row>
    <row r="159" spans="1:16" ht="34">
      <c r="A159" s="682" t="s">
        <v>1049</v>
      </c>
      <c r="B159" s="711">
        <v>29.3</v>
      </c>
      <c r="C159" s="711">
        <v>0</v>
      </c>
      <c r="D159" s="711">
        <v>0</v>
      </c>
      <c r="E159" s="711">
        <v>0</v>
      </c>
      <c r="F159" s="711">
        <v>0</v>
      </c>
      <c r="G159" s="709">
        <v>29.3</v>
      </c>
      <c r="H159" s="711">
        <v>29.3</v>
      </c>
      <c r="I159" s="711">
        <v>0</v>
      </c>
      <c r="J159" s="711">
        <v>0</v>
      </c>
      <c r="K159" s="711">
        <v>0</v>
      </c>
      <c r="L159" s="711">
        <v>0</v>
      </c>
      <c r="M159" s="709">
        <v>29.3</v>
      </c>
      <c r="N159" s="713">
        <v>0</v>
      </c>
      <c r="O159" s="616" t="s">
        <v>1205</v>
      </c>
      <c r="P159" s="540" t="s">
        <v>337</v>
      </c>
    </row>
    <row r="160" spans="1:16" ht="17">
      <c r="A160" s="689" t="s">
        <v>1050</v>
      </c>
      <c r="B160" s="711">
        <v>0</v>
      </c>
      <c r="C160" s="711">
        <v>26.7</v>
      </c>
      <c r="D160" s="711">
        <v>0</v>
      </c>
      <c r="E160" s="711">
        <v>0</v>
      </c>
      <c r="F160" s="711">
        <v>0</v>
      </c>
      <c r="G160" s="709">
        <v>26.7</v>
      </c>
      <c r="H160" s="711">
        <v>0</v>
      </c>
      <c r="I160" s="711">
        <v>26.5</v>
      </c>
      <c r="J160" s="711">
        <v>0</v>
      </c>
      <c r="K160" s="711">
        <v>0</v>
      </c>
      <c r="L160" s="711">
        <v>0</v>
      </c>
      <c r="M160" s="709">
        <v>26.5</v>
      </c>
      <c r="N160" s="713">
        <v>-7.4906367041198234E-3</v>
      </c>
      <c r="O160" s="497" t="s">
        <v>1206</v>
      </c>
      <c r="P160" s="540" t="s">
        <v>337</v>
      </c>
    </row>
    <row r="161" spans="1:16" ht="51">
      <c r="A161" s="682" t="s">
        <v>1051</v>
      </c>
      <c r="B161" s="711">
        <v>0</v>
      </c>
      <c r="C161" s="711">
        <v>0</v>
      </c>
      <c r="D161" s="711">
        <v>74.7</v>
      </c>
      <c r="E161" s="711">
        <v>0</v>
      </c>
      <c r="F161" s="711">
        <v>0</v>
      </c>
      <c r="G161" s="709">
        <v>74.7</v>
      </c>
      <c r="H161" s="711">
        <v>0</v>
      </c>
      <c r="I161" s="711">
        <v>0</v>
      </c>
      <c r="J161" s="711">
        <v>82.4</v>
      </c>
      <c r="K161" s="711">
        <v>0</v>
      </c>
      <c r="L161" s="711">
        <v>0</v>
      </c>
      <c r="M161" s="709">
        <v>82.4</v>
      </c>
      <c r="N161" s="712">
        <v>0.10307898259705492</v>
      </c>
      <c r="O161" s="682" t="s">
        <v>1207</v>
      </c>
      <c r="P161" s="540" t="s">
        <v>1208</v>
      </c>
    </row>
    <row r="162" spans="1:16" ht="17">
      <c r="A162" s="682" t="s">
        <v>1052</v>
      </c>
      <c r="B162" s="711">
        <v>0</v>
      </c>
      <c r="C162" s="711">
        <v>0</v>
      </c>
      <c r="D162" s="711">
        <v>0</v>
      </c>
      <c r="E162" s="711">
        <v>0</v>
      </c>
      <c r="F162" s="711">
        <v>0</v>
      </c>
      <c r="G162" s="709">
        <v>0</v>
      </c>
      <c r="H162" s="711">
        <v>0</v>
      </c>
      <c r="I162" s="711">
        <v>0</v>
      </c>
      <c r="J162" s="711">
        <v>0</v>
      </c>
      <c r="K162" s="711">
        <v>0</v>
      </c>
      <c r="L162" s="711">
        <v>0</v>
      </c>
      <c r="M162" s="709">
        <v>0</v>
      </c>
      <c r="N162" s="712" t="s">
        <v>155</v>
      </c>
      <c r="O162" s="497" t="s">
        <v>1209</v>
      </c>
      <c r="P162" s="540" t="s">
        <v>337</v>
      </c>
    </row>
    <row r="163" spans="1:16" ht="17">
      <c r="A163" s="694" t="s">
        <v>1053</v>
      </c>
      <c r="B163" s="711">
        <v>0</v>
      </c>
      <c r="C163" s="711">
        <v>0</v>
      </c>
      <c r="D163" s="742">
        <v>74.7</v>
      </c>
      <c r="E163" s="711">
        <v>0</v>
      </c>
      <c r="F163" s="711">
        <v>0</v>
      </c>
      <c r="G163" s="739">
        <v>74.7</v>
      </c>
      <c r="H163" s="711">
        <v>0</v>
      </c>
      <c r="I163" s="742">
        <v>0</v>
      </c>
      <c r="J163" s="742">
        <v>82.4</v>
      </c>
      <c r="K163" s="742">
        <v>0</v>
      </c>
      <c r="L163" s="711">
        <v>0</v>
      </c>
      <c r="M163" s="739">
        <v>82.4</v>
      </c>
      <c r="N163" s="740">
        <v>0.10307898259705492</v>
      </c>
      <c r="O163" s="682" t="s">
        <v>337</v>
      </c>
      <c r="P163" s="540" t="e">
        <v>#REF!</v>
      </c>
    </row>
    <row r="164" spans="1:16" ht="51">
      <c r="A164" s="694" t="s">
        <v>1054</v>
      </c>
      <c r="B164" s="711">
        <v>789.20699999999999</v>
      </c>
      <c r="C164" s="711">
        <v>0</v>
      </c>
      <c r="D164" s="711">
        <v>0</v>
      </c>
      <c r="E164" s="711">
        <v>0</v>
      </c>
      <c r="F164" s="711">
        <v>0</v>
      </c>
      <c r="G164" s="709">
        <v>789.20699999999999</v>
      </c>
      <c r="H164" s="711">
        <v>809.20699999999999</v>
      </c>
      <c r="I164" s="711">
        <v>0</v>
      </c>
      <c r="J164" s="711">
        <v>0</v>
      </c>
      <c r="K164" s="711">
        <v>0</v>
      </c>
      <c r="L164" s="711">
        <v>0</v>
      </c>
      <c r="M164" s="709">
        <v>809.20699999999999</v>
      </c>
      <c r="N164" s="712">
        <v>2.5341893825067442E-2</v>
      </c>
      <c r="O164" s="682" t="s">
        <v>1210</v>
      </c>
      <c r="P164" s="540" t="s">
        <v>337</v>
      </c>
    </row>
    <row r="165" spans="1:16" ht="51">
      <c r="A165" s="694" t="s">
        <v>1055</v>
      </c>
      <c r="B165" s="711">
        <v>0</v>
      </c>
      <c r="C165" s="711">
        <v>0</v>
      </c>
      <c r="D165" s="711">
        <v>348</v>
      </c>
      <c r="E165" s="711">
        <v>0</v>
      </c>
      <c r="F165" s="711">
        <v>0</v>
      </c>
      <c r="G165" s="709">
        <v>348</v>
      </c>
      <c r="H165" s="711">
        <v>0</v>
      </c>
      <c r="I165" s="711">
        <v>0</v>
      </c>
      <c r="J165" s="711">
        <v>340.70499999999998</v>
      </c>
      <c r="K165" s="711">
        <v>0</v>
      </c>
      <c r="L165" s="711">
        <v>0</v>
      </c>
      <c r="M165" s="709">
        <v>340.70499999999998</v>
      </c>
      <c r="N165" s="712">
        <v>-2.0962643678160964E-2</v>
      </c>
      <c r="O165" s="682" t="s">
        <v>1211</v>
      </c>
      <c r="P165" s="540" t="s">
        <v>1212</v>
      </c>
    </row>
    <row r="166" spans="1:16" ht="51">
      <c r="A166" s="694" t="s">
        <v>1056</v>
      </c>
      <c r="B166" s="711">
        <v>0</v>
      </c>
      <c r="C166" s="711">
        <v>0</v>
      </c>
      <c r="D166" s="711">
        <v>0</v>
      </c>
      <c r="E166" s="711">
        <v>31</v>
      </c>
      <c r="F166" s="711">
        <v>0</v>
      </c>
      <c r="G166" s="709">
        <v>31</v>
      </c>
      <c r="H166" s="711">
        <v>0</v>
      </c>
      <c r="I166" s="711">
        <v>0</v>
      </c>
      <c r="J166" s="711">
        <v>0</v>
      </c>
      <c r="K166" s="711">
        <v>26.6</v>
      </c>
      <c r="L166" s="711">
        <v>0</v>
      </c>
      <c r="M166" s="709">
        <v>26.6</v>
      </c>
      <c r="N166" s="713">
        <v>-0.14193548387096769</v>
      </c>
      <c r="O166" s="743" t="s">
        <v>1213</v>
      </c>
      <c r="P166" s="744" t="s">
        <v>1214</v>
      </c>
    </row>
    <row r="167" spans="1:16" ht="51">
      <c r="A167" s="694" t="s">
        <v>1057</v>
      </c>
      <c r="B167" s="711">
        <v>0</v>
      </c>
      <c r="C167" s="711">
        <v>0</v>
      </c>
      <c r="D167" s="711">
        <v>0</v>
      </c>
      <c r="E167" s="711">
        <v>-8.9</v>
      </c>
      <c r="F167" s="711">
        <v>0</v>
      </c>
      <c r="G167" s="709">
        <v>-8.9</v>
      </c>
      <c r="H167" s="711">
        <v>0</v>
      </c>
      <c r="I167" s="711">
        <v>0</v>
      </c>
      <c r="J167" s="711">
        <v>0</v>
      </c>
      <c r="K167" s="711">
        <v>-11.6</v>
      </c>
      <c r="L167" s="711">
        <v>0</v>
      </c>
      <c r="M167" s="709">
        <v>-11.6</v>
      </c>
      <c r="N167" s="713">
        <v>0.30337078651685384</v>
      </c>
      <c r="O167" s="743" t="s">
        <v>1213</v>
      </c>
      <c r="P167" s="744" t="s">
        <v>337</v>
      </c>
    </row>
    <row r="168" spans="1:16" ht="17">
      <c r="A168" s="500" t="s">
        <v>1058</v>
      </c>
      <c r="B168" s="718">
        <v>1501.8219999999999</v>
      </c>
      <c r="C168" s="718">
        <v>27.15</v>
      </c>
      <c r="D168" s="718">
        <v>422.7</v>
      </c>
      <c r="E168" s="718">
        <v>22.1</v>
      </c>
      <c r="F168" s="718">
        <v>0</v>
      </c>
      <c r="G168" s="718">
        <v>1973.7720000000002</v>
      </c>
      <c r="H168" s="718">
        <v>1547.8219999999999</v>
      </c>
      <c r="I168" s="718">
        <v>26.65</v>
      </c>
      <c r="J168" s="718">
        <v>423.10500000000002</v>
      </c>
      <c r="K168" s="718">
        <v>15.000000000000002</v>
      </c>
      <c r="L168" s="718">
        <v>0</v>
      </c>
      <c r="M168" s="718">
        <v>2012.577</v>
      </c>
      <c r="N168" s="719">
        <v>1.9660325508721287E-2</v>
      </c>
      <c r="O168" s="733"/>
      <c r="P168" s="721"/>
    </row>
    <row r="169" spans="1:16" ht="16">
      <c r="A169" s="688"/>
      <c r="B169" s="717"/>
      <c r="C169" s="717"/>
      <c r="D169" s="717"/>
      <c r="E169" s="717"/>
      <c r="F169" s="717"/>
      <c r="G169" s="717"/>
      <c r="H169" s="717"/>
      <c r="I169" s="717"/>
      <c r="J169" s="717"/>
      <c r="K169" s="717"/>
      <c r="L169" s="717"/>
      <c r="M169" s="717"/>
      <c r="N169" s="707"/>
      <c r="O169" s="688"/>
      <c r="P169" s="114"/>
    </row>
    <row r="170" spans="1:16" ht="17">
      <c r="A170" s="501" t="s">
        <v>1059</v>
      </c>
      <c r="B170" s="202"/>
      <c r="C170" s="202"/>
      <c r="D170" s="202"/>
      <c r="E170" s="202"/>
      <c r="F170" s="202"/>
      <c r="G170" s="202"/>
      <c r="H170" s="202"/>
      <c r="I170" s="202"/>
      <c r="J170" s="202"/>
      <c r="K170" s="202"/>
      <c r="L170" s="202"/>
      <c r="M170" s="202"/>
      <c r="N170" s="705"/>
      <c r="O170" s="532"/>
      <c r="P170" s="532"/>
    </row>
    <row r="171" spans="1:16" ht="16">
      <c r="A171" s="82"/>
      <c r="B171" s="722"/>
      <c r="C171" s="722"/>
      <c r="D171" s="722"/>
      <c r="E171" s="722"/>
      <c r="F171" s="722"/>
      <c r="G171" s="722"/>
      <c r="H171" s="722"/>
      <c r="I171" s="722"/>
      <c r="J171" s="722"/>
      <c r="K171" s="722"/>
      <c r="L171" s="722"/>
      <c r="M171" s="722"/>
      <c r="N171" s="723"/>
      <c r="O171" s="736"/>
      <c r="P171" s="114"/>
    </row>
    <row r="172" spans="1:16" ht="17">
      <c r="A172" s="499" t="s">
        <v>1060</v>
      </c>
      <c r="B172" s="248"/>
      <c r="C172" s="248"/>
      <c r="D172" s="248"/>
      <c r="E172" s="248"/>
      <c r="F172" s="248"/>
      <c r="G172" s="248"/>
      <c r="H172" s="248"/>
      <c r="I172" s="248"/>
      <c r="J172" s="248"/>
      <c r="K172" s="248"/>
      <c r="L172" s="248"/>
      <c r="M172" s="248"/>
      <c r="N172" s="745"/>
      <c r="O172" s="715"/>
      <c r="P172" s="716"/>
    </row>
    <row r="173" spans="1:16" ht="34">
      <c r="A173" s="684" t="s">
        <v>1061</v>
      </c>
      <c r="B173" s="711">
        <v>328.23</v>
      </c>
      <c r="C173" s="711">
        <v>0</v>
      </c>
      <c r="D173" s="711">
        <v>0</v>
      </c>
      <c r="E173" s="711">
        <v>0</v>
      </c>
      <c r="F173" s="711">
        <v>0</v>
      </c>
      <c r="G173" s="709">
        <v>328.23</v>
      </c>
      <c r="H173" s="711">
        <v>328.23</v>
      </c>
      <c r="I173" s="711">
        <v>0</v>
      </c>
      <c r="J173" s="711">
        <v>0</v>
      </c>
      <c r="K173" s="711">
        <v>0</v>
      </c>
      <c r="L173" s="711">
        <v>0</v>
      </c>
      <c r="M173" s="709">
        <v>328.23</v>
      </c>
      <c r="N173" s="712">
        <v>0</v>
      </c>
      <c r="O173" s="682" t="s">
        <v>1215</v>
      </c>
      <c r="P173" s="540" t="s">
        <v>337</v>
      </c>
    </row>
    <row r="174" spans="1:16" ht="34">
      <c r="A174" s="682" t="s">
        <v>1062</v>
      </c>
      <c r="B174" s="711">
        <v>6.4</v>
      </c>
      <c r="C174" s="711">
        <v>0</v>
      </c>
      <c r="D174" s="711">
        <v>0</v>
      </c>
      <c r="E174" s="711">
        <v>0</v>
      </c>
      <c r="F174" s="711">
        <v>0</v>
      </c>
      <c r="G174" s="709">
        <v>6.4</v>
      </c>
      <c r="H174" s="711">
        <v>6.4</v>
      </c>
      <c r="I174" s="711">
        <v>0</v>
      </c>
      <c r="J174" s="711">
        <v>0</v>
      </c>
      <c r="K174" s="711">
        <v>0</v>
      </c>
      <c r="L174" s="711">
        <v>0</v>
      </c>
      <c r="M174" s="709">
        <v>6.4</v>
      </c>
      <c r="N174" s="712">
        <v>0</v>
      </c>
      <c r="O174" s="682" t="s">
        <v>1216</v>
      </c>
      <c r="P174" s="540" t="s">
        <v>337</v>
      </c>
    </row>
    <row r="175" spans="1:16" ht="17">
      <c r="A175" s="682" t="s">
        <v>1063</v>
      </c>
      <c r="B175" s="711">
        <v>2.8</v>
      </c>
      <c r="C175" s="711">
        <v>0</v>
      </c>
      <c r="D175" s="711">
        <v>0</v>
      </c>
      <c r="E175" s="711">
        <v>0</v>
      </c>
      <c r="F175" s="711">
        <v>0</v>
      </c>
      <c r="G175" s="709">
        <v>2.8</v>
      </c>
      <c r="H175" s="711">
        <v>2.8</v>
      </c>
      <c r="I175" s="711">
        <v>0</v>
      </c>
      <c r="J175" s="711">
        <v>0</v>
      </c>
      <c r="K175" s="711">
        <v>0</v>
      </c>
      <c r="L175" s="711">
        <v>0</v>
      </c>
      <c r="M175" s="709">
        <v>2.8</v>
      </c>
      <c r="N175" s="712">
        <v>0</v>
      </c>
      <c r="O175" s="682" t="s">
        <v>1217</v>
      </c>
      <c r="P175" s="540" t="s">
        <v>337</v>
      </c>
    </row>
    <row r="176" spans="1:16" ht="34">
      <c r="A176" s="684" t="s">
        <v>1064</v>
      </c>
      <c r="B176" s="711">
        <v>0</v>
      </c>
      <c r="C176" s="711">
        <v>304.12099999999998</v>
      </c>
      <c r="D176" s="711">
        <v>0</v>
      </c>
      <c r="E176" s="711">
        <v>0</v>
      </c>
      <c r="F176" s="711">
        <v>0</v>
      </c>
      <c r="G176" s="709">
        <v>304.12099999999998</v>
      </c>
      <c r="H176" s="711">
        <v>0</v>
      </c>
      <c r="I176" s="711">
        <v>148.965</v>
      </c>
      <c r="J176" s="711">
        <v>0</v>
      </c>
      <c r="K176" s="711">
        <v>0</v>
      </c>
      <c r="L176" s="711">
        <v>0</v>
      </c>
      <c r="M176" s="709">
        <v>148.965</v>
      </c>
      <c r="N176" s="712">
        <v>-0.51017851447285778</v>
      </c>
      <c r="O176" s="682" t="s">
        <v>1218</v>
      </c>
      <c r="P176" s="540" t="s">
        <v>1219</v>
      </c>
    </row>
    <row r="177" spans="1:16" ht="34">
      <c r="A177" s="682" t="s">
        <v>1065</v>
      </c>
      <c r="B177" s="711">
        <v>11.252000000000001</v>
      </c>
      <c r="C177" s="711">
        <v>1.6</v>
      </c>
      <c r="D177" s="711">
        <v>0</v>
      </c>
      <c r="E177" s="711">
        <v>0</v>
      </c>
      <c r="F177" s="711">
        <v>0</v>
      </c>
      <c r="G177" s="709">
        <v>12.852</v>
      </c>
      <c r="H177" s="711">
        <v>11.252000000000001</v>
      </c>
      <c r="I177" s="711">
        <v>1.75</v>
      </c>
      <c r="J177" s="711">
        <v>0</v>
      </c>
      <c r="K177" s="711">
        <v>0</v>
      </c>
      <c r="L177" s="711">
        <v>0</v>
      </c>
      <c r="M177" s="709">
        <v>13.002000000000001</v>
      </c>
      <c r="N177" s="712">
        <v>1.1671335200746993E-2</v>
      </c>
      <c r="O177" s="682" t="s">
        <v>1220</v>
      </c>
      <c r="P177" s="540" t="s">
        <v>1221</v>
      </c>
    </row>
    <row r="178" spans="1:16" ht="34">
      <c r="A178" s="682" t="s">
        <v>1066</v>
      </c>
      <c r="B178" s="711">
        <v>0</v>
      </c>
      <c r="C178" s="711">
        <v>0</v>
      </c>
      <c r="D178" s="711">
        <v>1.9</v>
      </c>
      <c r="E178" s="711">
        <v>0</v>
      </c>
      <c r="F178" s="711">
        <v>0</v>
      </c>
      <c r="G178" s="709">
        <v>1.9</v>
      </c>
      <c r="H178" s="711">
        <v>0</v>
      </c>
      <c r="I178" s="711">
        <v>0</v>
      </c>
      <c r="J178" s="711">
        <v>4.9000000000000004</v>
      </c>
      <c r="K178" s="711">
        <v>0</v>
      </c>
      <c r="L178" s="711">
        <v>0</v>
      </c>
      <c r="M178" s="709">
        <v>4.9000000000000004</v>
      </c>
      <c r="N178" s="712">
        <v>1.5789473684210529</v>
      </c>
      <c r="O178" s="682" t="s">
        <v>1222</v>
      </c>
      <c r="P178" s="540" t="s">
        <v>1223</v>
      </c>
    </row>
    <row r="179" spans="1:16" ht="17">
      <c r="A179" s="499" t="s">
        <v>1067</v>
      </c>
      <c r="B179" s="248">
        <v>348.68200000000002</v>
      </c>
      <c r="C179" s="248">
        <v>305.721</v>
      </c>
      <c r="D179" s="248">
        <v>1.9</v>
      </c>
      <c r="E179" s="248">
        <v>0</v>
      </c>
      <c r="F179" s="248">
        <v>0</v>
      </c>
      <c r="G179" s="248">
        <v>656.30299999999988</v>
      </c>
      <c r="H179" s="248">
        <v>348.68200000000002</v>
      </c>
      <c r="I179" s="248">
        <v>150.715</v>
      </c>
      <c r="J179" s="248">
        <v>4.9000000000000004</v>
      </c>
      <c r="K179" s="248">
        <v>0</v>
      </c>
      <c r="L179" s="248">
        <v>0</v>
      </c>
      <c r="M179" s="248">
        <v>504.29699999999997</v>
      </c>
      <c r="N179" s="419">
        <v>-0.23160948525300043</v>
      </c>
      <c r="O179" s="715"/>
      <c r="P179" s="716"/>
    </row>
    <row r="180" spans="1:16" ht="16">
      <c r="A180" s="678"/>
      <c r="B180" s="717"/>
      <c r="C180" s="717"/>
      <c r="D180" s="717"/>
      <c r="E180" s="717"/>
      <c r="F180" s="717"/>
      <c r="G180" s="717"/>
      <c r="H180" s="717"/>
      <c r="I180" s="717"/>
      <c r="J180" s="717"/>
      <c r="K180" s="717"/>
      <c r="L180" s="717"/>
      <c r="M180" s="717"/>
      <c r="N180" s="707"/>
      <c r="O180" s="688"/>
      <c r="P180" s="114"/>
    </row>
    <row r="181" spans="1:16" ht="17">
      <c r="A181" s="495" t="s">
        <v>1068</v>
      </c>
      <c r="B181" s="224"/>
      <c r="C181" s="224"/>
      <c r="D181" s="224"/>
      <c r="E181" s="224"/>
      <c r="F181" s="224"/>
      <c r="G181" s="224"/>
      <c r="H181" s="224"/>
      <c r="I181" s="224"/>
      <c r="J181" s="224"/>
      <c r="K181" s="224"/>
      <c r="L181" s="224"/>
      <c r="M181" s="224"/>
      <c r="N181" s="378"/>
      <c r="O181" s="533"/>
      <c r="P181" s="533"/>
    </row>
    <row r="182" spans="1:16" ht="51">
      <c r="A182" s="684" t="s">
        <v>1069</v>
      </c>
      <c r="B182" s="711">
        <v>0</v>
      </c>
      <c r="C182" s="711">
        <v>0</v>
      </c>
      <c r="D182" s="711">
        <v>0</v>
      </c>
      <c r="E182" s="711">
        <v>0</v>
      </c>
      <c r="F182" s="711">
        <v>530</v>
      </c>
      <c r="G182" s="709">
        <v>530</v>
      </c>
      <c r="H182" s="711">
        <v>0</v>
      </c>
      <c r="I182" s="711">
        <v>0</v>
      </c>
      <c r="J182" s="711">
        <v>0</v>
      </c>
      <c r="K182" s="711">
        <v>0</v>
      </c>
      <c r="L182" s="711">
        <v>826</v>
      </c>
      <c r="M182" s="709">
        <v>826</v>
      </c>
      <c r="N182" s="712">
        <v>0.55849056603773584</v>
      </c>
      <c r="O182" s="682" t="s">
        <v>1224</v>
      </c>
      <c r="P182" s="540" t="s">
        <v>1225</v>
      </c>
    </row>
    <row r="183" spans="1:16" ht="17">
      <c r="A183" s="682" t="s">
        <v>1070</v>
      </c>
      <c r="B183" s="711">
        <v>0</v>
      </c>
      <c r="C183" s="711">
        <v>0</v>
      </c>
      <c r="D183" s="711">
        <v>0</v>
      </c>
      <c r="E183" s="711">
        <v>0</v>
      </c>
      <c r="F183" s="711">
        <v>-80</v>
      </c>
      <c r="G183" s="709">
        <v>-80</v>
      </c>
      <c r="H183" s="711">
        <v>0</v>
      </c>
      <c r="I183" s="711">
        <v>0</v>
      </c>
      <c r="J183" s="711">
        <v>0</v>
      </c>
      <c r="K183" s="711">
        <v>0</v>
      </c>
      <c r="L183" s="711">
        <v>-316.5</v>
      </c>
      <c r="M183" s="709">
        <v>-316.5</v>
      </c>
      <c r="N183" s="712">
        <v>2.9562499999999998</v>
      </c>
      <c r="O183" s="682" t="s">
        <v>1226</v>
      </c>
      <c r="P183" s="540" t="s">
        <v>1227</v>
      </c>
    </row>
    <row r="184" spans="1:16" ht="17">
      <c r="A184" s="682" t="s">
        <v>1071</v>
      </c>
      <c r="B184" s="711">
        <v>0</v>
      </c>
      <c r="C184" s="711">
        <v>0</v>
      </c>
      <c r="D184" s="711">
        <v>0</v>
      </c>
      <c r="E184" s="711">
        <v>0</v>
      </c>
      <c r="F184" s="711">
        <v>-90</v>
      </c>
      <c r="G184" s="709">
        <v>-90</v>
      </c>
      <c r="H184" s="711">
        <v>0</v>
      </c>
      <c r="I184" s="711">
        <v>0</v>
      </c>
      <c r="J184" s="711">
        <v>0</v>
      </c>
      <c r="K184" s="711">
        <v>0</v>
      </c>
      <c r="L184" s="711">
        <v>-90</v>
      </c>
      <c r="M184" s="709">
        <v>-90</v>
      </c>
      <c r="N184" s="712">
        <v>0</v>
      </c>
      <c r="O184" s="682" t="s">
        <v>1228</v>
      </c>
      <c r="P184" s="540" t="s">
        <v>337</v>
      </c>
    </row>
    <row r="185" spans="1:16" ht="34">
      <c r="A185" s="497" t="s">
        <v>1072</v>
      </c>
      <c r="B185" s="711">
        <v>0</v>
      </c>
      <c r="C185" s="711">
        <v>0</v>
      </c>
      <c r="D185" s="711">
        <v>0</v>
      </c>
      <c r="E185" s="711">
        <v>0</v>
      </c>
      <c r="F185" s="711">
        <v>1.3</v>
      </c>
      <c r="G185" s="709">
        <v>1.3</v>
      </c>
      <c r="H185" s="711">
        <v>0</v>
      </c>
      <c r="I185" s="711">
        <v>0</v>
      </c>
      <c r="J185" s="711">
        <v>0</v>
      </c>
      <c r="K185" s="711">
        <v>0</v>
      </c>
      <c r="L185" s="711">
        <v>1.3</v>
      </c>
      <c r="M185" s="709">
        <v>1.3</v>
      </c>
      <c r="N185" s="712">
        <v>0</v>
      </c>
      <c r="O185" s="682" t="s">
        <v>1229</v>
      </c>
      <c r="P185" s="540" t="s">
        <v>337</v>
      </c>
    </row>
    <row r="186" spans="1:16" ht="17">
      <c r="A186" s="499" t="s">
        <v>1073</v>
      </c>
      <c r="B186" s="248">
        <v>0</v>
      </c>
      <c r="C186" s="248">
        <v>0</v>
      </c>
      <c r="D186" s="248">
        <v>0</v>
      </c>
      <c r="E186" s="248">
        <v>0</v>
      </c>
      <c r="F186" s="248">
        <v>361.3</v>
      </c>
      <c r="G186" s="248">
        <v>361.3</v>
      </c>
      <c r="H186" s="248">
        <v>0</v>
      </c>
      <c r="I186" s="248">
        <v>0</v>
      </c>
      <c r="J186" s="248">
        <v>0</v>
      </c>
      <c r="K186" s="248">
        <v>0</v>
      </c>
      <c r="L186" s="248">
        <v>420.8</v>
      </c>
      <c r="M186" s="248">
        <v>420.8</v>
      </c>
      <c r="N186" s="419">
        <v>0.16468308884583449</v>
      </c>
      <c r="O186" s="715"/>
      <c r="P186" s="716"/>
    </row>
    <row r="187" spans="1:16" ht="16">
      <c r="A187" s="688"/>
      <c r="B187" s="746"/>
      <c r="C187" s="746"/>
      <c r="D187" s="746"/>
      <c r="E187" s="746"/>
      <c r="F187" s="746"/>
      <c r="G187" s="746"/>
      <c r="H187" s="746"/>
      <c r="I187" s="746"/>
      <c r="J187" s="746"/>
      <c r="K187" s="746"/>
      <c r="L187" s="746"/>
      <c r="M187" s="746"/>
      <c r="N187" s="707"/>
      <c r="O187" s="688"/>
      <c r="P187" s="114"/>
    </row>
    <row r="188" spans="1:16" ht="17">
      <c r="A188" s="686" t="s">
        <v>1074</v>
      </c>
      <c r="B188" s="718">
        <v>348.68200000000002</v>
      </c>
      <c r="C188" s="718">
        <v>305.721</v>
      </c>
      <c r="D188" s="718">
        <v>1.9</v>
      </c>
      <c r="E188" s="718">
        <v>0</v>
      </c>
      <c r="F188" s="718">
        <v>361.3</v>
      </c>
      <c r="G188" s="718">
        <v>1017.6029999999998</v>
      </c>
      <c r="H188" s="718">
        <v>348.68200000000002</v>
      </c>
      <c r="I188" s="718">
        <v>150.715</v>
      </c>
      <c r="J188" s="718">
        <v>4.9000000000000004</v>
      </c>
      <c r="K188" s="718">
        <v>0</v>
      </c>
      <c r="L188" s="718">
        <v>420.8</v>
      </c>
      <c r="M188" s="718">
        <v>925.09699999999998</v>
      </c>
      <c r="N188" s="719">
        <v>-9.0905785458572613E-2</v>
      </c>
      <c r="O188" s="733"/>
      <c r="P188" s="721"/>
    </row>
    <row r="189" spans="1:16" ht="16">
      <c r="A189" s="695"/>
      <c r="B189" s="747"/>
      <c r="C189" s="747"/>
      <c r="D189" s="747"/>
      <c r="E189" s="747"/>
      <c r="F189" s="747"/>
      <c r="G189" s="747"/>
      <c r="H189" s="747"/>
      <c r="I189" s="747"/>
      <c r="J189" s="747"/>
      <c r="K189" s="747"/>
      <c r="L189" s="747"/>
      <c r="M189" s="747"/>
      <c r="N189" s="748"/>
      <c r="O189" s="688"/>
      <c r="P189" s="114"/>
    </row>
    <row r="190" spans="1:16" ht="17">
      <c r="A190" s="501" t="s">
        <v>1075</v>
      </c>
      <c r="B190" s="202"/>
      <c r="C190" s="202"/>
      <c r="D190" s="202"/>
      <c r="E190" s="202"/>
      <c r="F190" s="202"/>
      <c r="G190" s="202"/>
      <c r="H190" s="202"/>
      <c r="I190" s="202"/>
      <c r="J190" s="202"/>
      <c r="K190" s="202"/>
      <c r="L190" s="202"/>
      <c r="M190" s="202"/>
      <c r="N190" s="705"/>
      <c r="O190" s="532"/>
      <c r="P190" s="532"/>
    </row>
    <row r="191" spans="1:16" ht="16">
      <c r="A191" s="695"/>
      <c r="B191" s="747"/>
      <c r="C191" s="747"/>
      <c r="D191" s="747"/>
      <c r="E191" s="747"/>
      <c r="F191" s="747"/>
      <c r="G191" s="747"/>
      <c r="H191" s="747"/>
      <c r="I191" s="747"/>
      <c r="J191" s="747"/>
      <c r="K191" s="747"/>
      <c r="L191" s="747"/>
      <c r="M191" s="747"/>
      <c r="N191" s="748"/>
      <c r="O191" s="688"/>
      <c r="P191" s="114"/>
    </row>
    <row r="192" spans="1:16" ht="17">
      <c r="A192" s="495" t="s">
        <v>1076</v>
      </c>
      <c r="B192" s="224"/>
      <c r="C192" s="224"/>
      <c r="D192" s="224"/>
      <c r="E192" s="224"/>
      <c r="F192" s="224"/>
      <c r="G192" s="224"/>
      <c r="H192" s="224"/>
      <c r="I192" s="224"/>
      <c r="J192" s="224"/>
      <c r="K192" s="224"/>
      <c r="L192" s="224"/>
      <c r="M192" s="224"/>
      <c r="N192" s="378"/>
      <c r="O192" s="533"/>
      <c r="P192" s="533"/>
    </row>
    <row r="193" spans="1:16" ht="51">
      <c r="A193" s="689" t="s">
        <v>1076</v>
      </c>
      <c r="B193" s="711">
        <v>224.2</v>
      </c>
      <c r="C193" s="711">
        <v>1.3819999999999999</v>
      </c>
      <c r="D193" s="711">
        <v>0</v>
      </c>
      <c r="E193" s="711">
        <v>0</v>
      </c>
      <c r="F193" s="711">
        <v>0</v>
      </c>
      <c r="G193" s="709">
        <v>225.58199999999999</v>
      </c>
      <c r="H193" s="711">
        <v>214.2</v>
      </c>
      <c r="I193" s="711">
        <v>1.68</v>
      </c>
      <c r="J193" s="711">
        <v>0</v>
      </c>
      <c r="K193" s="711">
        <v>0</v>
      </c>
      <c r="L193" s="711">
        <v>0</v>
      </c>
      <c r="M193" s="709">
        <v>215.88</v>
      </c>
      <c r="N193" s="730">
        <v>-4.3008750698194001E-2</v>
      </c>
      <c r="O193" s="682" t="s">
        <v>1230</v>
      </c>
      <c r="P193" s="724" t="s">
        <v>1231</v>
      </c>
    </row>
    <row r="194" spans="1:16" ht="17">
      <c r="A194" s="499" t="s">
        <v>1077</v>
      </c>
      <c r="B194" s="248">
        <v>224.2</v>
      </c>
      <c r="C194" s="248">
        <v>1.3819999999999999</v>
      </c>
      <c r="D194" s="248">
        <v>0</v>
      </c>
      <c r="E194" s="248">
        <v>0</v>
      </c>
      <c r="F194" s="248">
        <v>0</v>
      </c>
      <c r="G194" s="248">
        <v>225.58199999999999</v>
      </c>
      <c r="H194" s="248">
        <v>214.2</v>
      </c>
      <c r="I194" s="248">
        <v>1.68</v>
      </c>
      <c r="J194" s="248">
        <v>0</v>
      </c>
      <c r="K194" s="248">
        <v>0</v>
      </c>
      <c r="L194" s="248">
        <v>0</v>
      </c>
      <c r="M194" s="248">
        <v>215.88</v>
      </c>
      <c r="N194" s="419">
        <v>-4.3008750698194001E-2</v>
      </c>
      <c r="O194" s="715"/>
      <c r="P194" s="716"/>
    </row>
    <row r="195" spans="1:16" ht="16">
      <c r="A195" s="82"/>
      <c r="B195" s="722"/>
      <c r="C195" s="722"/>
      <c r="D195" s="722"/>
      <c r="E195" s="722"/>
      <c r="F195" s="722"/>
      <c r="G195" s="722"/>
      <c r="H195" s="722"/>
      <c r="I195" s="722"/>
      <c r="J195" s="722"/>
      <c r="K195" s="722"/>
      <c r="L195" s="722"/>
      <c r="M195" s="722"/>
      <c r="N195" s="723"/>
      <c r="O195" s="736"/>
      <c r="P195" s="82"/>
    </row>
    <row r="196" spans="1:16" ht="17">
      <c r="A196" s="495" t="s">
        <v>1078</v>
      </c>
      <c r="B196" s="224"/>
      <c r="C196" s="224"/>
      <c r="D196" s="224"/>
      <c r="E196" s="224"/>
      <c r="F196" s="224"/>
      <c r="G196" s="224"/>
      <c r="H196" s="224"/>
      <c r="I196" s="224"/>
      <c r="J196" s="224"/>
      <c r="K196" s="224"/>
      <c r="L196" s="224"/>
      <c r="M196" s="224"/>
      <c r="N196" s="378"/>
      <c r="O196" s="533"/>
      <c r="P196" s="533"/>
    </row>
    <row r="197" spans="1:16" ht="51">
      <c r="A197" s="498" t="s">
        <v>1079</v>
      </c>
      <c r="B197" s="711">
        <v>25</v>
      </c>
      <c r="C197" s="711">
        <v>0</v>
      </c>
      <c r="D197" s="711">
        <v>0</v>
      </c>
      <c r="E197" s="711">
        <v>0</v>
      </c>
      <c r="F197" s="711">
        <v>0</v>
      </c>
      <c r="G197" s="709">
        <v>25</v>
      </c>
      <c r="H197" s="711">
        <v>25</v>
      </c>
      <c r="I197" s="711">
        <v>0</v>
      </c>
      <c r="J197" s="711">
        <v>0</v>
      </c>
      <c r="K197" s="711">
        <v>0</v>
      </c>
      <c r="L197" s="711">
        <v>0</v>
      </c>
      <c r="M197" s="709">
        <v>25</v>
      </c>
      <c r="N197" s="730">
        <v>0</v>
      </c>
      <c r="O197" s="682" t="s">
        <v>1232</v>
      </c>
      <c r="P197" s="540" t="s">
        <v>1233</v>
      </c>
    </row>
    <row r="198" spans="1:16" ht="119">
      <c r="A198" s="497" t="s">
        <v>1080</v>
      </c>
      <c r="B198" s="711">
        <v>6.9080000000000004</v>
      </c>
      <c r="C198" s="711">
        <v>0</v>
      </c>
      <c r="D198" s="711">
        <v>0</v>
      </c>
      <c r="E198" s="711">
        <v>0</v>
      </c>
      <c r="F198" s="711">
        <v>0</v>
      </c>
      <c r="G198" s="709">
        <v>6.9080000000000004</v>
      </c>
      <c r="H198" s="711">
        <v>6.9039999999999999</v>
      </c>
      <c r="I198" s="711">
        <v>0</v>
      </c>
      <c r="J198" s="711">
        <v>0</v>
      </c>
      <c r="K198" s="711">
        <v>0</v>
      </c>
      <c r="L198" s="711">
        <v>0</v>
      </c>
      <c r="M198" s="709">
        <v>6.9039999999999999</v>
      </c>
      <c r="N198" s="712">
        <v>-5.7903879559936995E-4</v>
      </c>
      <c r="O198" s="682" t="s">
        <v>1234</v>
      </c>
      <c r="P198" s="540" t="s">
        <v>1235</v>
      </c>
    </row>
    <row r="199" spans="1:16" ht="136">
      <c r="A199" s="497" t="s">
        <v>1081</v>
      </c>
      <c r="B199" s="711">
        <v>14.446999999999999</v>
      </c>
      <c r="C199" s="711">
        <v>0</v>
      </c>
      <c r="D199" s="711">
        <v>0</v>
      </c>
      <c r="E199" s="711">
        <v>0</v>
      </c>
      <c r="F199" s="711">
        <v>0</v>
      </c>
      <c r="G199" s="709">
        <v>14.446999999999999</v>
      </c>
      <c r="H199" s="711">
        <v>14.427</v>
      </c>
      <c r="I199" s="711">
        <v>0</v>
      </c>
      <c r="J199" s="711">
        <v>0</v>
      </c>
      <c r="K199" s="711">
        <v>0</v>
      </c>
      <c r="L199" s="711">
        <v>0</v>
      </c>
      <c r="M199" s="709">
        <v>14.427</v>
      </c>
      <c r="N199" s="712">
        <v>-1.3843704575344068E-3</v>
      </c>
      <c r="O199" s="682" t="s">
        <v>1236</v>
      </c>
      <c r="P199" s="540" t="s">
        <v>1235</v>
      </c>
    </row>
    <row r="200" spans="1:16" ht="34">
      <c r="A200" s="499" t="s">
        <v>1082</v>
      </c>
      <c r="B200" s="248">
        <v>46.355000000000004</v>
      </c>
      <c r="C200" s="248">
        <v>0</v>
      </c>
      <c r="D200" s="248">
        <v>0</v>
      </c>
      <c r="E200" s="248">
        <v>0</v>
      </c>
      <c r="F200" s="248">
        <v>0</v>
      </c>
      <c r="G200" s="248">
        <v>46.355000000000004</v>
      </c>
      <c r="H200" s="248">
        <v>46.331000000000003</v>
      </c>
      <c r="I200" s="248">
        <v>0</v>
      </c>
      <c r="J200" s="248">
        <v>0</v>
      </c>
      <c r="K200" s="248">
        <v>0</v>
      </c>
      <c r="L200" s="248">
        <v>0</v>
      </c>
      <c r="M200" s="248">
        <v>46.331000000000003</v>
      </c>
      <c r="N200" s="419">
        <v>-5.177435012404467E-4</v>
      </c>
      <c r="O200" s="715"/>
      <c r="P200" s="716"/>
    </row>
    <row r="201" spans="1:16" ht="16">
      <c r="A201" s="695"/>
      <c r="B201" s="749"/>
      <c r="C201" s="749"/>
      <c r="D201" s="749"/>
      <c r="E201" s="749"/>
      <c r="F201" s="749"/>
      <c r="G201" s="749"/>
      <c r="H201" s="749"/>
      <c r="I201" s="749"/>
      <c r="J201" s="749"/>
      <c r="K201" s="749"/>
      <c r="L201" s="749"/>
      <c r="M201" s="749"/>
      <c r="N201" s="748"/>
      <c r="O201" s="688"/>
      <c r="P201" s="114"/>
    </row>
    <row r="202" spans="1:16" ht="17">
      <c r="A202" s="686" t="s">
        <v>1083</v>
      </c>
      <c r="B202" s="750">
        <v>270.55500000000001</v>
      </c>
      <c r="C202" s="750">
        <v>1.3819999999999999</v>
      </c>
      <c r="D202" s="750">
        <v>0</v>
      </c>
      <c r="E202" s="750">
        <v>0</v>
      </c>
      <c r="F202" s="750">
        <v>0</v>
      </c>
      <c r="G202" s="750">
        <v>271.93700000000001</v>
      </c>
      <c r="H202" s="750">
        <v>260.53100000000001</v>
      </c>
      <c r="I202" s="750">
        <v>1.68</v>
      </c>
      <c r="J202" s="750">
        <v>0</v>
      </c>
      <c r="K202" s="750">
        <v>0</v>
      </c>
      <c r="L202" s="750">
        <v>0</v>
      </c>
      <c r="M202" s="750">
        <v>262.21100000000001</v>
      </c>
      <c r="N202" s="719">
        <v>-3.5765636893839374E-2</v>
      </c>
      <c r="O202" s="733"/>
      <c r="P202" s="721"/>
    </row>
    <row r="203" spans="1:16" ht="16">
      <c r="A203" s="688"/>
      <c r="B203" s="717"/>
      <c r="C203" s="717"/>
      <c r="D203" s="717"/>
      <c r="E203" s="717"/>
      <c r="F203" s="717"/>
      <c r="G203" s="717"/>
      <c r="H203" s="717"/>
      <c r="I203" s="717"/>
      <c r="J203" s="717"/>
      <c r="K203" s="717"/>
      <c r="L203" s="717"/>
      <c r="M203" s="717"/>
      <c r="N203" s="707"/>
      <c r="O203" s="688"/>
      <c r="P203" s="114"/>
    </row>
    <row r="204" spans="1:16" ht="17">
      <c r="A204" s="162" t="s">
        <v>272</v>
      </c>
      <c r="B204" s="247"/>
      <c r="C204" s="247">
        <v>3.4000000000000002E-2</v>
      </c>
      <c r="D204" s="247"/>
      <c r="E204" s="247"/>
      <c r="F204" s="247"/>
      <c r="G204" s="709">
        <v>3.4000000000000002E-2</v>
      </c>
      <c r="H204" s="247"/>
      <c r="I204" s="247"/>
      <c r="J204" s="247"/>
      <c r="K204" s="247"/>
      <c r="L204" s="247"/>
      <c r="M204" s="248"/>
      <c r="N204" s="707"/>
      <c r="O204" s="688"/>
      <c r="P204" s="114"/>
    </row>
    <row r="205" spans="1:16" ht="18">
      <c r="A205" s="696"/>
      <c r="B205" s="751"/>
      <c r="C205" s="751"/>
      <c r="D205" s="751"/>
      <c r="E205" s="751"/>
      <c r="F205" s="751"/>
      <c r="G205" s="751"/>
      <c r="H205" s="751"/>
      <c r="I205" s="751"/>
      <c r="J205" s="751"/>
      <c r="K205" s="751"/>
      <c r="L205" s="751"/>
      <c r="M205" s="751"/>
      <c r="N205" s="752"/>
      <c r="O205" s="696"/>
      <c r="P205" s="753"/>
    </row>
    <row r="206" spans="1:16" ht="17">
      <c r="A206" s="697" t="s">
        <v>1084</v>
      </c>
      <c r="B206" s="718">
        <v>2927.1000000000004</v>
      </c>
      <c r="C206" s="718">
        <v>351.95</v>
      </c>
      <c r="D206" s="718">
        <v>483.99999999999994</v>
      </c>
      <c r="E206" s="718">
        <v>22.1</v>
      </c>
      <c r="F206" s="718">
        <v>361.3</v>
      </c>
      <c r="G206" s="718">
        <v>4146.45</v>
      </c>
      <c r="H206" s="718">
        <v>3059.1319999999996</v>
      </c>
      <c r="I206" s="718">
        <v>194.49100000000001</v>
      </c>
      <c r="J206" s="718">
        <v>551.1</v>
      </c>
      <c r="K206" s="718">
        <v>15.000000000000002</v>
      </c>
      <c r="L206" s="718">
        <v>420.8</v>
      </c>
      <c r="M206" s="718">
        <v>4240.5230000000001</v>
      </c>
      <c r="N206" s="719">
        <v>2.2687600236346833E-2</v>
      </c>
      <c r="O206" s="593"/>
      <c r="P206" s="593"/>
    </row>
    <row r="207" spans="1:16">
      <c r="A207" s="519"/>
      <c r="B207" s="602"/>
      <c r="C207" s="602"/>
      <c r="D207" s="602"/>
      <c r="E207" s="602"/>
      <c r="F207" s="602"/>
      <c r="G207" s="602"/>
      <c r="H207" s="602"/>
      <c r="I207" s="602"/>
      <c r="J207" s="602"/>
      <c r="K207" s="602"/>
      <c r="L207" s="602"/>
      <c r="M207" s="602"/>
      <c r="N207" s="602"/>
      <c r="O207" s="602"/>
      <c r="P207" s="602"/>
    </row>
    <row r="208" spans="1:16">
      <c r="A208" s="519"/>
      <c r="B208" s="602"/>
      <c r="C208" s="602"/>
      <c r="D208" s="602"/>
      <c r="E208" s="602"/>
      <c r="F208" s="602"/>
      <c r="G208" s="602"/>
      <c r="H208" s="602"/>
      <c r="I208" s="602"/>
      <c r="J208" s="602"/>
      <c r="K208" s="602"/>
      <c r="L208" s="602"/>
      <c r="M208" s="602"/>
      <c r="N208" s="602"/>
      <c r="O208" s="602"/>
      <c r="P208" s="602"/>
    </row>
    <row r="209" spans="1:16" ht="16">
      <c r="A209" s="520" t="s">
        <v>476</v>
      </c>
      <c r="B209" s="185"/>
      <c r="C209" s="185"/>
      <c r="D209" s="185"/>
      <c r="E209" s="185"/>
      <c r="F209" s="185"/>
      <c r="G209" s="185"/>
      <c r="H209" s="185"/>
      <c r="I209" s="185"/>
      <c r="J209" s="185"/>
      <c r="K209" s="185"/>
      <c r="L209" s="185"/>
      <c r="M209" s="185"/>
      <c r="N209" s="482"/>
      <c r="O209" s="187"/>
      <c r="P209" s="187"/>
    </row>
    <row r="210" spans="1:16" ht="17">
      <c r="A210" s="141" t="s">
        <v>477</v>
      </c>
      <c r="B210" s="188">
        <v>0</v>
      </c>
      <c r="C210" s="188">
        <v>0</v>
      </c>
      <c r="D210" s="188">
        <v>0</v>
      </c>
      <c r="E210" s="188">
        <v>0</v>
      </c>
      <c r="F210" s="188">
        <v>0</v>
      </c>
      <c r="G210" s="189">
        <v>0</v>
      </c>
      <c r="H210" s="188">
        <v>0</v>
      </c>
      <c r="I210" s="188">
        <v>0</v>
      </c>
      <c r="J210" s="188">
        <v>0</v>
      </c>
      <c r="K210" s="188">
        <v>0</v>
      </c>
      <c r="L210" s="188">
        <v>0</v>
      </c>
      <c r="M210" s="189">
        <v>0</v>
      </c>
      <c r="N210" s="486" t="s">
        <v>155</v>
      </c>
      <c r="O210" s="205" t="s">
        <v>337</v>
      </c>
      <c r="P210" s="192" t="s">
        <v>337</v>
      </c>
    </row>
    <row r="211" spans="1:16" ht="16">
      <c r="A211" s="521" t="s">
        <v>478</v>
      </c>
      <c r="B211" s="195">
        <v>0</v>
      </c>
      <c r="C211" s="195">
        <v>0</v>
      </c>
      <c r="D211" s="195">
        <v>0</v>
      </c>
      <c r="E211" s="195">
        <v>0</v>
      </c>
      <c r="F211" s="195">
        <v>0</v>
      </c>
      <c r="G211" s="195">
        <v>0</v>
      </c>
      <c r="H211" s="195">
        <v>0</v>
      </c>
      <c r="I211" s="195">
        <v>0</v>
      </c>
      <c r="J211" s="195">
        <v>0</v>
      </c>
      <c r="K211" s="195">
        <v>0</v>
      </c>
      <c r="L211" s="195">
        <v>0</v>
      </c>
      <c r="M211" s="195">
        <v>0</v>
      </c>
      <c r="N211" s="488" t="s">
        <v>155</v>
      </c>
      <c r="O211" s="197"/>
      <c r="P211" s="198"/>
    </row>
    <row r="212" spans="1:16" ht="16">
      <c r="A212" s="172"/>
      <c r="B212" s="754"/>
      <c r="C212" s="754"/>
      <c r="D212" s="754"/>
      <c r="E212" s="754"/>
      <c r="F212" s="754"/>
      <c r="G212" s="754"/>
      <c r="H212" s="754"/>
      <c r="I212" s="754"/>
      <c r="J212" s="754"/>
      <c r="K212" s="754"/>
      <c r="L212" s="754"/>
      <c r="M212" s="754"/>
      <c r="N212" s="172"/>
      <c r="O212" s="172"/>
      <c r="P212" s="172"/>
    </row>
    <row r="213" spans="1:16" ht="16">
      <c r="A213" s="172"/>
      <c r="B213" s="754"/>
      <c r="C213" s="754"/>
      <c r="D213" s="754"/>
      <c r="E213" s="754"/>
      <c r="F213" s="754"/>
      <c r="G213" s="754"/>
      <c r="H213" s="754"/>
      <c r="I213" s="754"/>
      <c r="J213" s="754"/>
      <c r="K213" s="754"/>
      <c r="L213" s="754"/>
      <c r="M213" s="754"/>
      <c r="N213" s="172"/>
      <c r="O213" s="172"/>
      <c r="P213" s="172"/>
    </row>
    <row r="214" spans="1:16" ht="16">
      <c r="A214" s="172"/>
      <c r="B214" s="754"/>
      <c r="C214" s="754"/>
      <c r="D214" s="754"/>
      <c r="E214" s="754"/>
      <c r="F214" s="754"/>
      <c r="G214" s="754"/>
      <c r="H214" s="754"/>
      <c r="I214" s="754"/>
      <c r="J214" s="754"/>
      <c r="K214" s="754"/>
      <c r="L214" s="754"/>
      <c r="M214" s="754"/>
      <c r="N214" s="172"/>
      <c r="O214" s="172"/>
      <c r="P214" s="172"/>
    </row>
    <row r="215" spans="1:16" ht="17">
      <c r="A215" s="698" t="s">
        <v>1085</v>
      </c>
      <c r="B215" s="202"/>
      <c r="C215" s="202"/>
      <c r="D215" s="202"/>
      <c r="E215" s="202"/>
      <c r="F215" s="202"/>
      <c r="G215" s="202"/>
      <c r="H215" s="202"/>
      <c r="I215" s="202"/>
      <c r="J215" s="202"/>
      <c r="K215" s="202"/>
      <c r="L215" s="202"/>
      <c r="M215" s="202"/>
      <c r="N215" s="755"/>
      <c r="O215" s="756"/>
      <c r="P215" s="756"/>
    </row>
    <row r="216" spans="1:16" ht="16">
      <c r="A216" s="699"/>
      <c r="B216" s="757"/>
      <c r="C216" s="757"/>
      <c r="D216" s="757"/>
      <c r="E216" s="757"/>
      <c r="F216" s="757"/>
      <c r="G216" s="758"/>
      <c r="H216" s="757"/>
      <c r="I216" s="757"/>
      <c r="J216" s="757"/>
      <c r="K216" s="757"/>
      <c r="L216" s="757"/>
      <c r="M216" s="758"/>
      <c r="N216" s="759"/>
      <c r="O216" s="756"/>
      <c r="P216" s="756"/>
    </row>
    <row r="217" spans="1:16" ht="34">
      <c r="A217" s="616" t="s">
        <v>1086</v>
      </c>
      <c r="B217" s="711">
        <v>4.4820000000000002</v>
      </c>
      <c r="C217" s="711">
        <v>0</v>
      </c>
      <c r="D217" s="711">
        <v>0</v>
      </c>
      <c r="E217" s="711">
        <v>0</v>
      </c>
      <c r="F217" s="711">
        <v>0</v>
      </c>
      <c r="G217" s="739">
        <v>4.4820000000000002</v>
      </c>
      <c r="H217" s="711">
        <v>4.4820000000000002</v>
      </c>
      <c r="I217" s="711">
        <v>0</v>
      </c>
      <c r="J217" s="711">
        <v>0</v>
      </c>
      <c r="K217" s="711">
        <v>0</v>
      </c>
      <c r="L217" s="711">
        <v>0</v>
      </c>
      <c r="M217" s="739">
        <v>4.4820000000000002</v>
      </c>
      <c r="N217" s="760">
        <v>0</v>
      </c>
      <c r="O217" s="682" t="s">
        <v>1237</v>
      </c>
      <c r="P217" s="540" t="s">
        <v>513</v>
      </c>
    </row>
    <row r="218" spans="1:16" ht="17">
      <c r="A218" s="616"/>
      <c r="B218" s="761"/>
      <c r="C218" s="761"/>
      <c r="D218" s="761"/>
      <c r="E218" s="761"/>
      <c r="F218" s="761"/>
      <c r="G218" s="761"/>
      <c r="H218" s="761"/>
      <c r="I218" s="761"/>
      <c r="J218" s="761"/>
      <c r="K218" s="761"/>
      <c r="L218" s="761"/>
      <c r="M218" s="761"/>
      <c r="N218" s="760"/>
      <c r="O218" s="756" t="s">
        <v>337</v>
      </c>
      <c r="P218" s="756" t="s">
        <v>337</v>
      </c>
    </row>
    <row r="219" spans="1:16" ht="17">
      <c r="A219" s="700" t="s">
        <v>1087</v>
      </c>
      <c r="B219" s="762">
        <v>4.4820000000000002</v>
      </c>
      <c r="C219" s="762">
        <v>0</v>
      </c>
      <c r="D219" s="762">
        <v>0</v>
      </c>
      <c r="E219" s="762">
        <v>0</v>
      </c>
      <c r="F219" s="762">
        <v>0</v>
      </c>
      <c r="G219" s="762">
        <v>4.4820000000000002</v>
      </c>
      <c r="H219" s="762">
        <v>4.4820000000000002</v>
      </c>
      <c r="I219" s="762">
        <v>0</v>
      </c>
      <c r="J219" s="762">
        <v>0</v>
      </c>
      <c r="K219" s="762">
        <v>0</v>
      </c>
      <c r="L219" s="762">
        <v>0</v>
      </c>
      <c r="M219" s="762">
        <v>4.4820000000000002</v>
      </c>
      <c r="N219" s="763">
        <v>0</v>
      </c>
      <c r="O219" s="756"/>
      <c r="P219" s="756"/>
    </row>
    <row r="220" spans="1:16" ht="16">
      <c r="A220" s="701"/>
      <c r="B220" s="764"/>
      <c r="C220" s="764"/>
      <c r="D220" s="764"/>
      <c r="E220" s="764"/>
      <c r="F220" s="764"/>
      <c r="G220" s="764"/>
      <c r="H220" s="764"/>
      <c r="I220" s="764"/>
      <c r="J220" s="764"/>
      <c r="K220" s="764"/>
      <c r="L220" s="764"/>
      <c r="M220" s="764"/>
      <c r="N220" s="765"/>
      <c r="O220" s="756"/>
      <c r="P220" s="756"/>
    </row>
    <row r="221" spans="1:16" ht="17">
      <c r="A221" s="691" t="s">
        <v>1088</v>
      </c>
      <c r="B221" s="766">
        <v>4.4820000000000002</v>
      </c>
      <c r="C221" s="766">
        <v>0</v>
      </c>
      <c r="D221" s="766">
        <v>0</v>
      </c>
      <c r="E221" s="766">
        <v>0</v>
      </c>
      <c r="F221" s="766">
        <v>0</v>
      </c>
      <c r="G221" s="766">
        <v>4.4820000000000002</v>
      </c>
      <c r="H221" s="766">
        <v>4.4820000000000002</v>
      </c>
      <c r="I221" s="766">
        <v>0</v>
      </c>
      <c r="J221" s="766">
        <v>0</v>
      </c>
      <c r="K221" s="766">
        <v>0</v>
      </c>
      <c r="L221" s="766">
        <v>0</v>
      </c>
      <c r="M221" s="766">
        <v>4.4820000000000002</v>
      </c>
      <c r="N221" s="767">
        <v>0</v>
      </c>
      <c r="O221" s="756"/>
      <c r="P221" s="756"/>
    </row>
    <row r="222" spans="1:16" ht="16">
      <c r="A222" s="701"/>
      <c r="B222" s="757"/>
      <c r="C222" s="757"/>
      <c r="D222" s="757"/>
      <c r="E222" s="757"/>
      <c r="F222" s="757"/>
      <c r="G222" s="757"/>
      <c r="H222" s="757"/>
      <c r="I222" s="757"/>
      <c r="J222" s="757"/>
      <c r="K222" s="757"/>
      <c r="L222" s="757"/>
      <c r="M222" s="757"/>
      <c r="N222" s="768"/>
      <c r="O222" s="756"/>
      <c r="P222" s="756"/>
    </row>
    <row r="223" spans="1:16" ht="17">
      <c r="A223" s="698" t="s">
        <v>1089</v>
      </c>
      <c r="B223" s="769"/>
      <c r="C223" s="769"/>
      <c r="D223" s="769"/>
      <c r="E223" s="769"/>
      <c r="F223" s="769"/>
      <c r="G223" s="769"/>
      <c r="H223" s="769"/>
      <c r="I223" s="769"/>
      <c r="J223" s="769"/>
      <c r="K223" s="769"/>
      <c r="L223" s="769"/>
      <c r="M223" s="769"/>
      <c r="N223" s="755"/>
      <c r="O223" s="756"/>
      <c r="P223" s="756"/>
    </row>
    <row r="224" spans="1:16" ht="16">
      <c r="A224" s="701"/>
      <c r="B224" s="757"/>
      <c r="C224" s="757"/>
      <c r="D224" s="757"/>
      <c r="E224" s="757"/>
      <c r="F224" s="757"/>
      <c r="G224" s="757"/>
      <c r="H224" s="757"/>
      <c r="I224" s="757"/>
      <c r="J224" s="757"/>
      <c r="K224" s="757"/>
      <c r="L224" s="757"/>
      <c r="M224" s="757"/>
      <c r="N224" s="768"/>
      <c r="O224" s="756"/>
      <c r="P224" s="756"/>
    </row>
    <row r="225" spans="1:16" ht="34">
      <c r="A225" s="616" t="s">
        <v>1090</v>
      </c>
      <c r="B225" s="711">
        <v>120</v>
      </c>
      <c r="C225" s="711">
        <v>0</v>
      </c>
      <c r="D225" s="711">
        <v>0</v>
      </c>
      <c r="E225" s="711">
        <v>0</v>
      </c>
      <c r="F225" s="711"/>
      <c r="G225" s="739">
        <v>120</v>
      </c>
      <c r="H225" s="711">
        <v>120</v>
      </c>
      <c r="I225" s="711">
        <v>0</v>
      </c>
      <c r="J225" s="711">
        <v>0</v>
      </c>
      <c r="K225" s="711">
        <v>0</v>
      </c>
      <c r="L225" s="711">
        <v>0</v>
      </c>
      <c r="M225" s="739">
        <v>120</v>
      </c>
      <c r="N225" s="760">
        <v>0</v>
      </c>
      <c r="O225" s="682" t="s">
        <v>1238</v>
      </c>
      <c r="P225" s="540" t="s">
        <v>513</v>
      </c>
    </row>
    <row r="226" spans="1:16" ht="17">
      <c r="A226" s="700" t="s">
        <v>1091</v>
      </c>
      <c r="B226" s="762">
        <v>120</v>
      </c>
      <c r="C226" s="762">
        <v>0</v>
      </c>
      <c r="D226" s="762">
        <v>0</v>
      </c>
      <c r="E226" s="762">
        <v>0</v>
      </c>
      <c r="F226" s="762">
        <v>0</v>
      </c>
      <c r="G226" s="762">
        <v>120</v>
      </c>
      <c r="H226" s="762">
        <v>120</v>
      </c>
      <c r="I226" s="762">
        <v>0</v>
      </c>
      <c r="J226" s="762">
        <v>0</v>
      </c>
      <c r="K226" s="762">
        <v>0</v>
      </c>
      <c r="L226" s="762">
        <v>0</v>
      </c>
      <c r="M226" s="762">
        <v>120</v>
      </c>
      <c r="N226" s="763">
        <v>0</v>
      </c>
      <c r="O226" s="756" t="s">
        <v>337</v>
      </c>
      <c r="P226" s="756" t="s">
        <v>337</v>
      </c>
    </row>
    <row r="227" spans="1:16" ht="16">
      <c r="A227" s="701"/>
      <c r="B227" s="764"/>
      <c r="C227" s="764"/>
      <c r="D227" s="764"/>
      <c r="E227" s="764"/>
      <c r="F227" s="764"/>
      <c r="G227" s="764"/>
      <c r="H227" s="764"/>
      <c r="I227" s="764"/>
      <c r="J227" s="764"/>
      <c r="K227" s="764"/>
      <c r="L227" s="764"/>
      <c r="M227" s="764"/>
      <c r="N227" s="765"/>
      <c r="O227" s="756"/>
      <c r="P227" s="756"/>
    </row>
    <row r="228" spans="1:16" ht="34">
      <c r="A228" s="691" t="s">
        <v>1092</v>
      </c>
      <c r="B228" s="766">
        <v>120</v>
      </c>
      <c r="C228" s="766">
        <v>0</v>
      </c>
      <c r="D228" s="766">
        <v>0</v>
      </c>
      <c r="E228" s="766">
        <v>0</v>
      </c>
      <c r="F228" s="766">
        <v>0</v>
      </c>
      <c r="G228" s="766">
        <v>120</v>
      </c>
      <c r="H228" s="766">
        <v>120</v>
      </c>
      <c r="I228" s="766">
        <v>0</v>
      </c>
      <c r="J228" s="766">
        <v>0</v>
      </c>
      <c r="K228" s="766">
        <v>0</v>
      </c>
      <c r="L228" s="766">
        <v>0</v>
      </c>
      <c r="M228" s="766">
        <v>120</v>
      </c>
      <c r="N228" s="767">
        <v>0</v>
      </c>
      <c r="O228" s="756"/>
      <c r="P228" s="756"/>
    </row>
    <row r="229" spans="1:16" ht="16">
      <c r="A229" s="701"/>
      <c r="B229" s="757"/>
      <c r="C229" s="757"/>
      <c r="D229" s="757"/>
      <c r="E229" s="757"/>
      <c r="F229" s="757"/>
      <c r="G229" s="757"/>
      <c r="H229" s="757"/>
      <c r="I229" s="757"/>
      <c r="J229" s="757"/>
      <c r="K229" s="757"/>
      <c r="L229" s="757"/>
      <c r="M229" s="757"/>
      <c r="N229" s="768"/>
      <c r="O229" s="756"/>
      <c r="P229" s="756"/>
    </row>
    <row r="230" spans="1:16" ht="17">
      <c r="A230" s="698" t="s">
        <v>1093</v>
      </c>
      <c r="B230" s="769"/>
      <c r="C230" s="769"/>
      <c r="D230" s="769"/>
      <c r="E230" s="769"/>
      <c r="F230" s="769"/>
      <c r="G230" s="769"/>
      <c r="H230" s="769"/>
      <c r="I230" s="769"/>
      <c r="J230" s="769"/>
      <c r="K230" s="769"/>
      <c r="L230" s="769"/>
      <c r="M230" s="769"/>
      <c r="N230" s="755"/>
      <c r="O230" s="756"/>
      <c r="P230" s="756"/>
    </row>
    <row r="231" spans="1:16" ht="16">
      <c r="A231" s="701"/>
      <c r="B231" s="757"/>
      <c r="C231" s="757"/>
      <c r="D231" s="757"/>
      <c r="E231" s="757"/>
      <c r="F231" s="757"/>
      <c r="G231" s="757"/>
      <c r="H231" s="757"/>
      <c r="I231" s="757"/>
      <c r="J231" s="757"/>
      <c r="K231" s="757"/>
      <c r="L231" s="757"/>
      <c r="M231" s="757"/>
      <c r="N231" s="768"/>
      <c r="O231" s="756"/>
      <c r="P231" s="756"/>
    </row>
    <row r="232" spans="1:16" ht="34">
      <c r="A232" s="616" t="s">
        <v>1094</v>
      </c>
      <c r="B232" s="711">
        <v>521.85599999999999</v>
      </c>
      <c r="C232" s="711">
        <v>0</v>
      </c>
      <c r="D232" s="711">
        <v>0</v>
      </c>
      <c r="E232" s="711">
        <v>0</v>
      </c>
      <c r="F232" s="711">
        <v>0</v>
      </c>
      <c r="G232" s="739">
        <v>521.85599999999999</v>
      </c>
      <c r="H232" s="711">
        <v>521.85599999999999</v>
      </c>
      <c r="I232" s="711">
        <v>0</v>
      </c>
      <c r="J232" s="711">
        <v>0</v>
      </c>
      <c r="K232" s="711">
        <v>0</v>
      </c>
      <c r="L232" s="711">
        <v>0</v>
      </c>
      <c r="M232" s="739">
        <v>521.85599999999999</v>
      </c>
      <c r="N232" s="760">
        <v>0</v>
      </c>
      <c r="O232" s="497" t="s">
        <v>1239</v>
      </c>
      <c r="P232" s="724" t="s">
        <v>337</v>
      </c>
    </row>
    <row r="233" spans="1:16" ht="34">
      <c r="A233" s="616" t="s">
        <v>1095</v>
      </c>
      <c r="B233" s="711">
        <v>0</v>
      </c>
      <c r="C233" s="711">
        <v>0</v>
      </c>
      <c r="D233" s="711">
        <v>0</v>
      </c>
      <c r="E233" s="711">
        <v>0</v>
      </c>
      <c r="F233" s="711">
        <v>0</v>
      </c>
      <c r="G233" s="709">
        <v>0</v>
      </c>
      <c r="H233" s="711">
        <v>0</v>
      </c>
      <c r="I233" s="711">
        <v>0</v>
      </c>
      <c r="J233" s="711">
        <v>0</v>
      </c>
      <c r="K233" s="711">
        <v>0</v>
      </c>
      <c r="L233" s="711">
        <v>0</v>
      </c>
      <c r="M233" s="709">
        <v>0</v>
      </c>
      <c r="N233" s="760" t="s">
        <v>155</v>
      </c>
      <c r="O233" s="682" t="s">
        <v>337</v>
      </c>
      <c r="P233" s="724" t="s">
        <v>337</v>
      </c>
    </row>
    <row r="234" spans="1:16" ht="17">
      <c r="A234" s="700" t="s">
        <v>1096</v>
      </c>
      <c r="B234" s="762">
        <v>521.85599999999999</v>
      </c>
      <c r="C234" s="762">
        <v>0</v>
      </c>
      <c r="D234" s="762">
        <v>0</v>
      </c>
      <c r="E234" s="762">
        <v>0</v>
      </c>
      <c r="F234" s="762">
        <v>0</v>
      </c>
      <c r="G234" s="762">
        <v>521.85599999999999</v>
      </c>
      <c r="H234" s="762">
        <v>521.85599999999999</v>
      </c>
      <c r="I234" s="762">
        <v>0</v>
      </c>
      <c r="J234" s="762">
        <v>0</v>
      </c>
      <c r="K234" s="762">
        <v>0</v>
      </c>
      <c r="L234" s="762">
        <v>0</v>
      </c>
      <c r="M234" s="762">
        <v>521.85599999999999</v>
      </c>
      <c r="N234" s="763">
        <v>0</v>
      </c>
      <c r="O234" s="756"/>
      <c r="P234" s="756"/>
    </row>
    <row r="235" spans="1:16" ht="16">
      <c r="A235" s="701"/>
      <c r="B235" s="764"/>
      <c r="C235" s="764"/>
      <c r="D235" s="764"/>
      <c r="E235" s="764"/>
      <c r="F235" s="764"/>
      <c r="G235" s="764"/>
      <c r="H235" s="764"/>
      <c r="I235" s="764"/>
      <c r="J235" s="764"/>
      <c r="K235" s="764"/>
      <c r="L235" s="764"/>
      <c r="M235" s="764"/>
      <c r="N235" s="765"/>
      <c r="O235" s="756"/>
      <c r="P235" s="756"/>
    </row>
    <row r="236" spans="1:16" ht="17">
      <c r="A236" s="691" t="s">
        <v>1097</v>
      </c>
      <c r="B236" s="766">
        <v>521.85599999999999</v>
      </c>
      <c r="C236" s="766">
        <v>0</v>
      </c>
      <c r="D236" s="766">
        <v>0</v>
      </c>
      <c r="E236" s="766">
        <v>0</v>
      </c>
      <c r="F236" s="766">
        <v>0</v>
      </c>
      <c r="G236" s="766">
        <v>521.85599999999999</v>
      </c>
      <c r="H236" s="766">
        <v>521.85599999999999</v>
      </c>
      <c r="I236" s="766">
        <v>0</v>
      </c>
      <c r="J236" s="766">
        <v>0</v>
      </c>
      <c r="K236" s="766">
        <v>0</v>
      </c>
      <c r="L236" s="766">
        <v>0</v>
      </c>
      <c r="M236" s="766">
        <v>521.85599999999999</v>
      </c>
      <c r="N236" s="767">
        <v>0</v>
      </c>
      <c r="O236" s="756"/>
      <c r="P236" s="756"/>
    </row>
    <row r="237" spans="1:16">
      <c r="A237" s="519"/>
      <c r="B237" s="602"/>
      <c r="C237" s="602"/>
      <c r="D237" s="602"/>
      <c r="E237" s="602"/>
      <c r="F237" s="602"/>
      <c r="G237" s="602"/>
      <c r="H237" s="602"/>
      <c r="I237" s="602"/>
      <c r="J237" s="602"/>
      <c r="K237" s="602"/>
      <c r="L237" s="602"/>
      <c r="M237" s="602"/>
      <c r="N237" s="602"/>
      <c r="O237" s="602"/>
      <c r="P237" s="60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7"/>
  <sheetViews>
    <sheetView topLeftCell="A100" zoomScale="60" zoomScaleNormal="60" workbookViewId="0">
      <selection activeCell="I126" sqref="I126"/>
    </sheetView>
  </sheetViews>
  <sheetFormatPr baseColWidth="10" defaultColWidth="8.83203125" defaultRowHeight="15" outlineLevelCol="1"/>
  <cols>
    <col min="1" max="1" width="40.6640625" style="2" customWidth="1"/>
    <col min="2" max="14" width="17.6640625" customWidth="1" outlineLevel="1"/>
    <col min="15" max="16" width="75.6640625" customWidth="1" outlineLevel="1"/>
  </cols>
  <sheetData>
    <row r="1" spans="1:16" ht="16" thickBot="1"/>
    <row r="2" spans="1:16" ht="21">
      <c r="A2" s="491"/>
      <c r="B2" s="522"/>
      <c r="C2" s="523"/>
      <c r="D2" s="523"/>
      <c r="E2" s="523"/>
      <c r="F2" s="523"/>
      <c r="G2" s="524"/>
      <c r="H2" s="522"/>
      <c r="I2" s="523"/>
      <c r="J2" s="523"/>
      <c r="K2" s="523"/>
      <c r="L2" s="523"/>
      <c r="M2" s="524"/>
      <c r="N2" s="525"/>
      <c r="O2" s="526"/>
      <c r="P2" s="527"/>
    </row>
    <row r="3" spans="1:16" ht="136">
      <c r="A3" s="492" t="s">
        <v>601</v>
      </c>
      <c r="B3" s="42" t="s">
        <v>100</v>
      </c>
      <c r="C3" s="42" t="s">
        <v>101</v>
      </c>
      <c r="D3" s="42" t="s">
        <v>102</v>
      </c>
      <c r="E3" s="42" t="s">
        <v>103</v>
      </c>
      <c r="F3" s="42" t="s">
        <v>104</v>
      </c>
      <c r="G3" s="42" t="s">
        <v>105</v>
      </c>
      <c r="H3" s="42" t="s">
        <v>106</v>
      </c>
      <c r="I3" s="42" t="s">
        <v>107</v>
      </c>
      <c r="J3" s="42" t="s">
        <v>108</v>
      </c>
      <c r="K3" s="42" t="s">
        <v>109</v>
      </c>
      <c r="L3" s="42" t="s">
        <v>110</v>
      </c>
      <c r="M3" s="42" t="s">
        <v>687</v>
      </c>
      <c r="N3" s="43" t="s">
        <v>112</v>
      </c>
      <c r="O3" s="44" t="s">
        <v>113</v>
      </c>
      <c r="P3" s="178" t="s">
        <v>114</v>
      </c>
    </row>
    <row r="4" spans="1:16" ht="22" thickBot="1">
      <c r="A4" s="133"/>
      <c r="B4" s="179"/>
      <c r="C4" s="179"/>
      <c r="D4" s="179"/>
      <c r="E4" s="179"/>
      <c r="F4" s="179"/>
      <c r="G4" s="179"/>
      <c r="H4" s="179"/>
      <c r="I4" s="179"/>
      <c r="J4" s="179"/>
      <c r="K4" s="179"/>
      <c r="L4" s="179"/>
      <c r="M4" s="179"/>
      <c r="N4" s="528"/>
      <c r="O4" s="181"/>
      <c r="P4" s="181"/>
    </row>
    <row r="5" spans="1:16" ht="16">
      <c r="A5" s="493"/>
      <c r="B5" s="529"/>
      <c r="C5" s="529"/>
      <c r="D5" s="529"/>
      <c r="E5" s="529"/>
      <c r="F5" s="529"/>
      <c r="G5" s="529"/>
      <c r="H5" s="529"/>
      <c r="I5" s="529"/>
      <c r="J5" s="529"/>
      <c r="K5" s="529"/>
      <c r="L5" s="529"/>
      <c r="M5" s="529"/>
      <c r="N5" s="530"/>
      <c r="O5" s="502"/>
      <c r="P5" s="502"/>
    </row>
    <row r="6" spans="1:16" ht="17">
      <c r="A6" s="494" t="s">
        <v>602</v>
      </c>
      <c r="B6" s="531"/>
      <c r="C6" s="531"/>
      <c r="D6" s="531"/>
      <c r="E6" s="531"/>
      <c r="F6" s="531"/>
      <c r="G6" s="531"/>
      <c r="H6" s="531"/>
      <c r="I6" s="531"/>
      <c r="J6" s="531"/>
      <c r="K6" s="531"/>
      <c r="L6" s="531"/>
      <c r="M6" s="531"/>
      <c r="N6" s="531"/>
      <c r="O6" s="532"/>
      <c r="P6" s="532"/>
    </row>
    <row r="7" spans="1:16" ht="16">
      <c r="A7" s="493"/>
      <c r="B7" s="529"/>
      <c r="C7" s="529"/>
      <c r="D7" s="529"/>
      <c r="E7" s="529"/>
      <c r="F7" s="529"/>
      <c r="G7" s="529"/>
      <c r="H7" s="529"/>
      <c r="I7" s="529"/>
      <c r="J7" s="529"/>
      <c r="K7" s="529"/>
      <c r="L7" s="529"/>
      <c r="M7" s="529"/>
      <c r="N7" s="530"/>
      <c r="O7" s="502"/>
      <c r="P7" s="502"/>
    </row>
    <row r="8" spans="1:16" ht="17">
      <c r="A8" s="495" t="s">
        <v>603</v>
      </c>
      <c r="B8" s="533"/>
      <c r="C8" s="533"/>
      <c r="D8" s="533"/>
      <c r="E8" s="533"/>
      <c r="F8" s="533"/>
      <c r="G8" s="533"/>
      <c r="H8" s="533"/>
      <c r="I8" s="533"/>
      <c r="J8" s="533"/>
      <c r="K8" s="533"/>
      <c r="L8" s="533"/>
      <c r="M8" s="533"/>
      <c r="N8" s="534"/>
      <c r="O8" s="535"/>
      <c r="P8" s="535"/>
    </row>
    <row r="9" spans="1:16" ht="34">
      <c r="A9" s="496" t="s">
        <v>604</v>
      </c>
      <c r="B9" s="536">
        <v>6</v>
      </c>
      <c r="C9" s="536">
        <v>0</v>
      </c>
      <c r="D9" s="536">
        <v>0</v>
      </c>
      <c r="E9" s="536">
        <v>0</v>
      </c>
      <c r="F9" s="536">
        <v>0</v>
      </c>
      <c r="G9" s="537">
        <v>6</v>
      </c>
      <c r="H9" s="536">
        <v>5</v>
      </c>
      <c r="I9" s="536">
        <v>0</v>
      </c>
      <c r="J9" s="536">
        <v>0</v>
      </c>
      <c r="K9" s="536">
        <v>0</v>
      </c>
      <c r="L9" s="536">
        <v>0</v>
      </c>
      <c r="M9" s="537">
        <v>5</v>
      </c>
      <c r="N9" s="413">
        <v>-0.16666666666666666</v>
      </c>
      <c r="O9" s="496" t="s">
        <v>688</v>
      </c>
      <c r="P9" s="538" t="s">
        <v>689</v>
      </c>
    </row>
    <row r="10" spans="1:16" ht="34">
      <c r="A10" s="497" t="s">
        <v>605</v>
      </c>
      <c r="B10" s="539">
        <v>0.5</v>
      </c>
      <c r="C10" s="539">
        <v>0</v>
      </c>
      <c r="D10" s="539">
        <v>0</v>
      </c>
      <c r="E10" s="539">
        <v>0</v>
      </c>
      <c r="F10" s="539">
        <v>0</v>
      </c>
      <c r="G10" s="537">
        <v>0.5</v>
      </c>
      <c r="H10" s="539">
        <v>0.5</v>
      </c>
      <c r="I10" s="539">
        <v>0</v>
      </c>
      <c r="J10" s="539">
        <v>0</v>
      </c>
      <c r="K10" s="539">
        <v>0</v>
      </c>
      <c r="L10" s="539">
        <v>0</v>
      </c>
      <c r="M10" s="537">
        <v>0.5</v>
      </c>
      <c r="N10" s="413">
        <v>0</v>
      </c>
      <c r="O10" s="497" t="s">
        <v>690</v>
      </c>
      <c r="P10" s="540" t="s">
        <v>293</v>
      </c>
    </row>
    <row r="11" spans="1:16" ht="34">
      <c r="A11" s="498" t="s">
        <v>606</v>
      </c>
      <c r="B11" s="539">
        <v>2.9239999999999999</v>
      </c>
      <c r="C11" s="539">
        <v>5.0000000000000001E-3</v>
      </c>
      <c r="D11" s="539">
        <v>0</v>
      </c>
      <c r="E11" s="539">
        <v>0</v>
      </c>
      <c r="F11" s="539">
        <v>0</v>
      </c>
      <c r="G11" s="537">
        <v>2.9289999999999998</v>
      </c>
      <c r="H11" s="539">
        <v>3.1120000000000001</v>
      </c>
      <c r="I11" s="539">
        <v>0</v>
      </c>
      <c r="J11" s="539">
        <v>0</v>
      </c>
      <c r="K11" s="539">
        <v>0</v>
      </c>
      <c r="L11" s="539">
        <v>0</v>
      </c>
      <c r="M11" s="537">
        <v>3.1120000000000001</v>
      </c>
      <c r="N11" s="413">
        <v>6.247866165926947E-2</v>
      </c>
      <c r="O11" s="497" t="s">
        <v>691</v>
      </c>
      <c r="P11" s="540" t="s">
        <v>692</v>
      </c>
    </row>
    <row r="12" spans="1:16" ht="34">
      <c r="A12" s="498" t="s">
        <v>607</v>
      </c>
      <c r="B12" s="539">
        <v>1.835</v>
      </c>
      <c r="C12" s="539">
        <v>4.9000000000000002E-2</v>
      </c>
      <c r="D12" s="539">
        <v>0</v>
      </c>
      <c r="E12" s="539">
        <v>0</v>
      </c>
      <c r="F12" s="539">
        <v>0</v>
      </c>
      <c r="G12" s="537">
        <v>1.8839999999999999</v>
      </c>
      <c r="H12" s="539">
        <v>1.992</v>
      </c>
      <c r="I12" s="539">
        <v>0.04</v>
      </c>
      <c r="J12" s="539">
        <v>0</v>
      </c>
      <c r="K12" s="539">
        <v>0</v>
      </c>
      <c r="L12" s="539">
        <v>0</v>
      </c>
      <c r="M12" s="537">
        <v>2.032</v>
      </c>
      <c r="N12" s="413">
        <v>7.8556263269639146E-2</v>
      </c>
      <c r="O12" s="497" t="s">
        <v>693</v>
      </c>
      <c r="P12" s="540" t="s">
        <v>692</v>
      </c>
    </row>
    <row r="13" spans="1:16" ht="68">
      <c r="A13" s="497" t="s">
        <v>608</v>
      </c>
      <c r="B13" s="539">
        <v>18.800999999999998</v>
      </c>
      <c r="C13" s="539">
        <v>0</v>
      </c>
      <c r="D13" s="539">
        <v>0</v>
      </c>
      <c r="E13" s="539">
        <v>0</v>
      </c>
      <c r="F13" s="539">
        <v>0</v>
      </c>
      <c r="G13" s="537">
        <v>18.800999999999998</v>
      </c>
      <c r="H13" s="539">
        <v>20.759000000000004</v>
      </c>
      <c r="I13" s="539">
        <v>0</v>
      </c>
      <c r="J13" s="539">
        <v>0</v>
      </c>
      <c r="K13" s="539">
        <v>0</v>
      </c>
      <c r="L13" s="539">
        <v>0</v>
      </c>
      <c r="M13" s="537">
        <v>20.759000000000004</v>
      </c>
      <c r="N13" s="413">
        <v>0.10414339662783925</v>
      </c>
      <c r="O13" s="497" t="s">
        <v>694</v>
      </c>
      <c r="P13" s="540" t="s">
        <v>695</v>
      </c>
    </row>
    <row r="14" spans="1:16" ht="51">
      <c r="A14" s="497" t="s">
        <v>609</v>
      </c>
      <c r="B14" s="539">
        <v>15.013999999999999</v>
      </c>
      <c r="C14" s="539">
        <v>0</v>
      </c>
      <c r="D14" s="539">
        <v>0</v>
      </c>
      <c r="E14" s="539">
        <v>0</v>
      </c>
      <c r="F14" s="539">
        <v>0</v>
      </c>
      <c r="G14" s="537">
        <v>15.013999999999999</v>
      </c>
      <c r="H14" s="539">
        <v>15.013999999999999</v>
      </c>
      <c r="I14" s="539">
        <v>0</v>
      </c>
      <c r="J14" s="539">
        <v>0</v>
      </c>
      <c r="K14" s="539">
        <v>0</v>
      </c>
      <c r="L14" s="539">
        <v>0</v>
      </c>
      <c r="M14" s="537">
        <v>15.013999999999999</v>
      </c>
      <c r="N14" s="413">
        <v>0</v>
      </c>
      <c r="O14" s="497" t="s">
        <v>696</v>
      </c>
      <c r="P14" s="540" t="s">
        <v>293</v>
      </c>
    </row>
    <row r="15" spans="1:16" ht="17">
      <c r="A15" s="499" t="s">
        <v>610</v>
      </c>
      <c r="B15" s="248">
        <v>45.073999999999998</v>
      </c>
      <c r="C15" s="248">
        <v>5.3999999999999999E-2</v>
      </c>
      <c r="D15" s="248">
        <v>0</v>
      </c>
      <c r="E15" s="248">
        <v>0</v>
      </c>
      <c r="F15" s="248">
        <v>0</v>
      </c>
      <c r="G15" s="248">
        <v>45.128</v>
      </c>
      <c r="H15" s="248">
        <v>46.377000000000002</v>
      </c>
      <c r="I15" s="248">
        <v>0.04</v>
      </c>
      <c r="J15" s="248">
        <v>0</v>
      </c>
      <c r="K15" s="248">
        <v>0</v>
      </c>
      <c r="L15" s="248">
        <v>0</v>
      </c>
      <c r="M15" s="248">
        <v>46.417000000000002</v>
      </c>
      <c r="N15" s="419">
        <v>2.8563198014536464E-2</v>
      </c>
      <c r="O15" s="541"/>
      <c r="P15" s="542"/>
    </row>
    <row r="16" spans="1:16" ht="16">
      <c r="A16" s="114"/>
      <c r="B16" s="543"/>
      <c r="C16" s="543"/>
      <c r="D16" s="543"/>
      <c r="E16" s="543"/>
      <c r="F16" s="543"/>
      <c r="G16" s="543"/>
      <c r="H16" s="543"/>
      <c r="I16" s="543"/>
      <c r="J16" s="543"/>
      <c r="K16" s="543"/>
      <c r="L16" s="543"/>
      <c r="M16" s="543"/>
      <c r="N16" s="544"/>
      <c r="O16" s="114"/>
      <c r="P16" s="114"/>
    </row>
    <row r="17" spans="1:16" ht="17">
      <c r="A17" s="495" t="s">
        <v>611</v>
      </c>
      <c r="B17" s="224"/>
      <c r="C17" s="224"/>
      <c r="D17" s="224"/>
      <c r="E17" s="224"/>
      <c r="F17" s="224"/>
      <c r="G17" s="224"/>
      <c r="H17" s="224"/>
      <c r="I17" s="224"/>
      <c r="J17" s="224"/>
      <c r="K17" s="224"/>
      <c r="L17" s="224"/>
      <c r="M17" s="224"/>
      <c r="N17" s="534"/>
      <c r="O17" s="535"/>
      <c r="P17" s="535"/>
    </row>
    <row r="18" spans="1:16" ht="68">
      <c r="A18" s="496" t="s">
        <v>612</v>
      </c>
      <c r="B18" s="536">
        <v>3.2</v>
      </c>
      <c r="C18" s="536">
        <v>0</v>
      </c>
      <c r="D18" s="536">
        <v>0</v>
      </c>
      <c r="E18" s="536">
        <v>0</v>
      </c>
      <c r="F18" s="536">
        <v>0</v>
      </c>
      <c r="G18" s="537">
        <v>3.2</v>
      </c>
      <c r="H18" s="536">
        <v>3.2</v>
      </c>
      <c r="I18" s="536">
        <v>0</v>
      </c>
      <c r="J18" s="536">
        <v>0</v>
      </c>
      <c r="K18" s="536">
        <v>0</v>
      </c>
      <c r="L18" s="536">
        <v>0</v>
      </c>
      <c r="M18" s="537">
        <v>3.2</v>
      </c>
      <c r="N18" s="413">
        <v>0</v>
      </c>
      <c r="O18" s="496" t="s">
        <v>697</v>
      </c>
      <c r="P18" s="538" t="s">
        <v>293</v>
      </c>
    </row>
    <row r="19" spans="1:16" ht="17">
      <c r="A19" s="499" t="s">
        <v>613</v>
      </c>
      <c r="B19" s="248">
        <v>3.2</v>
      </c>
      <c r="C19" s="248">
        <v>0</v>
      </c>
      <c r="D19" s="248">
        <v>0</v>
      </c>
      <c r="E19" s="248">
        <v>0</v>
      </c>
      <c r="F19" s="248">
        <v>0</v>
      </c>
      <c r="G19" s="248">
        <v>3.2</v>
      </c>
      <c r="H19" s="248">
        <v>3.2</v>
      </c>
      <c r="I19" s="248">
        <v>0</v>
      </c>
      <c r="J19" s="248">
        <v>0</v>
      </c>
      <c r="K19" s="248">
        <v>0</v>
      </c>
      <c r="L19" s="248">
        <v>0</v>
      </c>
      <c r="M19" s="248">
        <v>3.2</v>
      </c>
      <c r="N19" s="419">
        <v>0</v>
      </c>
      <c r="O19" s="541"/>
      <c r="P19" s="542"/>
    </row>
    <row r="20" spans="1:16" ht="16">
      <c r="A20" s="82"/>
      <c r="B20" s="545"/>
      <c r="C20" s="545"/>
      <c r="D20" s="545"/>
      <c r="E20" s="545"/>
      <c r="F20" s="545"/>
      <c r="G20" s="545"/>
      <c r="H20" s="545"/>
      <c r="I20" s="545"/>
      <c r="J20" s="545"/>
      <c r="K20" s="545"/>
      <c r="L20" s="545"/>
      <c r="M20" s="545"/>
      <c r="N20" s="546"/>
      <c r="O20" s="114"/>
      <c r="P20" s="114"/>
    </row>
    <row r="21" spans="1:16" ht="17">
      <c r="A21" s="500" t="s">
        <v>614</v>
      </c>
      <c r="B21" s="547">
        <v>48.274000000000001</v>
      </c>
      <c r="C21" s="547">
        <v>5.3999999999999999E-2</v>
      </c>
      <c r="D21" s="547">
        <v>0</v>
      </c>
      <c r="E21" s="547">
        <v>0</v>
      </c>
      <c r="F21" s="547">
        <v>0</v>
      </c>
      <c r="G21" s="547">
        <v>48.328000000000003</v>
      </c>
      <c r="H21" s="547">
        <v>49.577000000000005</v>
      </c>
      <c r="I21" s="547">
        <v>0.04</v>
      </c>
      <c r="J21" s="547">
        <v>0</v>
      </c>
      <c r="K21" s="547">
        <v>0</v>
      </c>
      <c r="L21" s="547">
        <v>0</v>
      </c>
      <c r="M21" s="547">
        <v>49.617000000000004</v>
      </c>
      <c r="N21" s="548">
        <v>2.6671908624399963E-2</v>
      </c>
      <c r="O21" s="549"/>
      <c r="P21" s="550"/>
    </row>
    <row r="22" spans="1:16" ht="16">
      <c r="A22" s="493"/>
      <c r="B22" s="551"/>
      <c r="C22" s="551"/>
      <c r="D22" s="551"/>
      <c r="E22" s="551"/>
      <c r="F22" s="551"/>
      <c r="G22" s="551"/>
      <c r="H22" s="551"/>
      <c r="I22" s="551"/>
      <c r="J22" s="551"/>
      <c r="K22" s="551"/>
      <c r="L22" s="551"/>
      <c r="M22" s="551"/>
      <c r="N22" s="530"/>
      <c r="O22" s="502"/>
      <c r="P22" s="502"/>
    </row>
    <row r="23" spans="1:16" ht="17">
      <c r="A23" s="501" t="s">
        <v>615</v>
      </c>
      <c r="B23" s="235"/>
      <c r="C23" s="235"/>
      <c r="D23" s="235"/>
      <c r="E23" s="235"/>
      <c r="F23" s="235"/>
      <c r="G23" s="235"/>
      <c r="H23" s="235"/>
      <c r="I23" s="235"/>
      <c r="J23" s="235"/>
      <c r="K23" s="235"/>
      <c r="L23" s="235"/>
      <c r="M23" s="235"/>
      <c r="N23" s="552"/>
      <c r="O23" s="532"/>
      <c r="P23" s="532"/>
    </row>
    <row r="24" spans="1:16" ht="16">
      <c r="A24" s="502"/>
      <c r="B24" s="553"/>
      <c r="C24" s="553"/>
      <c r="D24" s="553"/>
      <c r="E24" s="553"/>
      <c r="F24" s="553"/>
      <c r="G24" s="553"/>
      <c r="H24" s="553"/>
      <c r="I24" s="553"/>
      <c r="J24" s="553"/>
      <c r="K24" s="553"/>
      <c r="L24" s="553"/>
      <c r="M24" s="553"/>
      <c r="N24" s="554"/>
      <c r="O24" s="502"/>
      <c r="P24" s="502"/>
    </row>
    <row r="25" spans="1:16" ht="17">
      <c r="A25" s="495" t="s">
        <v>615</v>
      </c>
      <c r="B25" s="224"/>
      <c r="C25" s="224"/>
      <c r="D25" s="224"/>
      <c r="E25" s="224"/>
      <c r="F25" s="224"/>
      <c r="G25" s="224"/>
      <c r="H25" s="224"/>
      <c r="I25" s="224"/>
      <c r="J25" s="224"/>
      <c r="K25" s="224"/>
      <c r="L25" s="224"/>
      <c r="M25" s="224"/>
      <c r="N25" s="534"/>
      <c r="O25" s="535"/>
      <c r="P25" s="535"/>
    </row>
    <row r="26" spans="1:16" ht="68">
      <c r="A26" s="503" t="s">
        <v>616</v>
      </c>
      <c r="B26" s="536">
        <v>0.95</v>
      </c>
      <c r="C26" s="536">
        <v>0</v>
      </c>
      <c r="D26" s="536">
        <v>0</v>
      </c>
      <c r="E26" s="536">
        <v>0</v>
      </c>
      <c r="F26" s="536">
        <v>0</v>
      </c>
      <c r="G26" s="537">
        <v>0.95</v>
      </c>
      <c r="H26" s="536">
        <v>0.95</v>
      </c>
      <c r="I26" s="536">
        <v>0</v>
      </c>
      <c r="J26" s="536">
        <v>0</v>
      </c>
      <c r="K26" s="536">
        <v>0</v>
      </c>
      <c r="L26" s="536">
        <v>0</v>
      </c>
      <c r="M26" s="537">
        <v>0.95</v>
      </c>
      <c r="N26" s="413">
        <v>0</v>
      </c>
      <c r="O26" s="496" t="s">
        <v>698</v>
      </c>
      <c r="P26" s="538" t="s">
        <v>293</v>
      </c>
    </row>
    <row r="27" spans="1:16" ht="51">
      <c r="A27" s="498" t="s">
        <v>617</v>
      </c>
      <c r="B27" s="539">
        <v>1.5</v>
      </c>
      <c r="C27" s="539">
        <v>0</v>
      </c>
      <c r="D27" s="539">
        <v>0</v>
      </c>
      <c r="E27" s="539">
        <v>0</v>
      </c>
      <c r="F27" s="539">
        <v>0</v>
      </c>
      <c r="G27" s="537">
        <v>1.5</v>
      </c>
      <c r="H27" s="536">
        <v>3.5</v>
      </c>
      <c r="I27" s="536">
        <v>0</v>
      </c>
      <c r="J27" s="536">
        <v>0</v>
      </c>
      <c r="K27" s="536">
        <v>0</v>
      </c>
      <c r="L27" s="536">
        <v>0</v>
      </c>
      <c r="M27" s="537">
        <v>3.5</v>
      </c>
      <c r="N27" s="413">
        <v>1.3333333333333333</v>
      </c>
      <c r="O27" s="497" t="s">
        <v>699</v>
      </c>
      <c r="P27" s="540" t="s">
        <v>700</v>
      </c>
    </row>
    <row r="28" spans="1:16" ht="17">
      <c r="A28" s="498" t="s">
        <v>618</v>
      </c>
      <c r="B28" s="539">
        <v>0.1</v>
      </c>
      <c r="C28" s="539">
        <v>0</v>
      </c>
      <c r="D28" s="539">
        <v>0</v>
      </c>
      <c r="E28" s="539">
        <v>0</v>
      </c>
      <c r="F28" s="539">
        <v>0</v>
      </c>
      <c r="G28" s="537">
        <v>0.1</v>
      </c>
      <c r="H28" s="536">
        <v>0.1</v>
      </c>
      <c r="I28" s="536">
        <v>0</v>
      </c>
      <c r="J28" s="536">
        <v>0</v>
      </c>
      <c r="K28" s="536">
        <v>0</v>
      </c>
      <c r="L28" s="536">
        <v>0</v>
      </c>
      <c r="M28" s="537">
        <v>0.1</v>
      </c>
      <c r="N28" s="413">
        <v>0</v>
      </c>
      <c r="O28" s="497" t="s">
        <v>701</v>
      </c>
      <c r="P28" s="540" t="s">
        <v>293</v>
      </c>
    </row>
    <row r="29" spans="1:16" ht="17">
      <c r="A29" s="497" t="s">
        <v>619</v>
      </c>
      <c r="B29" s="539">
        <v>-0.06</v>
      </c>
      <c r="C29" s="539">
        <v>0</v>
      </c>
      <c r="D29" s="539">
        <v>0</v>
      </c>
      <c r="E29" s="539">
        <v>0</v>
      </c>
      <c r="F29" s="539">
        <v>0</v>
      </c>
      <c r="G29" s="537">
        <v>-0.06</v>
      </c>
      <c r="H29" s="536">
        <v>-0.06</v>
      </c>
      <c r="I29" s="536">
        <v>0</v>
      </c>
      <c r="J29" s="536">
        <v>0</v>
      </c>
      <c r="K29" s="536">
        <v>0</v>
      </c>
      <c r="L29" s="536">
        <v>0</v>
      </c>
      <c r="M29" s="537">
        <v>-0.06</v>
      </c>
      <c r="N29" s="413">
        <v>0</v>
      </c>
      <c r="O29" s="497" t="s">
        <v>702</v>
      </c>
      <c r="P29" s="540" t="s">
        <v>293</v>
      </c>
    </row>
    <row r="30" spans="1:16" ht="17">
      <c r="A30" s="499" t="s">
        <v>620</v>
      </c>
      <c r="B30" s="248">
        <v>2.4900000000000002</v>
      </c>
      <c r="C30" s="248">
        <v>0</v>
      </c>
      <c r="D30" s="248">
        <v>0</v>
      </c>
      <c r="E30" s="248">
        <v>0</v>
      </c>
      <c r="F30" s="248">
        <v>0</v>
      </c>
      <c r="G30" s="248">
        <v>2.4900000000000002</v>
      </c>
      <c r="H30" s="248">
        <v>4.49</v>
      </c>
      <c r="I30" s="248">
        <v>0</v>
      </c>
      <c r="J30" s="248">
        <v>0</v>
      </c>
      <c r="K30" s="248">
        <v>0</v>
      </c>
      <c r="L30" s="248">
        <v>0</v>
      </c>
      <c r="M30" s="248">
        <v>4.49</v>
      </c>
      <c r="N30" s="419">
        <v>0.80321285140562237</v>
      </c>
      <c r="O30" s="541"/>
      <c r="P30" s="513"/>
    </row>
    <row r="31" spans="1:16" ht="68">
      <c r="A31" s="504" t="s">
        <v>621</v>
      </c>
      <c r="B31" s="539">
        <v>36.320999999999998</v>
      </c>
      <c r="C31" s="555">
        <v>0</v>
      </c>
      <c r="D31" s="555">
        <v>0</v>
      </c>
      <c r="E31" s="555">
        <v>0</v>
      </c>
      <c r="F31" s="555">
        <v>0</v>
      </c>
      <c r="G31" s="537">
        <v>36.320999999999998</v>
      </c>
      <c r="H31" s="536">
        <v>36.320999999999998</v>
      </c>
      <c r="I31" s="536">
        <v>0</v>
      </c>
      <c r="J31" s="536">
        <v>0</v>
      </c>
      <c r="K31" s="536">
        <v>0</v>
      </c>
      <c r="L31" s="536">
        <v>0</v>
      </c>
      <c r="M31" s="537">
        <v>36.320999999999998</v>
      </c>
      <c r="N31" s="413">
        <v>0</v>
      </c>
      <c r="O31" s="497" t="s">
        <v>703</v>
      </c>
      <c r="P31" s="540" t="s">
        <v>293</v>
      </c>
    </row>
    <row r="32" spans="1:16" ht="16">
      <c r="A32" s="505"/>
      <c r="B32" s="556"/>
      <c r="C32" s="556"/>
      <c r="D32" s="556"/>
      <c r="E32" s="556"/>
      <c r="F32" s="556"/>
      <c r="G32" s="556"/>
      <c r="H32" s="556"/>
      <c r="I32" s="556"/>
      <c r="J32" s="556"/>
      <c r="K32" s="556"/>
      <c r="L32" s="556"/>
      <c r="M32" s="556"/>
      <c r="N32" s="557"/>
      <c r="O32" s="505"/>
      <c r="P32" s="558"/>
    </row>
    <row r="33" spans="1:16" ht="17">
      <c r="A33" s="500" t="s">
        <v>622</v>
      </c>
      <c r="B33" s="547">
        <v>38.811</v>
      </c>
      <c r="C33" s="547">
        <v>0</v>
      </c>
      <c r="D33" s="547">
        <v>0</v>
      </c>
      <c r="E33" s="547">
        <v>0</v>
      </c>
      <c r="F33" s="547">
        <v>0</v>
      </c>
      <c r="G33" s="547">
        <v>38.811</v>
      </c>
      <c r="H33" s="547">
        <v>40.811</v>
      </c>
      <c r="I33" s="547">
        <v>0</v>
      </c>
      <c r="J33" s="547">
        <v>0</v>
      </c>
      <c r="K33" s="547">
        <v>0</v>
      </c>
      <c r="L33" s="547">
        <v>0</v>
      </c>
      <c r="M33" s="547">
        <v>40.811</v>
      </c>
      <c r="N33" s="548">
        <v>5.1531782226688312E-2</v>
      </c>
      <c r="O33" s="559"/>
      <c r="P33" s="550"/>
    </row>
    <row r="34" spans="1:16" ht="16">
      <c r="A34" s="502"/>
      <c r="B34" s="553"/>
      <c r="C34" s="553"/>
      <c r="D34" s="553"/>
      <c r="E34" s="553"/>
      <c r="F34" s="553"/>
      <c r="G34" s="553"/>
      <c r="H34" s="553"/>
      <c r="I34" s="553"/>
      <c r="J34" s="553"/>
      <c r="K34" s="553"/>
      <c r="L34" s="553"/>
      <c r="M34" s="553"/>
      <c r="N34" s="560"/>
      <c r="O34" s="502"/>
      <c r="P34" s="502"/>
    </row>
    <row r="35" spans="1:16" ht="17">
      <c r="A35" s="501" t="s">
        <v>623</v>
      </c>
      <c r="B35" s="235"/>
      <c r="C35" s="235"/>
      <c r="D35" s="235"/>
      <c r="E35" s="235"/>
      <c r="F35" s="235"/>
      <c r="G35" s="235"/>
      <c r="H35" s="235"/>
      <c r="I35" s="235"/>
      <c r="J35" s="235"/>
      <c r="K35" s="235"/>
      <c r="L35" s="235"/>
      <c r="M35" s="235"/>
      <c r="N35" s="552"/>
      <c r="O35" s="532"/>
      <c r="P35" s="532"/>
    </row>
    <row r="36" spans="1:16" ht="17">
      <c r="A36" s="504" t="s">
        <v>624</v>
      </c>
      <c r="B36" s="539">
        <v>13.826000000000001</v>
      </c>
      <c r="C36" s="555">
        <v>0</v>
      </c>
      <c r="D36" s="555">
        <v>0</v>
      </c>
      <c r="E36" s="555">
        <v>0</v>
      </c>
      <c r="F36" s="555">
        <v>0</v>
      </c>
      <c r="G36" s="537">
        <v>13.826000000000001</v>
      </c>
      <c r="H36" s="536">
        <v>13.826000000000001</v>
      </c>
      <c r="I36" s="536">
        <v>0</v>
      </c>
      <c r="J36" s="536">
        <v>0</v>
      </c>
      <c r="K36" s="536">
        <v>0</v>
      </c>
      <c r="L36" s="536">
        <v>0</v>
      </c>
      <c r="M36" s="537">
        <v>13.826000000000001</v>
      </c>
      <c r="N36" s="413">
        <v>0</v>
      </c>
      <c r="O36" s="497" t="s">
        <v>704</v>
      </c>
      <c r="P36" s="540" t="s">
        <v>293</v>
      </c>
    </row>
    <row r="37" spans="1:16" ht="34">
      <c r="A37" s="504" t="s">
        <v>625</v>
      </c>
      <c r="B37" s="539">
        <v>1.7829999999999999</v>
      </c>
      <c r="C37" s="555">
        <v>0</v>
      </c>
      <c r="D37" s="555">
        <v>0</v>
      </c>
      <c r="E37" s="555">
        <v>0</v>
      </c>
      <c r="F37" s="555">
        <v>0</v>
      </c>
      <c r="G37" s="537">
        <v>1.7829999999999999</v>
      </c>
      <c r="H37" s="536">
        <v>1.819</v>
      </c>
      <c r="I37" s="536">
        <v>0</v>
      </c>
      <c r="J37" s="536">
        <v>0</v>
      </c>
      <c r="K37" s="536">
        <v>0</v>
      </c>
      <c r="L37" s="536">
        <v>0</v>
      </c>
      <c r="M37" s="537">
        <v>1.819</v>
      </c>
      <c r="N37" s="413">
        <v>2.0190689848569844E-2</v>
      </c>
      <c r="O37" s="497" t="s">
        <v>705</v>
      </c>
      <c r="P37" s="540" t="s">
        <v>706</v>
      </c>
    </row>
    <row r="38" spans="1:16" ht="17">
      <c r="A38" s="500" t="s">
        <v>626</v>
      </c>
      <c r="B38" s="547">
        <v>15.609</v>
      </c>
      <c r="C38" s="547">
        <v>0</v>
      </c>
      <c r="D38" s="547">
        <v>0</v>
      </c>
      <c r="E38" s="547">
        <v>0</v>
      </c>
      <c r="F38" s="547">
        <v>0</v>
      </c>
      <c r="G38" s="547">
        <v>15.609</v>
      </c>
      <c r="H38" s="547">
        <v>15.645</v>
      </c>
      <c r="I38" s="547">
        <v>0</v>
      </c>
      <c r="J38" s="547">
        <v>0</v>
      </c>
      <c r="K38" s="547">
        <v>0</v>
      </c>
      <c r="L38" s="547">
        <v>0</v>
      </c>
      <c r="M38" s="547">
        <v>15.645</v>
      </c>
      <c r="N38" s="548">
        <v>2.3063617143955148E-3</v>
      </c>
      <c r="O38" s="549"/>
      <c r="P38" s="550"/>
    </row>
    <row r="39" spans="1:16" ht="16">
      <c r="A39" s="502"/>
      <c r="B39" s="551"/>
      <c r="C39" s="551"/>
      <c r="D39" s="551"/>
      <c r="E39" s="551"/>
      <c r="F39" s="551"/>
      <c r="G39" s="551"/>
      <c r="H39" s="551"/>
      <c r="I39" s="551"/>
      <c r="J39" s="551"/>
      <c r="K39" s="551"/>
      <c r="L39" s="551"/>
      <c r="M39" s="551"/>
      <c r="N39" s="530"/>
      <c r="O39" s="502"/>
      <c r="P39" s="502"/>
    </row>
    <row r="40" spans="1:16" ht="17">
      <c r="A40" s="501" t="s">
        <v>627</v>
      </c>
      <c r="B40" s="235"/>
      <c r="C40" s="235"/>
      <c r="D40" s="235"/>
      <c r="E40" s="235"/>
      <c r="F40" s="235"/>
      <c r="G40" s="235"/>
      <c r="H40" s="235"/>
      <c r="I40" s="235"/>
      <c r="J40" s="235"/>
      <c r="K40" s="235"/>
      <c r="L40" s="235"/>
      <c r="M40" s="235"/>
      <c r="N40" s="552"/>
      <c r="O40" s="532"/>
      <c r="P40" s="532"/>
    </row>
    <row r="41" spans="1:16" ht="16">
      <c r="A41" s="502"/>
      <c r="B41" s="551"/>
      <c r="C41" s="551"/>
      <c r="D41" s="551"/>
      <c r="E41" s="551"/>
      <c r="F41" s="551"/>
      <c r="G41" s="551"/>
      <c r="H41" s="551"/>
      <c r="I41" s="551"/>
      <c r="J41" s="551"/>
      <c r="K41" s="551"/>
      <c r="L41" s="551"/>
      <c r="M41" s="551"/>
      <c r="N41" s="530"/>
      <c r="O41" s="502"/>
      <c r="P41" s="502"/>
    </row>
    <row r="42" spans="1:16" ht="85">
      <c r="A42" s="506" t="s">
        <v>628</v>
      </c>
      <c r="B42" s="539">
        <v>12.9</v>
      </c>
      <c r="C42" s="561">
        <v>0.55000000000000004</v>
      </c>
      <c r="D42" s="561">
        <v>0.1</v>
      </c>
      <c r="E42" s="561">
        <v>0</v>
      </c>
      <c r="F42" s="561">
        <v>0</v>
      </c>
      <c r="G42" s="562">
        <v>13.55</v>
      </c>
      <c r="H42" s="536">
        <v>14.1</v>
      </c>
      <c r="I42" s="536">
        <v>0.55000000000000004</v>
      </c>
      <c r="J42" s="536">
        <v>0.1</v>
      </c>
      <c r="K42" s="536">
        <v>0</v>
      </c>
      <c r="L42" s="536">
        <v>0</v>
      </c>
      <c r="M42" s="562">
        <v>14.75</v>
      </c>
      <c r="N42" s="413">
        <v>8.8560885608856027E-2</v>
      </c>
      <c r="O42" s="505" t="s">
        <v>707</v>
      </c>
      <c r="P42" s="558" t="s">
        <v>708</v>
      </c>
    </row>
    <row r="43" spans="1:16" ht="68">
      <c r="A43" s="506" t="s">
        <v>629</v>
      </c>
      <c r="B43" s="539">
        <v>138.30000000000001</v>
      </c>
      <c r="C43" s="561">
        <v>0</v>
      </c>
      <c r="D43" s="561">
        <v>0</v>
      </c>
      <c r="E43" s="561">
        <v>0</v>
      </c>
      <c r="F43" s="561">
        <v>0</v>
      </c>
      <c r="G43" s="537">
        <v>138.30000000000001</v>
      </c>
      <c r="H43" s="536">
        <v>141.30000000000001</v>
      </c>
      <c r="I43" s="536">
        <v>0</v>
      </c>
      <c r="J43" s="536">
        <v>0</v>
      </c>
      <c r="K43" s="536">
        <v>0</v>
      </c>
      <c r="L43" s="536">
        <v>0</v>
      </c>
      <c r="M43" s="537">
        <v>141.30000000000001</v>
      </c>
      <c r="N43" s="413">
        <v>2.1691973969631236E-2</v>
      </c>
      <c r="O43" s="505" t="s">
        <v>709</v>
      </c>
      <c r="P43" s="558" t="s">
        <v>710</v>
      </c>
    </row>
    <row r="44" spans="1:16" ht="16">
      <c r="A44" s="493"/>
      <c r="B44" s="551"/>
      <c r="C44" s="551"/>
      <c r="D44" s="551"/>
      <c r="E44" s="551"/>
      <c r="F44" s="551"/>
      <c r="G44" s="551"/>
      <c r="H44" s="551"/>
      <c r="I44" s="551"/>
      <c r="J44" s="551"/>
      <c r="K44" s="551"/>
      <c r="L44" s="551"/>
      <c r="M44" s="551"/>
      <c r="N44" s="530"/>
      <c r="O44" s="502"/>
      <c r="P44" s="502"/>
    </row>
    <row r="45" spans="1:16" ht="17">
      <c r="A45" s="500" t="s">
        <v>630</v>
      </c>
      <c r="B45" s="547">
        <v>151.20000000000002</v>
      </c>
      <c r="C45" s="547">
        <v>0.55000000000000004</v>
      </c>
      <c r="D45" s="547">
        <v>0.1</v>
      </c>
      <c r="E45" s="547">
        <v>0</v>
      </c>
      <c r="F45" s="547">
        <v>0</v>
      </c>
      <c r="G45" s="547">
        <v>151.85000000000002</v>
      </c>
      <c r="H45" s="547">
        <v>155.4</v>
      </c>
      <c r="I45" s="547">
        <v>0.55000000000000004</v>
      </c>
      <c r="J45" s="547">
        <v>0.1</v>
      </c>
      <c r="K45" s="547">
        <v>0</v>
      </c>
      <c r="L45" s="547">
        <v>0</v>
      </c>
      <c r="M45" s="547">
        <v>156.05000000000001</v>
      </c>
      <c r="N45" s="548">
        <v>2.765887388870588E-2</v>
      </c>
      <c r="O45" s="549"/>
      <c r="P45" s="550"/>
    </row>
    <row r="46" spans="1:16" ht="16">
      <c r="A46" s="502"/>
      <c r="B46" s="551"/>
      <c r="C46" s="551"/>
      <c r="D46" s="551"/>
      <c r="E46" s="551"/>
      <c r="F46" s="551"/>
      <c r="G46" s="551"/>
      <c r="H46" s="551"/>
      <c r="I46" s="551"/>
      <c r="J46" s="551"/>
      <c r="K46" s="551"/>
      <c r="L46" s="551"/>
      <c r="M46" s="551"/>
      <c r="N46" s="530"/>
      <c r="O46" s="502"/>
      <c r="P46" s="502"/>
    </row>
    <row r="47" spans="1:16" ht="17">
      <c r="A47" s="507" t="s">
        <v>631</v>
      </c>
      <c r="B47" s="563"/>
      <c r="C47" s="563"/>
      <c r="D47" s="563"/>
      <c r="E47" s="563"/>
      <c r="F47" s="563"/>
      <c r="G47" s="563"/>
      <c r="H47" s="563"/>
      <c r="I47" s="563"/>
      <c r="J47" s="563"/>
      <c r="K47" s="563"/>
      <c r="L47" s="563"/>
      <c r="M47" s="563"/>
      <c r="N47" s="564"/>
      <c r="O47" s="565"/>
      <c r="P47" s="566"/>
    </row>
    <row r="48" spans="1:16" ht="16">
      <c r="A48" s="502"/>
      <c r="B48" s="551"/>
      <c r="C48" s="551"/>
      <c r="D48" s="551"/>
      <c r="E48" s="551"/>
      <c r="F48" s="551"/>
      <c r="G48" s="551"/>
      <c r="H48" s="551"/>
      <c r="I48" s="551"/>
      <c r="J48" s="551"/>
      <c r="K48" s="551"/>
      <c r="L48" s="551"/>
      <c r="M48" s="551"/>
      <c r="N48" s="530"/>
      <c r="O48" s="502"/>
      <c r="P48" s="502"/>
    </row>
    <row r="49" spans="1:16" ht="51">
      <c r="A49" s="508" t="s">
        <v>632</v>
      </c>
      <c r="B49" s="539">
        <v>14.24</v>
      </c>
      <c r="C49" s="561">
        <v>0.16400000000000001</v>
      </c>
      <c r="D49" s="561">
        <v>0</v>
      </c>
      <c r="E49" s="561">
        <v>0</v>
      </c>
      <c r="F49" s="561">
        <v>0</v>
      </c>
      <c r="G49" s="562">
        <v>14.404</v>
      </c>
      <c r="H49" s="536">
        <v>15.154</v>
      </c>
      <c r="I49" s="536">
        <v>1.2E-2</v>
      </c>
      <c r="J49" s="536">
        <v>0</v>
      </c>
      <c r="K49" s="536">
        <v>0</v>
      </c>
      <c r="L49" s="536">
        <v>0</v>
      </c>
      <c r="M49" s="562">
        <v>15.166</v>
      </c>
      <c r="N49" s="413">
        <v>5.2901971674534885E-2</v>
      </c>
      <c r="O49" s="505" t="s">
        <v>711</v>
      </c>
      <c r="P49" s="540" t="s">
        <v>712</v>
      </c>
    </row>
    <row r="50" spans="1:16" ht="16">
      <c r="A50" s="502"/>
      <c r="B50" s="551"/>
      <c r="C50" s="551"/>
      <c r="D50" s="551"/>
      <c r="E50" s="551"/>
      <c r="F50" s="551"/>
      <c r="G50" s="551"/>
      <c r="H50" s="551"/>
      <c r="I50" s="551"/>
      <c r="J50" s="551"/>
      <c r="K50" s="551"/>
      <c r="L50" s="551"/>
      <c r="M50" s="551"/>
      <c r="N50" s="530"/>
      <c r="O50" s="502"/>
      <c r="P50" s="502"/>
    </row>
    <row r="51" spans="1:16" ht="34">
      <c r="A51" s="500" t="s">
        <v>633</v>
      </c>
      <c r="B51" s="547">
        <v>14.24</v>
      </c>
      <c r="C51" s="547">
        <v>0.16400000000000001</v>
      </c>
      <c r="D51" s="547">
        <v>0</v>
      </c>
      <c r="E51" s="547">
        <v>0</v>
      </c>
      <c r="F51" s="547">
        <v>0</v>
      </c>
      <c r="G51" s="547">
        <v>14.404</v>
      </c>
      <c r="H51" s="547">
        <v>15.154</v>
      </c>
      <c r="I51" s="547">
        <v>1.2E-2</v>
      </c>
      <c r="J51" s="547">
        <v>0</v>
      </c>
      <c r="K51" s="547">
        <v>0</v>
      </c>
      <c r="L51" s="547">
        <v>0</v>
      </c>
      <c r="M51" s="547">
        <v>15.166</v>
      </c>
      <c r="N51" s="548">
        <v>5.2901971674534885E-2</v>
      </c>
      <c r="O51" s="567"/>
      <c r="P51" s="550"/>
    </row>
    <row r="52" spans="1:16" ht="16">
      <c r="A52" s="502"/>
      <c r="B52" s="551"/>
      <c r="C52" s="551"/>
      <c r="D52" s="551"/>
      <c r="E52" s="551"/>
      <c r="F52" s="551"/>
      <c r="G52" s="551"/>
      <c r="H52" s="551"/>
      <c r="I52" s="551"/>
      <c r="J52" s="551"/>
      <c r="K52" s="551"/>
      <c r="L52" s="551"/>
      <c r="M52" s="551"/>
      <c r="N52" s="530"/>
      <c r="O52" s="502"/>
      <c r="P52" s="502"/>
    </row>
    <row r="53" spans="1:16" ht="17">
      <c r="A53" s="501" t="s">
        <v>634</v>
      </c>
      <c r="B53" s="235"/>
      <c r="C53" s="235"/>
      <c r="D53" s="235"/>
      <c r="E53" s="235"/>
      <c r="F53" s="235"/>
      <c r="G53" s="235"/>
      <c r="H53" s="235"/>
      <c r="I53" s="235"/>
      <c r="J53" s="235"/>
      <c r="K53" s="235"/>
      <c r="L53" s="235"/>
      <c r="M53" s="235"/>
      <c r="N53" s="552"/>
      <c r="O53" s="532"/>
      <c r="P53" s="532"/>
    </row>
    <row r="54" spans="1:16" ht="16">
      <c r="A54" s="502"/>
      <c r="B54" s="551"/>
      <c r="C54" s="551"/>
      <c r="D54" s="551"/>
      <c r="E54" s="551"/>
      <c r="F54" s="551"/>
      <c r="G54" s="551"/>
      <c r="H54" s="551"/>
      <c r="I54" s="551"/>
      <c r="J54" s="551"/>
      <c r="K54" s="551"/>
      <c r="L54" s="551"/>
      <c r="M54" s="551"/>
      <c r="N54" s="530"/>
      <c r="O54" s="502"/>
      <c r="P54" s="502"/>
    </row>
    <row r="55" spans="1:16" ht="17">
      <c r="A55" s="495" t="s">
        <v>635</v>
      </c>
      <c r="B55" s="224"/>
      <c r="C55" s="224"/>
      <c r="D55" s="224"/>
      <c r="E55" s="224"/>
      <c r="F55" s="224"/>
      <c r="G55" s="224"/>
      <c r="H55" s="224"/>
      <c r="I55" s="224"/>
      <c r="J55" s="224"/>
      <c r="K55" s="224"/>
      <c r="L55" s="224"/>
      <c r="M55" s="224"/>
      <c r="N55" s="534"/>
      <c r="O55" s="535"/>
      <c r="P55" s="568"/>
    </row>
    <row r="56" spans="1:16" ht="51">
      <c r="A56" s="497" t="s">
        <v>636</v>
      </c>
      <c r="B56" s="539">
        <v>75.376000000000005</v>
      </c>
      <c r="C56" s="556">
        <v>0</v>
      </c>
      <c r="D56" s="556">
        <v>2.5</v>
      </c>
      <c r="E56" s="556">
        <v>0</v>
      </c>
      <c r="F56" s="556">
        <v>0</v>
      </c>
      <c r="G56" s="537">
        <v>77.876000000000005</v>
      </c>
      <c r="H56" s="536">
        <v>63.381</v>
      </c>
      <c r="I56" s="536">
        <v>0</v>
      </c>
      <c r="J56" s="536">
        <v>9</v>
      </c>
      <c r="K56" s="536">
        <v>0</v>
      </c>
      <c r="L56" s="536">
        <v>0</v>
      </c>
      <c r="M56" s="537">
        <v>72.381</v>
      </c>
      <c r="N56" s="413">
        <v>-7.0560891673943249E-2</v>
      </c>
      <c r="O56" s="505" t="s">
        <v>713</v>
      </c>
      <c r="P56" s="558" t="s">
        <v>714</v>
      </c>
    </row>
    <row r="57" spans="1:16" ht="34">
      <c r="A57" s="499" t="s">
        <v>637</v>
      </c>
      <c r="B57" s="248">
        <v>75.376000000000005</v>
      </c>
      <c r="C57" s="248">
        <v>0</v>
      </c>
      <c r="D57" s="248">
        <v>2.5</v>
      </c>
      <c r="E57" s="248">
        <v>0</v>
      </c>
      <c r="F57" s="248">
        <v>0</v>
      </c>
      <c r="G57" s="248">
        <v>77.876000000000005</v>
      </c>
      <c r="H57" s="248">
        <v>63.381</v>
      </c>
      <c r="I57" s="248">
        <v>0</v>
      </c>
      <c r="J57" s="248">
        <v>9</v>
      </c>
      <c r="K57" s="248">
        <v>0</v>
      </c>
      <c r="L57" s="248">
        <v>0</v>
      </c>
      <c r="M57" s="248">
        <v>72.381</v>
      </c>
      <c r="N57" s="419">
        <v>-7.0560891673943249E-2</v>
      </c>
      <c r="O57" s="541"/>
      <c r="P57" s="513"/>
    </row>
    <row r="58" spans="1:16" ht="16">
      <c r="A58" s="493"/>
      <c r="B58" s="551"/>
      <c r="C58" s="551"/>
      <c r="D58" s="551"/>
      <c r="E58" s="551"/>
      <c r="F58" s="551"/>
      <c r="G58" s="551"/>
      <c r="H58" s="551"/>
      <c r="I58" s="551"/>
      <c r="J58" s="551"/>
      <c r="K58" s="551"/>
      <c r="L58" s="551"/>
      <c r="M58" s="551"/>
      <c r="N58" s="530"/>
      <c r="O58" s="502"/>
      <c r="P58" s="502"/>
    </row>
    <row r="59" spans="1:16" ht="17">
      <c r="A59" s="495" t="s">
        <v>638</v>
      </c>
      <c r="B59" s="224"/>
      <c r="C59" s="224"/>
      <c r="D59" s="224"/>
      <c r="E59" s="224"/>
      <c r="F59" s="224"/>
      <c r="G59" s="224"/>
      <c r="H59" s="224"/>
      <c r="I59" s="224"/>
      <c r="J59" s="224"/>
      <c r="K59" s="224"/>
      <c r="L59" s="224"/>
      <c r="M59" s="224"/>
      <c r="N59" s="534"/>
      <c r="O59" s="535"/>
      <c r="P59" s="568"/>
    </row>
    <row r="60" spans="1:16" ht="34">
      <c r="A60" s="509" t="s">
        <v>639</v>
      </c>
      <c r="B60" s="536">
        <v>-2.0910000000000002</v>
      </c>
      <c r="C60" s="569">
        <v>2.5</v>
      </c>
      <c r="D60" s="569">
        <v>0</v>
      </c>
      <c r="E60" s="569">
        <v>0</v>
      </c>
      <c r="F60" s="569">
        <v>0</v>
      </c>
      <c r="G60" s="537">
        <v>0.40899999999999981</v>
      </c>
      <c r="H60" s="536">
        <v>-2.0910000000000002</v>
      </c>
      <c r="I60" s="536">
        <v>2.5</v>
      </c>
      <c r="J60" s="536">
        <v>1</v>
      </c>
      <c r="K60" s="536">
        <v>0</v>
      </c>
      <c r="L60" s="536">
        <v>0</v>
      </c>
      <c r="M60" s="537">
        <v>1.4089999999999998</v>
      </c>
      <c r="N60" s="413">
        <v>2.4449877750611257</v>
      </c>
      <c r="O60" s="496" t="s">
        <v>715</v>
      </c>
      <c r="P60" s="538" t="s">
        <v>1775</v>
      </c>
    </row>
    <row r="61" spans="1:16" ht="17">
      <c r="A61" s="499" t="s">
        <v>640</v>
      </c>
      <c r="B61" s="248">
        <v>-2.0910000000000002</v>
      </c>
      <c r="C61" s="248">
        <v>2.5</v>
      </c>
      <c r="D61" s="248">
        <v>0</v>
      </c>
      <c r="E61" s="248">
        <v>0</v>
      </c>
      <c r="F61" s="248">
        <v>0</v>
      </c>
      <c r="G61" s="248">
        <v>0.40899999999999981</v>
      </c>
      <c r="H61" s="248">
        <v>-2.0910000000000002</v>
      </c>
      <c r="I61" s="248">
        <v>2.5</v>
      </c>
      <c r="J61" s="248">
        <v>1</v>
      </c>
      <c r="K61" s="248">
        <v>0</v>
      </c>
      <c r="L61" s="248">
        <v>0</v>
      </c>
      <c r="M61" s="248">
        <v>1.4089999999999998</v>
      </c>
      <c r="N61" s="419">
        <v>2.4449877750611257</v>
      </c>
      <c r="O61" s="541"/>
      <c r="P61" s="513"/>
    </row>
    <row r="62" spans="1:16" ht="16">
      <c r="A62" s="493"/>
      <c r="B62" s="551"/>
      <c r="C62" s="551"/>
      <c r="D62" s="551"/>
      <c r="E62" s="551"/>
      <c r="F62" s="551"/>
      <c r="G62" s="551"/>
      <c r="H62" s="551"/>
      <c r="I62" s="551"/>
      <c r="J62" s="551"/>
      <c r="K62" s="551"/>
      <c r="L62" s="551"/>
      <c r="M62" s="551"/>
      <c r="N62" s="560"/>
      <c r="O62" s="570"/>
      <c r="P62" s="502"/>
    </row>
    <row r="63" spans="1:16" ht="17">
      <c r="A63" s="500" t="s">
        <v>641</v>
      </c>
      <c r="B63" s="547">
        <v>73.285000000000011</v>
      </c>
      <c r="C63" s="547">
        <v>2.5</v>
      </c>
      <c r="D63" s="547">
        <v>2.5</v>
      </c>
      <c r="E63" s="547">
        <v>0</v>
      </c>
      <c r="F63" s="547">
        <v>0</v>
      </c>
      <c r="G63" s="547">
        <v>78.285000000000011</v>
      </c>
      <c r="H63" s="547">
        <v>61.29</v>
      </c>
      <c r="I63" s="547">
        <v>2.5</v>
      </c>
      <c r="J63" s="547">
        <v>10</v>
      </c>
      <c r="K63" s="547">
        <v>0</v>
      </c>
      <c r="L63" s="547">
        <v>0</v>
      </c>
      <c r="M63" s="547">
        <v>73.790000000000006</v>
      </c>
      <c r="N63" s="548">
        <v>-5.7418407102254633E-2</v>
      </c>
      <c r="O63" s="549"/>
      <c r="P63" s="550"/>
    </row>
    <row r="64" spans="1:16" ht="16">
      <c r="A64" s="502"/>
      <c r="B64" s="551"/>
      <c r="C64" s="551"/>
      <c r="D64" s="551"/>
      <c r="E64" s="551"/>
      <c r="F64" s="551"/>
      <c r="G64" s="551"/>
      <c r="H64" s="551"/>
      <c r="I64" s="551"/>
      <c r="J64" s="551"/>
      <c r="K64" s="551"/>
      <c r="L64" s="551"/>
      <c r="M64" s="551"/>
      <c r="N64" s="530"/>
      <c r="O64" s="502"/>
      <c r="P64" s="502"/>
    </row>
    <row r="65" spans="1:16" ht="17">
      <c r="A65" s="501" t="s">
        <v>642</v>
      </c>
      <c r="B65" s="235"/>
      <c r="C65" s="235"/>
      <c r="D65" s="235"/>
      <c r="E65" s="235"/>
      <c r="F65" s="235"/>
      <c r="G65" s="235"/>
      <c r="H65" s="235"/>
      <c r="I65" s="235"/>
      <c r="J65" s="235"/>
      <c r="K65" s="235"/>
      <c r="L65" s="235"/>
      <c r="M65" s="235"/>
      <c r="N65" s="552"/>
      <c r="O65" s="532"/>
      <c r="P65" s="532"/>
    </row>
    <row r="66" spans="1:16" ht="16">
      <c r="A66" s="502"/>
      <c r="B66" s="551"/>
      <c r="C66" s="551"/>
      <c r="D66" s="551"/>
      <c r="E66" s="551"/>
      <c r="F66" s="551"/>
      <c r="G66" s="551"/>
      <c r="H66" s="551"/>
      <c r="I66" s="551"/>
      <c r="J66" s="551"/>
      <c r="K66" s="551"/>
      <c r="L66" s="551"/>
      <c r="M66" s="551"/>
      <c r="N66" s="530"/>
      <c r="O66" s="502"/>
      <c r="P66" s="502"/>
    </row>
    <row r="67" spans="1:16" ht="34">
      <c r="A67" s="508" t="s">
        <v>643</v>
      </c>
      <c r="B67" s="539">
        <v>278.39999999999998</v>
      </c>
      <c r="C67" s="561">
        <v>0</v>
      </c>
      <c r="D67" s="561">
        <v>0</v>
      </c>
      <c r="E67" s="561">
        <v>0</v>
      </c>
      <c r="F67" s="561">
        <v>0</v>
      </c>
      <c r="G67" s="562">
        <v>278.39999999999998</v>
      </c>
      <c r="H67" s="536">
        <v>291.39999999999998</v>
      </c>
      <c r="I67" s="536">
        <v>0</v>
      </c>
      <c r="J67" s="536">
        <v>0</v>
      </c>
      <c r="K67" s="536">
        <v>0</v>
      </c>
      <c r="L67" s="536">
        <v>0</v>
      </c>
      <c r="M67" s="562">
        <v>291.39999999999998</v>
      </c>
      <c r="N67" s="413">
        <v>4.669540229885058E-2</v>
      </c>
      <c r="O67" s="505" t="s">
        <v>716</v>
      </c>
      <c r="P67" s="558" t="s">
        <v>717</v>
      </c>
    </row>
    <row r="68" spans="1:16" ht="34">
      <c r="A68" s="508" t="s">
        <v>644</v>
      </c>
      <c r="B68" s="539">
        <v>72.2</v>
      </c>
      <c r="C68" s="561">
        <v>0</v>
      </c>
      <c r="D68" s="561">
        <v>0</v>
      </c>
      <c r="E68" s="561">
        <v>0</v>
      </c>
      <c r="F68" s="561">
        <v>0</v>
      </c>
      <c r="G68" s="537">
        <v>72.2</v>
      </c>
      <c r="H68" s="536">
        <v>109.2</v>
      </c>
      <c r="I68" s="536">
        <v>0</v>
      </c>
      <c r="J68" s="536">
        <v>0</v>
      </c>
      <c r="K68" s="536">
        <v>0</v>
      </c>
      <c r="L68" s="536">
        <v>0</v>
      </c>
      <c r="M68" s="537">
        <v>109.2</v>
      </c>
      <c r="N68" s="413">
        <v>0.51246537396121883</v>
      </c>
      <c r="O68" s="505" t="s">
        <v>718</v>
      </c>
      <c r="P68" s="558" t="s">
        <v>717</v>
      </c>
    </row>
    <row r="69" spans="1:16" ht="17">
      <c r="A69" s="500" t="s">
        <v>645</v>
      </c>
      <c r="B69" s="547">
        <v>350.59999999999997</v>
      </c>
      <c r="C69" s="547">
        <v>0</v>
      </c>
      <c r="D69" s="547">
        <v>0</v>
      </c>
      <c r="E69" s="547">
        <v>0</v>
      </c>
      <c r="F69" s="547">
        <v>0</v>
      </c>
      <c r="G69" s="547">
        <v>350.59999999999997</v>
      </c>
      <c r="H69" s="547">
        <v>400.59999999999997</v>
      </c>
      <c r="I69" s="547">
        <v>0</v>
      </c>
      <c r="J69" s="547">
        <v>0</v>
      </c>
      <c r="K69" s="547">
        <v>0</v>
      </c>
      <c r="L69" s="547">
        <v>0</v>
      </c>
      <c r="M69" s="547">
        <v>400.59999999999997</v>
      </c>
      <c r="N69" s="548">
        <v>0.14261266400456363</v>
      </c>
      <c r="O69" s="549"/>
      <c r="P69" s="550"/>
    </row>
    <row r="70" spans="1:16" ht="16">
      <c r="A70" s="502"/>
      <c r="B70" s="553"/>
      <c r="C70" s="553"/>
      <c r="D70" s="553"/>
      <c r="E70" s="553"/>
      <c r="F70" s="553"/>
      <c r="G70" s="553"/>
      <c r="H70" s="553"/>
      <c r="I70" s="553"/>
      <c r="J70" s="553"/>
      <c r="K70" s="553"/>
      <c r="L70" s="553"/>
      <c r="M70" s="553"/>
      <c r="N70" s="560"/>
      <c r="O70" s="502"/>
      <c r="P70" s="502"/>
    </row>
    <row r="71" spans="1:16" ht="17">
      <c r="A71" s="501" t="s">
        <v>646</v>
      </c>
      <c r="B71" s="235"/>
      <c r="C71" s="235"/>
      <c r="D71" s="235"/>
      <c r="E71" s="235"/>
      <c r="F71" s="235"/>
      <c r="G71" s="235"/>
      <c r="H71" s="235"/>
      <c r="I71" s="235"/>
      <c r="J71" s="235"/>
      <c r="K71" s="235"/>
      <c r="L71" s="235"/>
      <c r="M71" s="235"/>
      <c r="N71" s="552"/>
      <c r="O71" s="532"/>
      <c r="P71" s="532"/>
    </row>
    <row r="72" spans="1:16" ht="68">
      <c r="A72" s="506" t="s">
        <v>647</v>
      </c>
      <c r="B72" s="539">
        <v>369.6</v>
      </c>
      <c r="C72" s="561">
        <v>34.006999999999998</v>
      </c>
      <c r="D72" s="561">
        <v>0</v>
      </c>
      <c r="E72" s="561">
        <v>0</v>
      </c>
      <c r="F72" s="561">
        <v>0</v>
      </c>
      <c r="G72" s="537">
        <v>403.60700000000003</v>
      </c>
      <c r="H72" s="536">
        <v>398.6</v>
      </c>
      <c r="I72" s="536">
        <v>45.185000000000002</v>
      </c>
      <c r="J72" s="536">
        <v>0</v>
      </c>
      <c r="K72" s="536">
        <v>0</v>
      </c>
      <c r="L72" s="536">
        <v>0</v>
      </c>
      <c r="M72" s="537">
        <v>443.78500000000003</v>
      </c>
      <c r="N72" s="413">
        <v>9.9547331934282599E-2</v>
      </c>
      <c r="O72" s="497" t="s">
        <v>719</v>
      </c>
      <c r="P72" s="558" t="s">
        <v>720</v>
      </c>
    </row>
    <row r="73" spans="1:16" ht="34">
      <c r="A73" s="506" t="s">
        <v>648</v>
      </c>
      <c r="B73" s="561">
        <v>0</v>
      </c>
      <c r="C73" s="561">
        <v>0</v>
      </c>
      <c r="D73" s="561">
        <v>72.8</v>
      </c>
      <c r="E73" s="561">
        <v>0</v>
      </c>
      <c r="F73" s="561">
        <v>0</v>
      </c>
      <c r="G73" s="537">
        <v>72.8</v>
      </c>
      <c r="H73" s="536">
        <v>0</v>
      </c>
      <c r="I73" s="536">
        <v>0</v>
      </c>
      <c r="J73" s="536">
        <v>97</v>
      </c>
      <c r="K73" s="536">
        <v>0</v>
      </c>
      <c r="L73" s="536">
        <v>0</v>
      </c>
      <c r="M73" s="537">
        <v>97</v>
      </c>
      <c r="N73" s="413">
        <v>0.33241758241758246</v>
      </c>
      <c r="O73" s="505" t="s">
        <v>721</v>
      </c>
      <c r="P73" s="558" t="s">
        <v>722</v>
      </c>
    </row>
    <row r="74" spans="1:16" ht="17">
      <c r="A74" s="500" t="s">
        <v>649</v>
      </c>
      <c r="B74" s="547">
        <v>369.6</v>
      </c>
      <c r="C74" s="547">
        <v>34.006999999999998</v>
      </c>
      <c r="D74" s="547">
        <v>72.8</v>
      </c>
      <c r="E74" s="547">
        <v>0</v>
      </c>
      <c r="F74" s="547">
        <v>0</v>
      </c>
      <c r="G74" s="547">
        <v>476.40700000000004</v>
      </c>
      <c r="H74" s="547">
        <v>398.6</v>
      </c>
      <c r="I74" s="547">
        <v>45.185000000000002</v>
      </c>
      <c r="J74" s="547">
        <v>97</v>
      </c>
      <c r="K74" s="547">
        <v>0</v>
      </c>
      <c r="L74" s="547">
        <v>0</v>
      </c>
      <c r="M74" s="547">
        <v>540.78500000000008</v>
      </c>
      <c r="N74" s="548">
        <v>0.13513235531803697</v>
      </c>
      <c r="O74" s="549"/>
      <c r="P74" s="550"/>
    </row>
    <row r="75" spans="1:16" ht="16">
      <c r="A75" s="493"/>
      <c r="B75" s="553"/>
      <c r="C75" s="553"/>
      <c r="D75" s="553"/>
      <c r="E75" s="553"/>
      <c r="F75" s="553"/>
      <c r="G75" s="553"/>
      <c r="H75" s="553"/>
      <c r="I75" s="553"/>
      <c r="J75" s="553"/>
      <c r="K75" s="553"/>
      <c r="L75" s="553"/>
      <c r="M75" s="553"/>
      <c r="N75" s="560"/>
      <c r="O75" s="502"/>
      <c r="P75" s="502"/>
    </row>
    <row r="76" spans="1:16" ht="17">
      <c r="A76" s="501" t="s">
        <v>611</v>
      </c>
      <c r="B76" s="235"/>
      <c r="C76" s="235"/>
      <c r="D76" s="235"/>
      <c r="E76" s="235"/>
      <c r="F76" s="235"/>
      <c r="G76" s="235"/>
      <c r="H76" s="235"/>
      <c r="I76" s="235"/>
      <c r="J76" s="235"/>
      <c r="K76" s="235"/>
      <c r="L76" s="235"/>
      <c r="M76" s="235"/>
      <c r="N76" s="552"/>
      <c r="O76" s="532"/>
      <c r="P76" s="532"/>
    </row>
    <row r="77" spans="1:16" ht="16">
      <c r="A77" s="493"/>
      <c r="B77" s="553"/>
      <c r="C77" s="553"/>
      <c r="D77" s="553"/>
      <c r="E77" s="553"/>
      <c r="F77" s="553"/>
      <c r="G77" s="553"/>
      <c r="H77" s="553"/>
      <c r="I77" s="553"/>
      <c r="J77" s="553"/>
      <c r="K77" s="553"/>
      <c r="L77" s="553"/>
      <c r="M77" s="553"/>
      <c r="N77" s="560"/>
      <c r="O77" s="502"/>
      <c r="P77" s="502"/>
    </row>
    <row r="78" spans="1:16" ht="17">
      <c r="A78" s="510" t="s">
        <v>650</v>
      </c>
      <c r="B78" s="571"/>
      <c r="C78" s="571"/>
      <c r="D78" s="571"/>
      <c r="E78" s="571"/>
      <c r="F78" s="571"/>
      <c r="G78" s="571"/>
      <c r="H78" s="571"/>
      <c r="I78" s="571"/>
      <c r="J78" s="571"/>
      <c r="K78" s="571"/>
      <c r="L78" s="571"/>
      <c r="M78" s="571"/>
      <c r="N78" s="572"/>
      <c r="O78" s="573"/>
      <c r="P78" s="573"/>
    </row>
    <row r="79" spans="1:16" ht="68">
      <c r="A79" s="505" t="s">
        <v>651</v>
      </c>
      <c r="B79" s="539">
        <v>7.0179999999999998</v>
      </c>
      <c r="C79" s="556">
        <v>0</v>
      </c>
      <c r="D79" s="556">
        <v>0</v>
      </c>
      <c r="E79" s="556">
        <v>0</v>
      </c>
      <c r="F79" s="556">
        <v>0</v>
      </c>
      <c r="G79" s="537">
        <v>7.0179999999999998</v>
      </c>
      <c r="H79" s="536">
        <v>7.02</v>
      </c>
      <c r="I79" s="536">
        <v>0</v>
      </c>
      <c r="J79" s="536">
        <v>0</v>
      </c>
      <c r="K79" s="536">
        <v>0</v>
      </c>
      <c r="L79" s="536">
        <v>0</v>
      </c>
      <c r="M79" s="537">
        <v>7.02</v>
      </c>
      <c r="N79" s="413">
        <v>2.8498147620401536E-4</v>
      </c>
      <c r="O79" s="505" t="s">
        <v>723</v>
      </c>
      <c r="P79" s="540" t="s">
        <v>692</v>
      </c>
    </row>
    <row r="80" spans="1:16" ht="17">
      <c r="A80" s="505" t="s">
        <v>652</v>
      </c>
      <c r="B80" s="539">
        <v>1.798</v>
      </c>
      <c r="C80" s="556">
        <v>0</v>
      </c>
      <c r="D80" s="556">
        <v>0</v>
      </c>
      <c r="E80" s="556">
        <v>0</v>
      </c>
      <c r="F80" s="556">
        <v>0</v>
      </c>
      <c r="G80" s="537">
        <v>1.798</v>
      </c>
      <c r="H80" s="536">
        <v>2.1189999999999998</v>
      </c>
      <c r="I80" s="536">
        <v>0</v>
      </c>
      <c r="J80" s="536">
        <v>0</v>
      </c>
      <c r="K80" s="536">
        <v>0</v>
      </c>
      <c r="L80" s="536">
        <v>0</v>
      </c>
      <c r="M80" s="537">
        <v>2.1189999999999998</v>
      </c>
      <c r="N80" s="413">
        <v>0.17853170189098982</v>
      </c>
      <c r="O80" s="497" t="s">
        <v>724</v>
      </c>
      <c r="P80" s="540" t="s">
        <v>692</v>
      </c>
    </row>
    <row r="81" spans="1:16" ht="17">
      <c r="A81" s="505" t="s">
        <v>653</v>
      </c>
      <c r="B81" s="539">
        <v>1.0780000000000001</v>
      </c>
      <c r="C81" s="556">
        <v>0</v>
      </c>
      <c r="D81" s="556">
        <v>0</v>
      </c>
      <c r="E81" s="556">
        <v>0</v>
      </c>
      <c r="F81" s="556">
        <v>0</v>
      </c>
      <c r="G81" s="537">
        <v>1.0780000000000001</v>
      </c>
      <c r="H81" s="536">
        <v>1.0779999999999998</v>
      </c>
      <c r="I81" s="536">
        <v>0</v>
      </c>
      <c r="J81" s="536">
        <v>0</v>
      </c>
      <c r="K81" s="536">
        <v>0</v>
      </c>
      <c r="L81" s="536">
        <v>0</v>
      </c>
      <c r="M81" s="537">
        <v>1.0779999999999998</v>
      </c>
      <c r="N81" s="413">
        <v>-2.0597829770411067E-16</v>
      </c>
      <c r="O81" s="505" t="s">
        <v>725</v>
      </c>
      <c r="P81" s="540" t="s">
        <v>293</v>
      </c>
    </row>
    <row r="82" spans="1:16" ht="34">
      <c r="A82" s="511" t="s">
        <v>654</v>
      </c>
      <c r="B82" s="574">
        <v>1.0409999999999999</v>
      </c>
      <c r="C82" s="539">
        <v>0</v>
      </c>
      <c r="D82" s="539">
        <v>0</v>
      </c>
      <c r="E82" s="539">
        <v>0</v>
      </c>
      <c r="F82" s="574">
        <v>0</v>
      </c>
      <c r="G82" s="575">
        <v>1.0409999999999999</v>
      </c>
      <c r="H82" s="536">
        <v>1.0409999999999999</v>
      </c>
      <c r="I82" s="536">
        <v>0</v>
      </c>
      <c r="J82" s="536">
        <v>0</v>
      </c>
      <c r="K82" s="536">
        <v>0</v>
      </c>
      <c r="L82" s="536">
        <v>0</v>
      </c>
      <c r="M82" s="575">
        <v>1.0409999999999999</v>
      </c>
      <c r="N82" s="413">
        <v>0</v>
      </c>
      <c r="O82" s="576" t="s">
        <v>726</v>
      </c>
      <c r="P82" s="577" t="s">
        <v>293</v>
      </c>
    </row>
    <row r="83" spans="1:16" ht="17">
      <c r="A83" s="505" t="s">
        <v>655</v>
      </c>
      <c r="B83" s="539">
        <v>0.28000000000000003</v>
      </c>
      <c r="C83" s="556">
        <v>0</v>
      </c>
      <c r="D83" s="556">
        <v>0</v>
      </c>
      <c r="E83" s="556">
        <v>0</v>
      </c>
      <c r="F83" s="556">
        <v>0</v>
      </c>
      <c r="G83" s="537">
        <v>0.28000000000000003</v>
      </c>
      <c r="H83" s="536">
        <v>0.28000000000000003</v>
      </c>
      <c r="I83" s="536">
        <v>0</v>
      </c>
      <c r="J83" s="536">
        <v>0</v>
      </c>
      <c r="K83" s="536">
        <v>0</v>
      </c>
      <c r="L83" s="536">
        <v>0</v>
      </c>
      <c r="M83" s="537">
        <v>0.28000000000000003</v>
      </c>
      <c r="N83" s="413">
        <v>0</v>
      </c>
      <c r="O83" s="505" t="s">
        <v>727</v>
      </c>
      <c r="P83" s="538" t="s">
        <v>293</v>
      </c>
    </row>
    <row r="84" spans="1:16" ht="17">
      <c r="A84" s="512" t="s">
        <v>2</v>
      </c>
      <c r="B84" s="578">
        <v>11.214999999999998</v>
      </c>
      <c r="C84" s="578">
        <v>0</v>
      </c>
      <c r="D84" s="578">
        <v>0</v>
      </c>
      <c r="E84" s="578">
        <v>0</v>
      </c>
      <c r="F84" s="578">
        <v>0</v>
      </c>
      <c r="G84" s="578">
        <v>11.214999999999998</v>
      </c>
      <c r="H84" s="578">
        <v>11.537999999999998</v>
      </c>
      <c r="I84" s="578">
        <v>0</v>
      </c>
      <c r="J84" s="578">
        <v>0</v>
      </c>
      <c r="K84" s="578">
        <v>0</v>
      </c>
      <c r="L84" s="578">
        <v>0</v>
      </c>
      <c r="M84" s="578">
        <v>11.537999999999998</v>
      </c>
      <c r="N84" s="579">
        <v>2.8800713330361164E-2</v>
      </c>
      <c r="O84" s="580"/>
      <c r="P84" s="510"/>
    </row>
    <row r="85" spans="1:16" ht="16">
      <c r="A85" s="493"/>
      <c r="B85" s="553"/>
      <c r="C85" s="553"/>
      <c r="D85" s="553"/>
      <c r="E85" s="553"/>
      <c r="F85" s="553"/>
      <c r="G85" s="553"/>
      <c r="H85" s="553"/>
      <c r="I85" s="553"/>
      <c r="J85" s="553"/>
      <c r="K85" s="553"/>
      <c r="L85" s="553"/>
      <c r="M85" s="553"/>
      <c r="N85" s="560"/>
      <c r="O85" s="502"/>
      <c r="P85" s="502"/>
    </row>
    <row r="86" spans="1:16" ht="17">
      <c r="A86" s="513" t="s">
        <v>656</v>
      </c>
      <c r="B86" s="581"/>
      <c r="C86" s="581"/>
      <c r="D86" s="581"/>
      <c r="E86" s="581"/>
      <c r="F86" s="581"/>
      <c r="G86" s="581"/>
      <c r="H86" s="581"/>
      <c r="I86" s="581"/>
      <c r="J86" s="581"/>
      <c r="K86" s="581"/>
      <c r="L86" s="581"/>
      <c r="M86" s="581"/>
      <c r="N86" s="582"/>
      <c r="O86" s="535"/>
      <c r="P86" s="535"/>
    </row>
    <row r="87" spans="1:16" ht="102">
      <c r="A87" s="497" t="s">
        <v>657</v>
      </c>
      <c r="B87" s="539">
        <v>20.158000000000001</v>
      </c>
      <c r="C87" s="539">
        <v>0</v>
      </c>
      <c r="D87" s="539">
        <v>0</v>
      </c>
      <c r="E87" s="539">
        <v>0</v>
      </c>
      <c r="F87" s="539">
        <v>0</v>
      </c>
      <c r="G87" s="537">
        <v>20.158000000000001</v>
      </c>
      <c r="H87" s="536">
        <v>21.658000000000001</v>
      </c>
      <c r="I87" s="536">
        <v>0</v>
      </c>
      <c r="J87" s="536">
        <v>1</v>
      </c>
      <c r="K87" s="536">
        <v>0</v>
      </c>
      <c r="L87" s="536">
        <v>0</v>
      </c>
      <c r="M87" s="537">
        <v>22.658000000000001</v>
      </c>
      <c r="N87" s="413">
        <v>0.12402024010318483</v>
      </c>
      <c r="O87" s="497" t="s">
        <v>728</v>
      </c>
      <c r="P87" s="540" t="s">
        <v>729</v>
      </c>
    </row>
    <row r="88" spans="1:16" ht="17">
      <c r="A88" s="61" t="s">
        <v>2</v>
      </c>
      <c r="B88" s="562">
        <v>20.158000000000001</v>
      </c>
      <c r="C88" s="562">
        <v>0</v>
      </c>
      <c r="D88" s="562">
        <v>0</v>
      </c>
      <c r="E88" s="562">
        <v>0</v>
      </c>
      <c r="F88" s="562">
        <v>0</v>
      </c>
      <c r="G88" s="562">
        <v>20.158000000000001</v>
      </c>
      <c r="H88" s="562">
        <v>21.658000000000001</v>
      </c>
      <c r="I88" s="562">
        <v>0</v>
      </c>
      <c r="J88" s="562">
        <v>1</v>
      </c>
      <c r="K88" s="562">
        <v>0</v>
      </c>
      <c r="L88" s="562">
        <v>0</v>
      </c>
      <c r="M88" s="562">
        <v>22.658000000000001</v>
      </c>
      <c r="N88" s="583">
        <v>0.12402024010318483</v>
      </c>
      <c r="O88" s="541"/>
      <c r="P88" s="513"/>
    </row>
    <row r="89" spans="1:16" ht="16">
      <c r="A89" s="493"/>
      <c r="B89" s="553"/>
      <c r="C89" s="553"/>
      <c r="D89" s="553"/>
      <c r="E89" s="553"/>
      <c r="F89" s="553"/>
      <c r="G89" s="553"/>
      <c r="H89" s="553"/>
      <c r="I89" s="553"/>
      <c r="J89" s="553"/>
      <c r="K89" s="553"/>
      <c r="L89" s="553"/>
      <c r="M89" s="553"/>
      <c r="N89" s="560"/>
      <c r="O89" s="502"/>
      <c r="P89" s="502"/>
    </row>
    <row r="90" spans="1:16" ht="17">
      <c r="A90" s="513" t="s">
        <v>658</v>
      </c>
      <c r="B90" s="584"/>
      <c r="C90" s="584"/>
      <c r="D90" s="584"/>
      <c r="E90" s="584"/>
      <c r="F90" s="584"/>
      <c r="G90" s="584"/>
      <c r="H90" s="584"/>
      <c r="I90" s="584"/>
      <c r="J90" s="584"/>
      <c r="K90" s="584"/>
      <c r="L90" s="584"/>
      <c r="M90" s="584"/>
      <c r="N90" s="582"/>
      <c r="O90" s="535" t="s">
        <v>337</v>
      </c>
      <c r="P90" s="535" t="s">
        <v>337</v>
      </c>
    </row>
    <row r="91" spans="1:16" ht="34">
      <c r="A91" s="497" t="s">
        <v>659</v>
      </c>
      <c r="B91" s="539">
        <v>4.6829999999999998</v>
      </c>
      <c r="C91" s="539">
        <v>0</v>
      </c>
      <c r="D91" s="539">
        <v>0</v>
      </c>
      <c r="E91" s="539">
        <v>0</v>
      </c>
      <c r="F91" s="539">
        <v>0</v>
      </c>
      <c r="G91" s="537">
        <v>4.6829999999999998</v>
      </c>
      <c r="H91" s="536">
        <v>5.0640000000000001</v>
      </c>
      <c r="I91" s="536">
        <v>0</v>
      </c>
      <c r="J91" s="536">
        <v>0</v>
      </c>
      <c r="K91" s="536">
        <v>0</v>
      </c>
      <c r="L91" s="536">
        <v>0</v>
      </c>
      <c r="M91" s="537">
        <v>5.0640000000000001</v>
      </c>
      <c r="N91" s="413">
        <v>8.1358103779628502E-2</v>
      </c>
      <c r="O91" s="497" t="s">
        <v>730</v>
      </c>
      <c r="P91" s="540" t="s">
        <v>731</v>
      </c>
    </row>
    <row r="92" spans="1:16" ht="34">
      <c r="A92" s="498" t="s">
        <v>660</v>
      </c>
      <c r="B92" s="539">
        <v>2.944</v>
      </c>
      <c r="C92" s="539">
        <v>0</v>
      </c>
      <c r="D92" s="539">
        <v>0</v>
      </c>
      <c r="E92" s="539">
        <v>0</v>
      </c>
      <c r="F92" s="539">
        <v>0</v>
      </c>
      <c r="G92" s="537">
        <v>2.944</v>
      </c>
      <c r="H92" s="536">
        <v>3.306</v>
      </c>
      <c r="I92" s="536">
        <v>0</v>
      </c>
      <c r="J92" s="536">
        <v>0</v>
      </c>
      <c r="K92" s="536">
        <v>0</v>
      </c>
      <c r="L92" s="536">
        <v>0</v>
      </c>
      <c r="M92" s="537">
        <v>3.306</v>
      </c>
      <c r="N92" s="413">
        <v>0.12296195652173916</v>
      </c>
      <c r="O92" s="497" t="s">
        <v>732</v>
      </c>
      <c r="P92" s="540" t="s">
        <v>692</v>
      </c>
    </row>
    <row r="93" spans="1:16" ht="17">
      <c r="A93" s="497" t="s">
        <v>661</v>
      </c>
      <c r="B93" s="539">
        <v>5.0549999999999997</v>
      </c>
      <c r="C93" s="539">
        <v>0</v>
      </c>
      <c r="D93" s="539">
        <v>0</v>
      </c>
      <c r="E93" s="539">
        <v>0</v>
      </c>
      <c r="F93" s="539">
        <v>0</v>
      </c>
      <c r="G93" s="537">
        <v>5.0549999999999997</v>
      </c>
      <c r="H93" s="536">
        <v>5.0549999999999997</v>
      </c>
      <c r="I93" s="536">
        <v>0</v>
      </c>
      <c r="J93" s="536">
        <v>0</v>
      </c>
      <c r="K93" s="536">
        <v>0</v>
      </c>
      <c r="L93" s="536">
        <v>0</v>
      </c>
      <c r="M93" s="537">
        <v>5.0549999999999997</v>
      </c>
      <c r="N93" s="413">
        <v>0</v>
      </c>
      <c r="O93" s="497" t="s">
        <v>733</v>
      </c>
      <c r="P93" s="540" t="s">
        <v>513</v>
      </c>
    </row>
    <row r="94" spans="1:16" ht="34">
      <c r="A94" s="498" t="s">
        <v>662</v>
      </c>
      <c r="B94" s="539">
        <v>1.0349999999999999</v>
      </c>
      <c r="C94" s="539">
        <v>0</v>
      </c>
      <c r="D94" s="539">
        <v>0</v>
      </c>
      <c r="E94" s="539">
        <v>0</v>
      </c>
      <c r="F94" s="539">
        <v>0</v>
      </c>
      <c r="G94" s="537">
        <v>1.0349999999999999</v>
      </c>
      <c r="H94" s="536">
        <v>1.135</v>
      </c>
      <c r="I94" s="536">
        <v>0</v>
      </c>
      <c r="J94" s="536">
        <v>0</v>
      </c>
      <c r="K94" s="536">
        <v>0</v>
      </c>
      <c r="L94" s="536">
        <v>0</v>
      </c>
      <c r="M94" s="537">
        <v>1.135</v>
      </c>
      <c r="N94" s="413">
        <v>9.6618357487922801E-2</v>
      </c>
      <c r="O94" s="497" t="s">
        <v>734</v>
      </c>
      <c r="P94" s="540" t="s">
        <v>692</v>
      </c>
    </row>
    <row r="95" spans="1:16" ht="51">
      <c r="A95" s="498" t="s">
        <v>663</v>
      </c>
      <c r="B95" s="539">
        <v>1.2190000000000001</v>
      </c>
      <c r="C95" s="539">
        <v>0.09</v>
      </c>
      <c r="D95" s="539">
        <v>0</v>
      </c>
      <c r="E95" s="539">
        <v>0</v>
      </c>
      <c r="F95" s="539">
        <v>0</v>
      </c>
      <c r="G95" s="537">
        <v>1.3090000000000002</v>
      </c>
      <c r="H95" s="536">
        <v>1.2350000000000001</v>
      </c>
      <c r="I95" s="536">
        <v>0.09</v>
      </c>
      <c r="J95" s="536">
        <v>0</v>
      </c>
      <c r="K95" s="536">
        <v>0</v>
      </c>
      <c r="L95" s="536">
        <v>0</v>
      </c>
      <c r="M95" s="537">
        <v>1.3250000000000002</v>
      </c>
      <c r="N95" s="413">
        <v>1.2223071046600469E-2</v>
      </c>
      <c r="O95" s="497" t="s">
        <v>735</v>
      </c>
      <c r="P95" s="540" t="s">
        <v>692</v>
      </c>
    </row>
    <row r="96" spans="1:16" ht="17">
      <c r="A96" s="498" t="s">
        <v>664</v>
      </c>
      <c r="B96" s="539">
        <v>4.1390000000000002</v>
      </c>
      <c r="C96" s="539">
        <v>0</v>
      </c>
      <c r="D96" s="539">
        <v>0</v>
      </c>
      <c r="E96" s="539">
        <v>0</v>
      </c>
      <c r="F96" s="539">
        <v>0</v>
      </c>
      <c r="G96" s="537">
        <v>4.1390000000000002</v>
      </c>
      <c r="H96" s="536">
        <v>7.1390000000000002</v>
      </c>
      <c r="I96" s="536">
        <v>0</v>
      </c>
      <c r="J96" s="536">
        <v>0</v>
      </c>
      <c r="K96" s="536">
        <v>0</v>
      </c>
      <c r="L96" s="536">
        <v>0</v>
      </c>
      <c r="M96" s="537">
        <v>7.1390000000000002</v>
      </c>
      <c r="N96" s="413">
        <v>0.72481275670451795</v>
      </c>
      <c r="O96" s="497" t="s">
        <v>736</v>
      </c>
      <c r="P96" s="540" t="s">
        <v>737</v>
      </c>
    </row>
    <row r="97" spans="1:16" ht="34">
      <c r="A97" s="498" t="s">
        <v>665</v>
      </c>
      <c r="B97" s="539">
        <v>1.0549999999999999</v>
      </c>
      <c r="C97" s="539">
        <v>0.03</v>
      </c>
      <c r="D97" s="539">
        <v>0</v>
      </c>
      <c r="E97" s="539">
        <v>0</v>
      </c>
      <c r="F97" s="539">
        <v>0</v>
      </c>
      <c r="G97" s="537">
        <v>1.085</v>
      </c>
      <c r="H97" s="536">
        <v>1.181</v>
      </c>
      <c r="I97" s="536">
        <v>0.03</v>
      </c>
      <c r="J97" s="536">
        <v>0</v>
      </c>
      <c r="K97" s="536">
        <v>0</v>
      </c>
      <c r="L97" s="536">
        <v>0</v>
      </c>
      <c r="M97" s="537">
        <v>1.2110000000000001</v>
      </c>
      <c r="N97" s="413">
        <v>0.11612903225806462</v>
      </c>
      <c r="O97" s="497" t="s">
        <v>738</v>
      </c>
      <c r="P97" s="540" t="s">
        <v>692</v>
      </c>
    </row>
    <row r="98" spans="1:16" ht="17">
      <c r="A98" s="497" t="s">
        <v>666</v>
      </c>
      <c r="B98" s="539">
        <v>0.47799999999999998</v>
      </c>
      <c r="C98" s="539">
        <v>0</v>
      </c>
      <c r="D98" s="539">
        <v>0</v>
      </c>
      <c r="E98" s="539">
        <v>0</v>
      </c>
      <c r="F98" s="539">
        <v>0</v>
      </c>
      <c r="G98" s="537">
        <v>0.47799999999999998</v>
      </c>
      <c r="H98" s="536">
        <v>0.47799999999999998</v>
      </c>
      <c r="I98" s="536">
        <v>0</v>
      </c>
      <c r="J98" s="536">
        <v>0</v>
      </c>
      <c r="K98" s="536">
        <v>0</v>
      </c>
      <c r="L98" s="536">
        <v>0</v>
      </c>
      <c r="M98" s="537">
        <v>0.47799999999999998</v>
      </c>
      <c r="N98" s="413">
        <v>0</v>
      </c>
      <c r="O98" s="497" t="s">
        <v>739</v>
      </c>
      <c r="P98" s="540" t="s">
        <v>293</v>
      </c>
    </row>
    <row r="99" spans="1:16" ht="17">
      <c r="A99" s="497" t="s">
        <v>667</v>
      </c>
      <c r="B99" s="539">
        <v>11.01</v>
      </c>
      <c r="C99" s="539">
        <v>0</v>
      </c>
      <c r="D99" s="539">
        <v>0</v>
      </c>
      <c r="E99" s="539">
        <v>0</v>
      </c>
      <c r="F99" s="539">
        <v>0</v>
      </c>
      <c r="G99" s="537">
        <v>11.01</v>
      </c>
      <c r="H99" s="536">
        <v>10.949</v>
      </c>
      <c r="I99" s="536">
        <v>0</v>
      </c>
      <c r="J99" s="536">
        <v>0</v>
      </c>
      <c r="K99" s="536">
        <v>0</v>
      </c>
      <c r="L99" s="536">
        <v>0</v>
      </c>
      <c r="M99" s="537">
        <v>10.949</v>
      </c>
      <c r="N99" s="413">
        <v>-5.5404178019981785E-3</v>
      </c>
      <c r="O99" s="497" t="s">
        <v>740</v>
      </c>
      <c r="P99" s="540" t="s">
        <v>741</v>
      </c>
    </row>
    <row r="100" spans="1:16" ht="17">
      <c r="A100" s="497" t="s">
        <v>668</v>
      </c>
      <c r="B100" s="539">
        <v>0.42499999999999999</v>
      </c>
      <c r="C100" s="539">
        <v>0</v>
      </c>
      <c r="D100" s="539">
        <v>0</v>
      </c>
      <c r="E100" s="539">
        <v>0</v>
      </c>
      <c r="F100" s="539">
        <v>0</v>
      </c>
      <c r="G100" s="537">
        <v>0.42499999999999999</v>
      </c>
      <c r="H100" s="536">
        <v>0.433</v>
      </c>
      <c r="I100" s="536">
        <v>0</v>
      </c>
      <c r="J100" s="536">
        <v>0</v>
      </c>
      <c r="K100" s="536">
        <v>0</v>
      </c>
      <c r="L100" s="536">
        <v>0</v>
      </c>
      <c r="M100" s="537">
        <v>0.433</v>
      </c>
      <c r="N100" s="413">
        <v>1.8823529411764722E-2</v>
      </c>
      <c r="O100" s="497" t="s">
        <v>742</v>
      </c>
      <c r="P100" s="540" t="s">
        <v>692</v>
      </c>
    </row>
    <row r="101" spans="1:16" ht="51">
      <c r="A101" s="497" t="s">
        <v>669</v>
      </c>
      <c r="B101" s="539">
        <v>53.2</v>
      </c>
      <c r="C101" s="539">
        <v>0</v>
      </c>
      <c r="D101" s="539">
        <v>0</v>
      </c>
      <c r="E101" s="539">
        <v>0</v>
      </c>
      <c r="F101" s="539">
        <v>0</v>
      </c>
      <c r="G101" s="537">
        <v>53.2</v>
      </c>
      <c r="H101" s="536">
        <v>42.2</v>
      </c>
      <c r="I101" s="536">
        <v>0</v>
      </c>
      <c r="J101" s="536">
        <v>0</v>
      </c>
      <c r="K101" s="536">
        <v>0</v>
      </c>
      <c r="L101" s="536">
        <v>0</v>
      </c>
      <c r="M101" s="537">
        <v>42.2</v>
      </c>
      <c r="N101" s="413">
        <v>-0.20676691729323307</v>
      </c>
      <c r="O101" s="497" t="s">
        <v>743</v>
      </c>
      <c r="P101" s="540" t="s">
        <v>744</v>
      </c>
    </row>
    <row r="102" spans="1:16" ht="17">
      <c r="A102" s="61" t="s">
        <v>2</v>
      </c>
      <c r="B102" s="562">
        <v>85.242999999999995</v>
      </c>
      <c r="C102" s="562">
        <v>0.12</v>
      </c>
      <c r="D102" s="562">
        <v>0</v>
      </c>
      <c r="E102" s="562">
        <v>0</v>
      </c>
      <c r="F102" s="562">
        <v>0</v>
      </c>
      <c r="G102" s="562">
        <v>85.363</v>
      </c>
      <c r="H102" s="562">
        <v>78.175000000000011</v>
      </c>
      <c r="I102" s="562">
        <v>0.12</v>
      </c>
      <c r="J102" s="562">
        <v>0</v>
      </c>
      <c r="K102" s="562">
        <v>0</v>
      </c>
      <c r="L102" s="562">
        <v>0</v>
      </c>
      <c r="M102" s="562">
        <v>78.295000000000002</v>
      </c>
      <c r="N102" s="583">
        <v>-8.2799339292199167E-2</v>
      </c>
      <c r="O102" s="541"/>
      <c r="P102" s="513"/>
    </row>
    <row r="103" spans="1:16" ht="16">
      <c r="A103" s="493"/>
      <c r="B103" s="551"/>
      <c r="C103" s="551"/>
      <c r="D103" s="551"/>
      <c r="E103" s="551"/>
      <c r="F103" s="551"/>
      <c r="G103" s="551"/>
      <c r="H103" s="551"/>
      <c r="I103" s="551"/>
      <c r="J103" s="551"/>
      <c r="K103" s="551"/>
      <c r="L103" s="551"/>
      <c r="M103" s="551"/>
      <c r="N103" s="530"/>
      <c r="O103" s="502"/>
      <c r="P103" s="502"/>
    </row>
    <row r="104" spans="1:16" ht="17">
      <c r="A104" s="500" t="s">
        <v>670</v>
      </c>
      <c r="B104" s="547">
        <v>116.616</v>
      </c>
      <c r="C104" s="547">
        <v>0.12</v>
      </c>
      <c r="D104" s="547">
        <v>0</v>
      </c>
      <c r="E104" s="547">
        <v>0</v>
      </c>
      <c r="F104" s="547">
        <v>0</v>
      </c>
      <c r="G104" s="547">
        <v>116.736</v>
      </c>
      <c r="H104" s="547">
        <v>111.37100000000001</v>
      </c>
      <c r="I104" s="547">
        <v>0.12</v>
      </c>
      <c r="J104" s="547">
        <v>1</v>
      </c>
      <c r="K104" s="547">
        <v>0</v>
      </c>
      <c r="L104" s="547">
        <v>0</v>
      </c>
      <c r="M104" s="547">
        <v>112.491</v>
      </c>
      <c r="N104" s="548">
        <v>-3.6364103618421087E-2</v>
      </c>
      <c r="O104" s="549"/>
      <c r="P104" s="550"/>
    </row>
    <row r="105" spans="1:16" ht="16">
      <c r="A105" s="493"/>
      <c r="B105" s="553"/>
      <c r="C105" s="553"/>
      <c r="D105" s="553"/>
      <c r="E105" s="553"/>
      <c r="F105" s="553"/>
      <c r="G105" s="553"/>
      <c r="H105" s="553"/>
      <c r="I105" s="553"/>
      <c r="J105" s="553"/>
      <c r="K105" s="553"/>
      <c r="L105" s="553"/>
      <c r="M105" s="553"/>
      <c r="N105" s="560"/>
      <c r="O105" s="502"/>
      <c r="P105" s="502"/>
    </row>
    <row r="106" spans="1:16" ht="17">
      <c r="A106" s="501" t="s">
        <v>671</v>
      </c>
      <c r="B106" s="235"/>
      <c r="C106" s="235"/>
      <c r="D106" s="235"/>
      <c r="E106" s="235"/>
      <c r="F106" s="235"/>
      <c r="G106" s="235"/>
      <c r="H106" s="235"/>
      <c r="I106" s="235"/>
      <c r="J106" s="235"/>
      <c r="K106" s="235"/>
      <c r="L106" s="235"/>
      <c r="M106" s="235"/>
      <c r="N106" s="552"/>
      <c r="O106" s="532"/>
      <c r="P106" s="532"/>
    </row>
    <row r="107" spans="1:16" ht="51">
      <c r="A107" s="508" t="s">
        <v>672</v>
      </c>
      <c r="B107" s="539">
        <v>1268.249</v>
      </c>
      <c r="C107" s="561">
        <v>50</v>
      </c>
      <c r="D107" s="561">
        <v>0</v>
      </c>
      <c r="E107" s="561">
        <v>0</v>
      </c>
      <c r="F107" s="561">
        <v>0</v>
      </c>
      <c r="G107" s="537">
        <v>1318.249</v>
      </c>
      <c r="H107" s="536">
        <v>1348.249</v>
      </c>
      <c r="I107" s="536">
        <v>51</v>
      </c>
      <c r="J107" s="536">
        <v>0</v>
      </c>
      <c r="K107" s="536">
        <v>0</v>
      </c>
      <c r="L107" s="536">
        <v>0</v>
      </c>
      <c r="M107" s="537">
        <v>1399.249</v>
      </c>
      <c r="N107" s="413">
        <v>6.1445144278508841E-2</v>
      </c>
      <c r="O107" s="505" t="s">
        <v>745</v>
      </c>
      <c r="P107" s="558" t="s">
        <v>746</v>
      </c>
    </row>
    <row r="108" spans="1:16" ht="34">
      <c r="A108" s="508" t="s">
        <v>673</v>
      </c>
      <c r="B108" s="539">
        <v>0</v>
      </c>
      <c r="C108" s="561">
        <v>0</v>
      </c>
      <c r="D108" s="561">
        <v>50.1</v>
      </c>
      <c r="E108" s="561">
        <v>0</v>
      </c>
      <c r="F108" s="561">
        <v>0</v>
      </c>
      <c r="G108" s="537">
        <v>50.1</v>
      </c>
      <c r="H108" s="536">
        <v>0</v>
      </c>
      <c r="I108" s="536">
        <v>0</v>
      </c>
      <c r="J108" s="536">
        <v>50.1</v>
      </c>
      <c r="K108" s="536">
        <v>0</v>
      </c>
      <c r="L108" s="536">
        <v>0</v>
      </c>
      <c r="M108" s="537">
        <v>50.1</v>
      </c>
      <c r="N108" s="413">
        <v>0</v>
      </c>
      <c r="O108" s="505" t="s">
        <v>747</v>
      </c>
      <c r="P108" s="585" t="s">
        <v>293</v>
      </c>
    </row>
    <row r="109" spans="1:16" ht="17">
      <c r="A109" s="500" t="s">
        <v>674</v>
      </c>
      <c r="B109" s="547">
        <v>1268.249</v>
      </c>
      <c r="C109" s="547">
        <v>50</v>
      </c>
      <c r="D109" s="547">
        <v>50.1</v>
      </c>
      <c r="E109" s="547">
        <v>0</v>
      </c>
      <c r="F109" s="547">
        <v>0</v>
      </c>
      <c r="G109" s="547">
        <v>1368.3489999999999</v>
      </c>
      <c r="H109" s="547">
        <v>1348.249</v>
      </c>
      <c r="I109" s="547">
        <v>51</v>
      </c>
      <c r="J109" s="547">
        <v>50.1</v>
      </c>
      <c r="K109" s="547">
        <v>0</v>
      </c>
      <c r="L109" s="547">
        <v>0</v>
      </c>
      <c r="M109" s="547">
        <v>1449.3489999999999</v>
      </c>
      <c r="N109" s="548">
        <v>5.9195424559085441E-2</v>
      </c>
      <c r="O109" s="549"/>
      <c r="P109" s="550"/>
    </row>
    <row r="110" spans="1:16" ht="16">
      <c r="A110" s="502"/>
      <c r="B110" s="551"/>
      <c r="C110" s="551"/>
      <c r="D110" s="551"/>
      <c r="E110" s="551"/>
      <c r="F110" s="551"/>
      <c r="G110" s="551"/>
      <c r="H110" s="551"/>
      <c r="I110" s="551"/>
      <c r="J110" s="551"/>
      <c r="K110" s="551"/>
      <c r="L110" s="551"/>
      <c r="M110" s="551"/>
      <c r="N110" s="530"/>
      <c r="O110" s="502"/>
      <c r="P110" s="502"/>
    </row>
    <row r="111" spans="1:16" ht="17">
      <c r="A111" s="501" t="s">
        <v>675</v>
      </c>
      <c r="B111" s="235"/>
      <c r="C111" s="235"/>
      <c r="D111" s="235"/>
      <c r="E111" s="235"/>
      <c r="F111" s="235"/>
      <c r="G111" s="235"/>
      <c r="H111" s="235"/>
      <c r="I111" s="235"/>
      <c r="J111" s="235"/>
      <c r="K111" s="235"/>
      <c r="L111" s="235"/>
      <c r="M111" s="235"/>
      <c r="N111" s="552"/>
      <c r="O111" s="532"/>
      <c r="P111" s="532"/>
    </row>
    <row r="112" spans="1:16" ht="16">
      <c r="A112" s="502"/>
      <c r="B112" s="551"/>
      <c r="C112" s="551"/>
      <c r="D112" s="551"/>
      <c r="E112" s="551"/>
      <c r="F112" s="551"/>
      <c r="G112" s="551"/>
      <c r="H112" s="551"/>
      <c r="I112" s="551"/>
      <c r="J112" s="551"/>
      <c r="K112" s="551"/>
      <c r="L112" s="551"/>
      <c r="M112" s="551"/>
      <c r="N112" s="530"/>
      <c r="O112" s="502"/>
      <c r="P112" s="502"/>
    </row>
    <row r="113" spans="1:16" ht="17">
      <c r="A113" s="508" t="s">
        <v>676</v>
      </c>
      <c r="B113" s="539">
        <v>294.20699999999999</v>
      </c>
      <c r="C113" s="561">
        <v>26</v>
      </c>
      <c r="D113" s="561">
        <v>0</v>
      </c>
      <c r="E113" s="561">
        <v>0</v>
      </c>
      <c r="F113" s="561">
        <v>0</v>
      </c>
      <c r="G113" s="562">
        <v>320.20699999999999</v>
      </c>
      <c r="H113" s="536">
        <v>304.20699999999999</v>
      </c>
      <c r="I113" s="536">
        <v>27</v>
      </c>
      <c r="J113" s="536">
        <v>0</v>
      </c>
      <c r="K113" s="536">
        <v>0</v>
      </c>
      <c r="L113" s="536">
        <v>0</v>
      </c>
      <c r="M113" s="562">
        <v>331.20699999999999</v>
      </c>
      <c r="N113" s="413">
        <v>3.4352778046701039E-2</v>
      </c>
      <c r="O113" s="505" t="s">
        <v>748</v>
      </c>
      <c r="P113" s="558" t="s">
        <v>692</v>
      </c>
    </row>
    <row r="114" spans="1:16" ht="17">
      <c r="A114" s="508" t="s">
        <v>677</v>
      </c>
      <c r="B114" s="539">
        <v>0</v>
      </c>
      <c r="C114" s="561">
        <v>0</v>
      </c>
      <c r="D114" s="561">
        <v>32.5</v>
      </c>
      <c r="E114" s="561">
        <v>0</v>
      </c>
      <c r="F114" s="561">
        <v>0</v>
      </c>
      <c r="G114" s="537">
        <v>32.5</v>
      </c>
      <c r="H114" s="536">
        <v>0</v>
      </c>
      <c r="I114" s="536">
        <v>0</v>
      </c>
      <c r="J114" s="536">
        <v>32.5</v>
      </c>
      <c r="K114" s="536">
        <v>0</v>
      </c>
      <c r="L114" s="536">
        <v>0</v>
      </c>
      <c r="M114" s="537">
        <v>32.5</v>
      </c>
      <c r="N114" s="413">
        <v>0</v>
      </c>
      <c r="O114" s="505" t="s">
        <v>749</v>
      </c>
      <c r="P114" s="558" t="s">
        <v>293</v>
      </c>
    </row>
    <row r="115" spans="1:16" ht="16">
      <c r="A115" s="493"/>
      <c r="B115" s="551"/>
      <c r="C115" s="551"/>
      <c r="D115" s="551"/>
      <c r="E115" s="551"/>
      <c r="F115" s="551"/>
      <c r="G115" s="551"/>
      <c r="H115" s="551"/>
      <c r="I115" s="551"/>
      <c r="J115" s="551"/>
      <c r="K115" s="551"/>
      <c r="L115" s="551"/>
      <c r="M115" s="551"/>
      <c r="N115" s="530"/>
      <c r="O115" s="502"/>
      <c r="P115" s="502"/>
    </row>
    <row r="116" spans="1:16" ht="34">
      <c r="A116" s="500" t="s">
        <v>678</v>
      </c>
      <c r="B116" s="547">
        <v>294.20699999999999</v>
      </c>
      <c r="C116" s="547">
        <v>26</v>
      </c>
      <c r="D116" s="547">
        <v>32.5</v>
      </c>
      <c r="E116" s="547">
        <v>0</v>
      </c>
      <c r="F116" s="547">
        <v>0</v>
      </c>
      <c r="G116" s="547">
        <v>352.70699999999999</v>
      </c>
      <c r="H116" s="547">
        <v>304.20699999999999</v>
      </c>
      <c r="I116" s="547">
        <v>27</v>
      </c>
      <c r="J116" s="547">
        <v>32.5</v>
      </c>
      <c r="K116" s="547">
        <v>0</v>
      </c>
      <c r="L116" s="547">
        <v>0</v>
      </c>
      <c r="M116" s="547">
        <v>363.70699999999999</v>
      </c>
      <c r="N116" s="548">
        <v>3.1187359479681435E-2</v>
      </c>
      <c r="O116" s="549"/>
      <c r="P116" s="550"/>
    </row>
    <row r="117" spans="1:16" ht="16">
      <c r="A117" s="502"/>
      <c r="B117" s="551"/>
      <c r="C117" s="551"/>
      <c r="D117" s="551"/>
      <c r="E117" s="551"/>
      <c r="F117" s="551"/>
      <c r="G117" s="551"/>
      <c r="H117" s="551"/>
      <c r="I117" s="551"/>
      <c r="J117" s="551"/>
      <c r="K117" s="551"/>
      <c r="L117" s="551"/>
      <c r="M117" s="551"/>
      <c r="N117" s="530"/>
      <c r="O117" s="502"/>
      <c r="P117" s="502"/>
    </row>
    <row r="118" spans="1:16" ht="17">
      <c r="A118" s="501" t="s">
        <v>679</v>
      </c>
      <c r="B118" s="235"/>
      <c r="C118" s="235"/>
      <c r="D118" s="235"/>
      <c r="E118" s="235"/>
      <c r="F118" s="235"/>
      <c r="G118" s="235"/>
      <c r="H118" s="235"/>
      <c r="I118" s="235"/>
      <c r="J118" s="235"/>
      <c r="K118" s="235"/>
      <c r="L118" s="235"/>
      <c r="M118" s="235"/>
      <c r="N118" s="552"/>
      <c r="O118" s="532"/>
      <c r="P118" s="532"/>
    </row>
    <row r="119" spans="1:16" ht="16">
      <c r="A119" s="502"/>
      <c r="B119" s="553"/>
      <c r="C119" s="553"/>
      <c r="D119" s="553"/>
      <c r="E119" s="553"/>
      <c r="F119" s="553"/>
      <c r="G119" s="553"/>
      <c r="H119" s="553"/>
      <c r="I119" s="553"/>
      <c r="J119" s="553"/>
      <c r="K119" s="553"/>
      <c r="L119" s="553"/>
      <c r="M119" s="553"/>
      <c r="N119" s="560"/>
      <c r="O119" s="502"/>
      <c r="P119" s="502"/>
    </row>
    <row r="120" spans="1:16" ht="34">
      <c r="A120" s="504" t="s">
        <v>680</v>
      </c>
      <c r="B120" s="539">
        <v>100.358</v>
      </c>
      <c r="C120" s="561">
        <v>25.6</v>
      </c>
      <c r="D120" s="561">
        <v>0</v>
      </c>
      <c r="E120" s="561">
        <v>0</v>
      </c>
      <c r="F120" s="561">
        <v>0</v>
      </c>
      <c r="G120" s="562">
        <v>125.958</v>
      </c>
      <c r="H120" s="536">
        <v>105.358</v>
      </c>
      <c r="I120" s="536">
        <v>29.588000000000001</v>
      </c>
      <c r="J120" s="536">
        <v>0</v>
      </c>
      <c r="K120" s="536">
        <v>0</v>
      </c>
      <c r="L120" s="536">
        <v>0</v>
      </c>
      <c r="M120" s="562">
        <v>134.946</v>
      </c>
      <c r="N120" s="413">
        <v>7.1357119039679895E-2</v>
      </c>
      <c r="O120" s="505" t="s">
        <v>750</v>
      </c>
      <c r="P120" s="558" t="s">
        <v>751</v>
      </c>
    </row>
    <row r="121" spans="1:16" ht="34">
      <c r="A121" s="504" t="s">
        <v>681</v>
      </c>
      <c r="B121" s="561">
        <v>0</v>
      </c>
      <c r="C121" s="561">
        <v>0</v>
      </c>
      <c r="D121" s="561">
        <v>8</v>
      </c>
      <c r="E121" s="561">
        <v>0</v>
      </c>
      <c r="F121" s="561">
        <v>0</v>
      </c>
      <c r="G121" s="537">
        <v>8</v>
      </c>
      <c r="H121" s="536">
        <v>0</v>
      </c>
      <c r="I121" s="536">
        <v>0</v>
      </c>
      <c r="J121" s="536">
        <v>12.7</v>
      </c>
      <c r="K121" s="536">
        <v>0</v>
      </c>
      <c r="L121" s="536">
        <v>0</v>
      </c>
      <c r="M121" s="537">
        <v>12.7</v>
      </c>
      <c r="N121" s="413">
        <v>0.58749999999999991</v>
      </c>
      <c r="O121" s="586" t="s">
        <v>752</v>
      </c>
      <c r="P121" s="558" t="s">
        <v>753</v>
      </c>
    </row>
    <row r="122" spans="1:16" ht="34">
      <c r="A122" s="500" t="s">
        <v>682</v>
      </c>
      <c r="B122" s="547">
        <v>100.358</v>
      </c>
      <c r="C122" s="547">
        <v>25.6</v>
      </c>
      <c r="D122" s="547">
        <v>8</v>
      </c>
      <c r="E122" s="547">
        <v>0</v>
      </c>
      <c r="F122" s="547">
        <v>0</v>
      </c>
      <c r="G122" s="547">
        <v>133.958</v>
      </c>
      <c r="H122" s="547">
        <v>105.358</v>
      </c>
      <c r="I122" s="547">
        <v>29.588000000000001</v>
      </c>
      <c r="J122" s="547">
        <v>12.7</v>
      </c>
      <c r="K122" s="547">
        <v>0</v>
      </c>
      <c r="L122" s="547">
        <v>0</v>
      </c>
      <c r="M122" s="547">
        <v>147.64599999999999</v>
      </c>
      <c r="N122" s="548">
        <v>0.10218128069992079</v>
      </c>
      <c r="O122" s="549"/>
      <c r="P122" s="550"/>
    </row>
    <row r="123" spans="1:16" ht="16">
      <c r="A123" s="514"/>
      <c r="B123" s="587"/>
      <c r="C123" s="587"/>
      <c r="D123" s="587"/>
      <c r="E123" s="587"/>
      <c r="F123" s="587"/>
      <c r="G123" s="587"/>
      <c r="H123" s="587"/>
      <c r="I123" s="587"/>
      <c r="J123" s="587"/>
      <c r="K123" s="587"/>
      <c r="L123" s="587"/>
      <c r="M123" s="587"/>
      <c r="N123" s="588"/>
      <c r="O123" s="514"/>
      <c r="P123" s="514"/>
    </row>
    <row r="124" spans="1:16" ht="17">
      <c r="A124" s="162" t="s">
        <v>272</v>
      </c>
      <c r="B124" s="247"/>
      <c r="C124" s="247"/>
      <c r="D124" s="247"/>
      <c r="E124" s="247"/>
      <c r="F124" s="247"/>
      <c r="G124" s="248"/>
      <c r="H124" s="247"/>
      <c r="I124" s="247"/>
      <c r="J124" s="247"/>
      <c r="K124" s="247"/>
      <c r="L124" s="247"/>
      <c r="M124" s="248"/>
      <c r="N124" s="588"/>
      <c r="O124" s="514"/>
      <c r="P124" s="514"/>
    </row>
    <row r="125" spans="1:16" ht="18">
      <c r="A125" s="515"/>
      <c r="B125" s="589"/>
      <c r="C125" s="589"/>
      <c r="D125" s="589"/>
      <c r="E125" s="589"/>
      <c r="F125" s="589"/>
      <c r="G125" s="589"/>
      <c r="H125" s="589"/>
      <c r="I125" s="589"/>
      <c r="J125" s="589"/>
      <c r="K125" s="589"/>
      <c r="L125" s="589"/>
      <c r="M125" s="589"/>
      <c r="N125" s="590"/>
      <c r="O125" s="515"/>
      <c r="P125" s="515"/>
    </row>
    <row r="126" spans="1:16" ht="17">
      <c r="A126" s="500" t="s">
        <v>683</v>
      </c>
      <c r="B126" s="591">
        <v>2841.0489999999995</v>
      </c>
      <c r="C126" s="591">
        <v>138.995</v>
      </c>
      <c r="D126" s="591">
        <v>165.99999999999997</v>
      </c>
      <c r="E126" s="591">
        <v>0</v>
      </c>
      <c r="F126" s="591">
        <v>0</v>
      </c>
      <c r="G126" s="591">
        <v>3146.0439999999999</v>
      </c>
      <c r="H126" s="591">
        <v>3006.2620000000006</v>
      </c>
      <c r="I126" s="591">
        <v>155.995</v>
      </c>
      <c r="J126" s="591">
        <v>203.4</v>
      </c>
      <c r="K126" s="591">
        <v>0</v>
      </c>
      <c r="L126" s="591">
        <v>0</v>
      </c>
      <c r="M126" s="591">
        <v>3365.6570000000006</v>
      </c>
      <c r="N126" s="592">
        <v>6.9806080270969115E-2</v>
      </c>
      <c r="O126" s="593"/>
      <c r="P126" s="594"/>
    </row>
    <row r="127" spans="1:16" ht="16">
      <c r="A127" s="514"/>
      <c r="B127" s="595"/>
      <c r="C127" s="595"/>
      <c r="D127" s="595"/>
      <c r="E127" s="595"/>
      <c r="F127" s="595"/>
      <c r="G127" s="595"/>
      <c r="H127" s="595"/>
      <c r="I127" s="595"/>
      <c r="J127" s="595"/>
      <c r="K127" s="595"/>
      <c r="L127" s="595"/>
      <c r="M127" s="595"/>
      <c r="N127" s="588"/>
      <c r="O127" s="514"/>
      <c r="P127" s="514"/>
    </row>
    <row r="128" spans="1:16" ht="16">
      <c r="A128" s="514"/>
      <c r="B128" s="595"/>
      <c r="C128" s="595"/>
      <c r="D128" s="595"/>
      <c r="E128" s="595"/>
      <c r="F128" s="595"/>
      <c r="G128" s="595"/>
      <c r="H128" s="595"/>
      <c r="I128" s="595"/>
      <c r="J128" s="595"/>
      <c r="K128" s="595"/>
      <c r="L128" s="595"/>
      <c r="M128" s="595"/>
      <c r="N128" s="588"/>
      <c r="O128" s="596"/>
      <c r="P128" s="596"/>
    </row>
    <row r="129" spans="1:16" ht="16">
      <c r="A129" s="516"/>
      <c r="B129" s="595"/>
      <c r="C129" s="595"/>
      <c r="D129" s="595"/>
      <c r="E129" s="595"/>
      <c r="F129" s="595"/>
      <c r="G129" s="595"/>
      <c r="H129" s="595"/>
      <c r="I129" s="595"/>
      <c r="J129" s="595"/>
      <c r="K129" s="595"/>
      <c r="L129" s="595"/>
      <c r="M129" s="595"/>
      <c r="N129" s="595"/>
      <c r="O129" s="514"/>
      <c r="P129" s="597"/>
    </row>
    <row r="130" spans="1:16" ht="34">
      <c r="A130" s="517" t="s">
        <v>684</v>
      </c>
      <c r="B130" s="598"/>
      <c r="C130" s="598"/>
      <c r="D130" s="598"/>
      <c r="E130" s="598"/>
      <c r="F130" s="598"/>
      <c r="G130" s="598"/>
      <c r="H130" s="598"/>
      <c r="I130" s="598"/>
      <c r="J130" s="598"/>
      <c r="K130" s="598"/>
      <c r="L130" s="598"/>
      <c r="M130" s="598"/>
      <c r="N130" s="599"/>
      <c r="O130" s="514"/>
      <c r="P130" s="514"/>
    </row>
    <row r="131" spans="1:16" ht="17">
      <c r="A131" s="518" t="s">
        <v>685</v>
      </c>
      <c r="B131" s="600">
        <v>86.45</v>
      </c>
      <c r="C131" s="600">
        <v>0</v>
      </c>
      <c r="D131" s="600">
        <v>0</v>
      </c>
      <c r="E131" s="600">
        <v>0</v>
      </c>
      <c r="F131" s="600">
        <v>0</v>
      </c>
      <c r="G131" s="537">
        <v>86.45</v>
      </c>
      <c r="H131" s="536">
        <v>86.45</v>
      </c>
      <c r="I131" s="536">
        <v>0</v>
      </c>
      <c r="J131" s="536">
        <v>0</v>
      </c>
      <c r="K131" s="536">
        <v>0</v>
      </c>
      <c r="L131" s="536">
        <v>0</v>
      </c>
      <c r="M131" s="537">
        <v>86.45</v>
      </c>
      <c r="N131" s="413">
        <v>0</v>
      </c>
      <c r="O131" s="586" t="s">
        <v>337</v>
      </c>
      <c r="P131" s="558" t="s">
        <v>293</v>
      </c>
    </row>
    <row r="132" spans="1:16" ht="34">
      <c r="A132" s="500" t="s">
        <v>686</v>
      </c>
      <c r="B132" s="601">
        <v>86.45</v>
      </c>
      <c r="C132" s="601">
        <v>0</v>
      </c>
      <c r="D132" s="601">
        <v>0</v>
      </c>
      <c r="E132" s="601">
        <v>0</v>
      </c>
      <c r="F132" s="601">
        <v>0</v>
      </c>
      <c r="G132" s="601">
        <v>86.45</v>
      </c>
      <c r="H132" s="601">
        <v>86.45</v>
      </c>
      <c r="I132" s="601">
        <v>0</v>
      </c>
      <c r="J132" s="601">
        <v>0</v>
      </c>
      <c r="K132" s="601">
        <v>0</v>
      </c>
      <c r="L132" s="601">
        <v>0</v>
      </c>
      <c r="M132" s="601">
        <v>86.45</v>
      </c>
      <c r="N132" s="548">
        <v>0</v>
      </c>
      <c r="O132" s="514"/>
      <c r="P132" s="514"/>
    </row>
    <row r="133" spans="1:16">
      <c r="A133" s="519"/>
      <c r="B133" s="602"/>
      <c r="C133" s="602"/>
      <c r="D133" s="602"/>
      <c r="E133" s="602"/>
      <c r="F133" s="602"/>
      <c r="G133" s="602"/>
      <c r="H133" s="602"/>
      <c r="I133" s="602"/>
      <c r="J133" s="602"/>
      <c r="K133" s="602"/>
      <c r="L133" s="602"/>
      <c r="M133" s="602"/>
      <c r="N133" s="602"/>
      <c r="O133" s="602"/>
      <c r="P133" s="602"/>
    </row>
    <row r="135" spans="1:16" ht="16">
      <c r="A135" s="520"/>
      <c r="B135" s="185"/>
      <c r="C135" s="185"/>
      <c r="D135" s="185"/>
      <c r="E135" s="185"/>
      <c r="F135" s="185"/>
      <c r="G135" s="185"/>
      <c r="H135" s="185"/>
      <c r="I135" s="185"/>
      <c r="J135" s="185"/>
      <c r="K135" s="185"/>
      <c r="L135" s="185"/>
      <c r="M135" s="185"/>
      <c r="N135" s="482"/>
      <c r="O135" s="187"/>
      <c r="P135" s="187"/>
    </row>
    <row r="136" spans="1:16" ht="16">
      <c r="A136" s="141"/>
      <c r="B136" s="188"/>
      <c r="C136" s="188"/>
      <c r="D136" s="188"/>
      <c r="E136" s="188"/>
      <c r="F136" s="188"/>
      <c r="G136" s="537">
        <v>0</v>
      </c>
      <c r="H136" s="536"/>
      <c r="I136" s="536"/>
      <c r="J136" s="536"/>
      <c r="K136" s="536"/>
      <c r="L136" s="536"/>
      <c r="M136" s="537">
        <v>0</v>
      </c>
      <c r="N136" s="413"/>
      <c r="O136" s="205"/>
      <c r="P136" s="192"/>
    </row>
    <row r="137" spans="1:16" ht="16">
      <c r="A137" s="521" t="s">
        <v>478</v>
      </c>
      <c r="B137" s="195">
        <v>0</v>
      </c>
      <c r="C137" s="195">
        <v>0</v>
      </c>
      <c r="D137" s="195">
        <v>0</v>
      </c>
      <c r="E137" s="195">
        <v>0</v>
      </c>
      <c r="F137" s="195">
        <v>0</v>
      </c>
      <c r="G137" s="195">
        <v>0</v>
      </c>
      <c r="H137" s="195"/>
      <c r="I137" s="195"/>
      <c r="J137" s="195"/>
      <c r="K137" s="195"/>
      <c r="L137" s="195"/>
      <c r="M137" s="195">
        <v>0</v>
      </c>
      <c r="N137" s="488"/>
      <c r="O137" s="197"/>
      <c r="P137" s="198"/>
    </row>
  </sheetData>
  <conditionalFormatting sqref="B129:G129 N129">
    <cfRule type="cellIs" dxfId="2" priority="3" operator="greaterThan">
      <formula>0</formula>
    </cfRule>
  </conditionalFormatting>
  <conditionalFormatting sqref="H129:L129">
    <cfRule type="cellIs" dxfId="1" priority="1" operator="greaterThan">
      <formula>0</formula>
    </cfRule>
  </conditionalFormatting>
  <conditionalFormatting sqref="M129">
    <cfRule type="cellIs" dxfId="0" priority="2"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59"/>
  <sheetViews>
    <sheetView topLeftCell="A232" zoomScale="60" zoomScaleNormal="60" workbookViewId="0">
      <selection activeCell="J248" sqref="J248:K248"/>
    </sheetView>
  </sheetViews>
  <sheetFormatPr baseColWidth="10" defaultColWidth="8.83203125" defaultRowHeight="15" outlineLevelCol="1"/>
  <cols>
    <col min="1" max="1" width="40.83203125" style="2" customWidth="1"/>
    <col min="2" max="14" width="17.83203125" customWidth="1" outlineLevel="1"/>
    <col min="15" max="16" width="75.83203125" customWidth="1" outlineLevel="1"/>
  </cols>
  <sheetData>
    <row r="1" spans="1:16" ht="16" thickBot="1"/>
    <row r="2" spans="1:16" ht="21">
      <c r="A2" s="491"/>
      <c r="B2" s="522"/>
      <c r="C2" s="523"/>
      <c r="D2" s="523"/>
      <c r="E2" s="523"/>
      <c r="F2" s="523"/>
      <c r="G2" s="524"/>
      <c r="H2" s="522"/>
      <c r="I2" s="523"/>
      <c r="J2" s="523"/>
      <c r="K2" s="523"/>
      <c r="L2" s="523"/>
      <c r="M2" s="524"/>
      <c r="N2" s="525"/>
      <c r="O2" s="526"/>
      <c r="P2" s="527"/>
    </row>
    <row r="3" spans="1:16" ht="136">
      <c r="A3" s="4" t="s">
        <v>1408</v>
      </c>
      <c r="B3" s="42" t="s">
        <v>100</v>
      </c>
      <c r="C3" s="42" t="s">
        <v>101</v>
      </c>
      <c r="D3" s="42" t="s">
        <v>102</v>
      </c>
      <c r="E3" s="42" t="s">
        <v>103</v>
      </c>
      <c r="F3" s="42" t="s">
        <v>104</v>
      </c>
      <c r="G3" s="42" t="s">
        <v>105</v>
      </c>
      <c r="H3" s="42" t="s">
        <v>106</v>
      </c>
      <c r="I3" s="42" t="s">
        <v>107</v>
      </c>
      <c r="J3" s="42" t="s">
        <v>108</v>
      </c>
      <c r="K3" s="42" t="s">
        <v>109</v>
      </c>
      <c r="L3" s="42" t="s">
        <v>110</v>
      </c>
      <c r="M3" s="42" t="s">
        <v>111</v>
      </c>
      <c r="N3" s="43" t="s">
        <v>112</v>
      </c>
      <c r="O3" s="44" t="s">
        <v>113</v>
      </c>
      <c r="P3" s="178" t="s">
        <v>114</v>
      </c>
    </row>
    <row r="4" spans="1:16" ht="22" thickBot="1">
      <c r="A4" s="133"/>
      <c r="B4" s="179"/>
      <c r="C4" s="179"/>
      <c r="D4" s="179"/>
      <c r="E4" s="179"/>
      <c r="F4" s="179"/>
      <c r="G4" s="179"/>
      <c r="H4" s="179"/>
      <c r="I4" s="179"/>
      <c r="J4" s="179"/>
      <c r="K4" s="179"/>
      <c r="L4" s="179"/>
      <c r="M4" s="179"/>
      <c r="N4" s="528"/>
      <c r="O4" s="181"/>
      <c r="P4" s="181"/>
    </row>
    <row r="5" spans="1:16" ht="16">
      <c r="A5" s="172"/>
      <c r="B5" s="261"/>
      <c r="C5" s="261"/>
      <c r="D5" s="261"/>
      <c r="E5" s="261"/>
      <c r="F5" s="261"/>
      <c r="G5" s="905"/>
      <c r="H5" s="261"/>
      <c r="I5" s="261"/>
      <c r="J5" s="261"/>
      <c r="K5" s="261"/>
      <c r="L5" s="261"/>
      <c r="M5" s="905"/>
      <c r="N5" s="651"/>
      <c r="O5" s="172"/>
      <c r="P5" s="172"/>
    </row>
    <row r="6" spans="1:16" ht="17">
      <c r="A6" s="869" t="s">
        <v>1409</v>
      </c>
      <c r="B6" s="235"/>
      <c r="C6" s="235"/>
      <c r="D6" s="235"/>
      <c r="E6" s="235"/>
      <c r="F6" s="235"/>
      <c r="G6" s="235"/>
      <c r="H6" s="235"/>
      <c r="I6" s="235"/>
      <c r="J6" s="235"/>
      <c r="K6" s="235"/>
      <c r="L6" s="235"/>
      <c r="M6" s="235"/>
      <c r="N6" s="853"/>
      <c r="O6" s="854"/>
      <c r="P6" s="854"/>
    </row>
    <row r="7" spans="1:16" ht="153">
      <c r="A7" s="787" t="s">
        <v>1410</v>
      </c>
      <c r="B7" s="906">
        <v>10.273999999999999</v>
      </c>
      <c r="C7" s="906">
        <v>0</v>
      </c>
      <c r="D7" s="907">
        <v>53</v>
      </c>
      <c r="E7" s="906">
        <v>0</v>
      </c>
      <c r="F7" s="906">
        <v>0</v>
      </c>
      <c r="G7" s="908">
        <v>63.274000000000001</v>
      </c>
      <c r="H7" s="906">
        <v>8.3859999999999992</v>
      </c>
      <c r="I7" s="906">
        <v>0</v>
      </c>
      <c r="J7" s="907">
        <v>68.5</v>
      </c>
      <c r="K7" s="906">
        <v>0</v>
      </c>
      <c r="L7" s="906">
        <v>0</v>
      </c>
      <c r="M7" s="908">
        <v>76.885999999999996</v>
      </c>
      <c r="N7" s="798">
        <v>0.21512785662357359</v>
      </c>
      <c r="O7" s="857" t="s">
        <v>1593</v>
      </c>
      <c r="P7" s="799" t="s">
        <v>1594</v>
      </c>
    </row>
    <row r="8" spans="1:16" ht="17">
      <c r="A8" s="870" t="s">
        <v>1411</v>
      </c>
      <c r="B8" s="909">
        <v>18.579999999999998</v>
      </c>
      <c r="C8" s="909">
        <v>0</v>
      </c>
      <c r="D8" s="909">
        <v>0</v>
      </c>
      <c r="E8" s="909">
        <v>0</v>
      </c>
      <c r="F8" s="909">
        <v>0</v>
      </c>
      <c r="G8" s="910">
        <v>18.579999999999998</v>
      </c>
      <c r="H8" s="909">
        <v>18.074999999999999</v>
      </c>
      <c r="I8" s="909">
        <v>0</v>
      </c>
      <c r="J8" s="909">
        <v>0</v>
      </c>
      <c r="K8" s="909">
        <v>0</v>
      </c>
      <c r="L8" s="909">
        <v>0</v>
      </c>
      <c r="M8" s="910">
        <v>18.074999999999999</v>
      </c>
      <c r="N8" s="798">
        <v>-2.7179763186221693E-2</v>
      </c>
      <c r="O8" s="58" t="s">
        <v>1595</v>
      </c>
      <c r="P8" s="192" t="s">
        <v>1596</v>
      </c>
    </row>
    <row r="9" spans="1:16" ht="170">
      <c r="A9" s="870" t="s">
        <v>1412</v>
      </c>
      <c r="B9" s="909">
        <v>22.024999999999999</v>
      </c>
      <c r="C9" s="909">
        <v>0</v>
      </c>
      <c r="D9" s="909">
        <v>115.4</v>
      </c>
      <c r="E9" s="909">
        <v>0</v>
      </c>
      <c r="F9" s="909">
        <v>0</v>
      </c>
      <c r="G9" s="910">
        <v>137.42500000000001</v>
      </c>
      <c r="H9" s="909">
        <v>30.457999999999998</v>
      </c>
      <c r="I9" s="909">
        <v>0</v>
      </c>
      <c r="J9" s="909">
        <v>124</v>
      </c>
      <c r="K9" s="909">
        <v>0</v>
      </c>
      <c r="L9" s="909">
        <v>0</v>
      </c>
      <c r="M9" s="910">
        <v>154.458</v>
      </c>
      <c r="N9" s="798">
        <v>0.1239439694378751</v>
      </c>
      <c r="O9" s="58" t="s">
        <v>1597</v>
      </c>
      <c r="P9" s="192" t="s">
        <v>1598</v>
      </c>
    </row>
    <row r="10" spans="1:16" ht="34">
      <c r="A10" s="871" t="s">
        <v>1413</v>
      </c>
      <c r="B10" s="909">
        <v>0.05</v>
      </c>
      <c r="C10" s="909">
        <v>0</v>
      </c>
      <c r="D10" s="909">
        <v>0</v>
      </c>
      <c r="E10" s="909">
        <v>0</v>
      </c>
      <c r="F10" s="909">
        <v>0</v>
      </c>
      <c r="G10" s="910">
        <v>0.05</v>
      </c>
      <c r="H10" s="909">
        <v>-0.95</v>
      </c>
      <c r="I10" s="909">
        <v>0</v>
      </c>
      <c r="J10" s="909">
        <v>0</v>
      </c>
      <c r="K10" s="909">
        <v>0</v>
      </c>
      <c r="L10" s="909">
        <v>0</v>
      </c>
      <c r="M10" s="910">
        <v>-0.95</v>
      </c>
      <c r="N10" s="798">
        <v>-20</v>
      </c>
      <c r="O10" s="58" t="s">
        <v>1599</v>
      </c>
      <c r="P10" s="192" t="s">
        <v>1600</v>
      </c>
    </row>
    <row r="11" spans="1:16" ht="68">
      <c r="A11" s="870" t="s">
        <v>1414</v>
      </c>
      <c r="B11" s="909">
        <v>0</v>
      </c>
      <c r="C11" s="909">
        <v>0</v>
      </c>
      <c r="D11" s="909">
        <v>0</v>
      </c>
      <c r="E11" s="909">
        <v>6</v>
      </c>
      <c r="F11" s="909">
        <v>0</v>
      </c>
      <c r="G11" s="910">
        <v>6</v>
      </c>
      <c r="H11" s="909">
        <v>0</v>
      </c>
      <c r="I11" s="909">
        <v>0</v>
      </c>
      <c r="J11" s="909">
        <v>0</v>
      </c>
      <c r="K11" s="909">
        <v>0</v>
      </c>
      <c r="L11" s="909">
        <v>0</v>
      </c>
      <c r="M11" s="910">
        <v>0</v>
      </c>
      <c r="N11" s="798">
        <v>-1</v>
      </c>
      <c r="O11" s="58" t="s">
        <v>1601</v>
      </c>
      <c r="P11" s="192" t="s">
        <v>1602</v>
      </c>
    </row>
    <row r="12" spans="1:16" ht="34">
      <c r="A12" s="870" t="s">
        <v>1415</v>
      </c>
      <c r="B12" s="909">
        <v>0</v>
      </c>
      <c r="C12" s="909">
        <v>0</v>
      </c>
      <c r="D12" s="909">
        <v>0</v>
      </c>
      <c r="E12" s="909">
        <v>-3.7</v>
      </c>
      <c r="F12" s="909">
        <v>0</v>
      </c>
      <c r="G12" s="910">
        <v>-3.7</v>
      </c>
      <c r="H12" s="909">
        <v>0</v>
      </c>
      <c r="I12" s="909">
        <v>0</v>
      </c>
      <c r="J12" s="909">
        <v>0</v>
      </c>
      <c r="K12" s="909">
        <v>0</v>
      </c>
      <c r="L12" s="909">
        <v>0</v>
      </c>
      <c r="M12" s="910">
        <v>0</v>
      </c>
      <c r="N12" s="798">
        <v>-1</v>
      </c>
      <c r="O12" s="58" t="s">
        <v>337</v>
      </c>
      <c r="P12" s="192" t="s">
        <v>1602</v>
      </c>
    </row>
    <row r="13" spans="1:16" ht="17">
      <c r="A13" s="152" t="s">
        <v>1416</v>
      </c>
      <c r="B13" s="248">
        <v>50.928999999999995</v>
      </c>
      <c r="C13" s="248">
        <v>0</v>
      </c>
      <c r="D13" s="248">
        <v>168.4</v>
      </c>
      <c r="E13" s="248">
        <v>2.2999999999999998</v>
      </c>
      <c r="F13" s="248">
        <v>0</v>
      </c>
      <c r="G13" s="248">
        <v>221.62900000000002</v>
      </c>
      <c r="H13" s="248">
        <v>55.968999999999994</v>
      </c>
      <c r="I13" s="248">
        <v>0</v>
      </c>
      <c r="J13" s="248">
        <v>192.5</v>
      </c>
      <c r="K13" s="248">
        <v>0</v>
      </c>
      <c r="L13" s="248">
        <v>0</v>
      </c>
      <c r="M13" s="248">
        <v>248.46899999999999</v>
      </c>
      <c r="N13" s="419">
        <v>0.12110328521989439</v>
      </c>
      <c r="O13" s="911" t="s">
        <v>337</v>
      </c>
      <c r="P13" s="912" t="s">
        <v>337</v>
      </c>
    </row>
    <row r="14" spans="1:16" ht="16">
      <c r="A14" s="872"/>
      <c r="B14" s="823"/>
      <c r="C14" s="823"/>
      <c r="D14" s="823"/>
      <c r="E14" s="823"/>
      <c r="F14" s="823"/>
      <c r="G14" s="823"/>
      <c r="H14" s="823"/>
      <c r="I14" s="823"/>
      <c r="J14" s="823"/>
      <c r="K14" s="823"/>
      <c r="L14" s="823"/>
      <c r="M14" s="823"/>
      <c r="N14" s="913"/>
      <c r="O14" s="914"/>
      <c r="P14" s="914"/>
    </row>
    <row r="15" spans="1:16">
      <c r="A15"/>
    </row>
    <row r="16" spans="1:16" ht="17">
      <c r="A16" s="495" t="s">
        <v>1417</v>
      </c>
      <c r="B16" s="224"/>
      <c r="C16" s="224"/>
      <c r="D16" s="224"/>
      <c r="E16" s="224"/>
      <c r="F16" s="224"/>
      <c r="G16" s="224"/>
      <c r="H16" s="224"/>
      <c r="I16" s="224"/>
      <c r="J16" s="224"/>
      <c r="K16" s="224"/>
      <c r="L16" s="224"/>
      <c r="M16" s="224"/>
      <c r="N16" s="378"/>
      <c r="O16" s="915"/>
      <c r="P16" s="915"/>
    </row>
    <row r="17" spans="1:16" ht="51">
      <c r="A17" s="771" t="s">
        <v>1417</v>
      </c>
      <c r="B17" s="855">
        <v>13.62</v>
      </c>
      <c r="C17" s="855">
        <v>0</v>
      </c>
      <c r="D17" s="855">
        <v>141.69999999999999</v>
      </c>
      <c r="E17" s="855">
        <v>0</v>
      </c>
      <c r="F17" s="855">
        <v>0</v>
      </c>
      <c r="G17" s="856">
        <v>155.32</v>
      </c>
      <c r="H17" s="855">
        <v>34.703000000000003</v>
      </c>
      <c r="I17" s="855">
        <v>0</v>
      </c>
      <c r="J17" s="855">
        <v>160.4</v>
      </c>
      <c r="K17" s="855">
        <v>0</v>
      </c>
      <c r="L17" s="855">
        <v>0</v>
      </c>
      <c r="M17" s="856">
        <v>195.10300000000001</v>
      </c>
      <c r="N17" s="798">
        <v>0.25613571980427513</v>
      </c>
      <c r="O17" s="857" t="s">
        <v>1603</v>
      </c>
      <c r="P17" s="799" t="s">
        <v>1598</v>
      </c>
    </row>
    <row r="18" spans="1:16" ht="51">
      <c r="A18" s="771" t="s">
        <v>1418</v>
      </c>
      <c r="B18" s="855">
        <v>0</v>
      </c>
      <c r="C18" s="855">
        <v>0</v>
      </c>
      <c r="D18" s="855">
        <v>0</v>
      </c>
      <c r="E18" s="855">
        <v>41.5</v>
      </c>
      <c r="F18" s="855">
        <v>0</v>
      </c>
      <c r="G18" s="856">
        <v>41.5</v>
      </c>
      <c r="H18" s="855">
        <v>0</v>
      </c>
      <c r="I18" s="855">
        <v>0</v>
      </c>
      <c r="J18" s="855">
        <v>0</v>
      </c>
      <c r="K18" s="855">
        <v>44.2</v>
      </c>
      <c r="L18" s="855">
        <v>0</v>
      </c>
      <c r="M18" s="856">
        <v>44.2</v>
      </c>
      <c r="N18" s="798">
        <v>6.5060240963855487E-2</v>
      </c>
      <c r="O18" s="857" t="s">
        <v>1604</v>
      </c>
      <c r="P18" s="799" t="s">
        <v>1605</v>
      </c>
    </row>
    <row r="19" spans="1:16" ht="34">
      <c r="A19" s="771" t="s">
        <v>1419</v>
      </c>
      <c r="B19" s="855">
        <v>0</v>
      </c>
      <c r="C19" s="855">
        <v>0</v>
      </c>
      <c r="D19" s="855">
        <v>0</v>
      </c>
      <c r="E19" s="855">
        <v>-4.5</v>
      </c>
      <c r="F19" s="855">
        <v>0</v>
      </c>
      <c r="G19" s="856">
        <v>-4.5</v>
      </c>
      <c r="H19" s="855">
        <v>0</v>
      </c>
      <c r="I19" s="855">
        <v>0</v>
      </c>
      <c r="J19" s="855">
        <v>0</v>
      </c>
      <c r="K19" s="855">
        <v>-8.1999999999999993</v>
      </c>
      <c r="L19" s="855">
        <v>0</v>
      </c>
      <c r="M19" s="856">
        <v>-8.1999999999999993</v>
      </c>
      <c r="N19" s="798">
        <v>0.82222222222222208</v>
      </c>
      <c r="O19" s="857" t="s">
        <v>1606</v>
      </c>
      <c r="P19" s="799" t="s">
        <v>1605</v>
      </c>
    </row>
    <row r="20" spans="1:16" ht="17">
      <c r="A20" s="152" t="s">
        <v>1420</v>
      </c>
      <c r="B20" s="248">
        <v>13.62</v>
      </c>
      <c r="C20" s="248">
        <v>0</v>
      </c>
      <c r="D20" s="248">
        <v>141.69999999999999</v>
      </c>
      <c r="E20" s="248">
        <v>37</v>
      </c>
      <c r="F20" s="248">
        <v>0</v>
      </c>
      <c r="G20" s="248">
        <v>192.32</v>
      </c>
      <c r="H20" s="248">
        <v>34.703000000000003</v>
      </c>
      <c r="I20" s="248">
        <v>0</v>
      </c>
      <c r="J20" s="248">
        <v>160.4</v>
      </c>
      <c r="K20" s="248">
        <v>36</v>
      </c>
      <c r="L20" s="248">
        <v>0</v>
      </c>
      <c r="M20" s="248">
        <v>231.10300000000001</v>
      </c>
      <c r="N20" s="419">
        <v>0.20165869384359411</v>
      </c>
      <c r="O20" s="911" t="s">
        <v>337</v>
      </c>
      <c r="P20" s="912" t="s">
        <v>337</v>
      </c>
    </row>
    <row r="21" spans="1:16">
      <c r="A21"/>
    </row>
    <row r="22" spans="1:16" ht="17">
      <c r="A22" s="873" t="s">
        <v>1416</v>
      </c>
      <c r="B22" s="664">
        <v>64.548999999999992</v>
      </c>
      <c r="C22" s="664">
        <v>0</v>
      </c>
      <c r="D22" s="664">
        <v>310.10000000000002</v>
      </c>
      <c r="E22" s="664">
        <v>39.299999999999997</v>
      </c>
      <c r="F22" s="664">
        <v>0</v>
      </c>
      <c r="G22" s="664">
        <v>413.94900000000001</v>
      </c>
      <c r="H22" s="664">
        <v>90.671999999999997</v>
      </c>
      <c r="I22" s="664">
        <v>0</v>
      </c>
      <c r="J22" s="664">
        <v>352.9</v>
      </c>
      <c r="K22" s="664">
        <v>36</v>
      </c>
      <c r="L22" s="664">
        <v>0</v>
      </c>
      <c r="M22" s="664">
        <v>479.572</v>
      </c>
      <c r="N22" s="820">
        <v>0.15852919079403499</v>
      </c>
      <c r="O22" s="858"/>
      <c r="P22" s="859"/>
    </row>
    <row r="23" spans="1:16">
      <c r="A23"/>
    </row>
    <row r="24" spans="1:16" ht="17">
      <c r="A24" s="869" t="s">
        <v>1421</v>
      </c>
      <c r="B24" s="235"/>
      <c r="C24" s="235"/>
      <c r="D24" s="235"/>
      <c r="E24" s="235"/>
      <c r="F24" s="235"/>
      <c r="G24" s="235"/>
      <c r="H24" s="235"/>
      <c r="I24" s="235"/>
      <c r="J24" s="235"/>
      <c r="K24" s="235"/>
      <c r="L24" s="235"/>
      <c r="M24" s="235"/>
      <c r="N24" s="853"/>
      <c r="O24" s="854"/>
      <c r="P24" s="854"/>
    </row>
    <row r="25" spans="1:16" ht="34">
      <c r="A25" s="771" t="s">
        <v>1422</v>
      </c>
      <c r="B25" s="855">
        <v>0</v>
      </c>
      <c r="C25" s="855">
        <v>0</v>
      </c>
      <c r="D25" s="855">
        <v>247</v>
      </c>
      <c r="E25" s="855">
        <v>0</v>
      </c>
      <c r="F25" s="855">
        <v>0</v>
      </c>
      <c r="G25" s="856">
        <v>247</v>
      </c>
      <c r="H25" s="855">
        <v>0</v>
      </c>
      <c r="I25" s="855">
        <v>0</v>
      </c>
      <c r="J25" s="855">
        <v>155.815</v>
      </c>
      <c r="K25" s="855">
        <v>0</v>
      </c>
      <c r="L25" s="855">
        <v>0</v>
      </c>
      <c r="M25" s="856">
        <v>155.815</v>
      </c>
      <c r="N25" s="798">
        <v>-0.36917004048582996</v>
      </c>
      <c r="O25" s="857" t="s">
        <v>1607</v>
      </c>
      <c r="P25" s="799" t="s">
        <v>1608</v>
      </c>
    </row>
    <row r="26" spans="1:16" ht="34">
      <c r="A26" s="774" t="s">
        <v>1423</v>
      </c>
      <c r="B26" s="916">
        <v>2</v>
      </c>
      <c r="C26" s="916">
        <v>0</v>
      </c>
      <c r="D26" s="916">
        <v>0</v>
      </c>
      <c r="E26" s="916">
        <v>0</v>
      </c>
      <c r="F26" s="916">
        <v>0</v>
      </c>
      <c r="G26" s="575">
        <v>2</v>
      </c>
      <c r="H26" s="916">
        <v>0</v>
      </c>
      <c r="I26" s="916">
        <v>0</v>
      </c>
      <c r="J26" s="916">
        <v>0</v>
      </c>
      <c r="K26" s="916">
        <v>0</v>
      </c>
      <c r="L26" s="916">
        <v>0</v>
      </c>
      <c r="M26" s="575">
        <v>0</v>
      </c>
      <c r="N26" s="798">
        <v>-1</v>
      </c>
      <c r="O26" s="58" t="s">
        <v>1609</v>
      </c>
      <c r="P26" s="192" t="s">
        <v>1610</v>
      </c>
    </row>
    <row r="27" spans="1:16" ht="34">
      <c r="A27" s="774" t="s">
        <v>1424</v>
      </c>
      <c r="B27" s="574">
        <v>407.447</v>
      </c>
      <c r="C27" s="916">
        <v>1.5</v>
      </c>
      <c r="D27" s="916">
        <v>312</v>
      </c>
      <c r="E27" s="916">
        <v>0</v>
      </c>
      <c r="F27" s="916">
        <v>0</v>
      </c>
      <c r="G27" s="575">
        <v>720.947</v>
      </c>
      <c r="H27" s="574">
        <v>458.447</v>
      </c>
      <c r="I27" s="916">
        <v>2.5</v>
      </c>
      <c r="J27" s="916">
        <v>362</v>
      </c>
      <c r="K27" s="916">
        <v>0</v>
      </c>
      <c r="L27" s="916">
        <v>0</v>
      </c>
      <c r="M27" s="575">
        <v>822.947</v>
      </c>
      <c r="N27" s="798">
        <v>0.14148058040327513</v>
      </c>
      <c r="O27" s="58" t="s">
        <v>1611</v>
      </c>
      <c r="P27" s="192" t="s">
        <v>1612</v>
      </c>
    </row>
    <row r="28" spans="1:16" ht="34">
      <c r="A28" s="774" t="s">
        <v>1425</v>
      </c>
      <c r="B28" s="916">
        <v>0</v>
      </c>
      <c r="C28" s="916">
        <v>0</v>
      </c>
      <c r="D28" s="916">
        <v>427</v>
      </c>
      <c r="E28" s="916">
        <v>0</v>
      </c>
      <c r="F28" s="916">
        <v>0</v>
      </c>
      <c r="G28" s="575">
        <v>427</v>
      </c>
      <c r="H28" s="916">
        <v>0</v>
      </c>
      <c r="I28" s="916">
        <v>0</v>
      </c>
      <c r="J28" s="916">
        <v>442</v>
      </c>
      <c r="K28" s="916">
        <v>0</v>
      </c>
      <c r="L28" s="916">
        <v>0</v>
      </c>
      <c r="M28" s="575">
        <v>442</v>
      </c>
      <c r="N28" s="798">
        <v>3.5128805620608897E-2</v>
      </c>
      <c r="O28" s="58" t="s">
        <v>1613</v>
      </c>
      <c r="P28" s="192" t="s">
        <v>1614</v>
      </c>
    </row>
    <row r="29" spans="1:16" ht="17">
      <c r="A29" s="873" t="s">
        <v>1426</v>
      </c>
      <c r="B29" s="664">
        <v>409.447</v>
      </c>
      <c r="C29" s="664">
        <v>1.5</v>
      </c>
      <c r="D29" s="664">
        <v>986</v>
      </c>
      <c r="E29" s="664">
        <v>0</v>
      </c>
      <c r="F29" s="664">
        <v>0</v>
      </c>
      <c r="G29" s="664">
        <v>1396.9470000000001</v>
      </c>
      <c r="H29" s="664">
        <v>458.447</v>
      </c>
      <c r="I29" s="664">
        <v>2.5</v>
      </c>
      <c r="J29" s="664">
        <v>959.81500000000005</v>
      </c>
      <c r="K29" s="664">
        <v>0</v>
      </c>
      <c r="L29" s="664">
        <v>0</v>
      </c>
      <c r="M29" s="664">
        <v>1420.7619999999999</v>
      </c>
      <c r="N29" s="820">
        <v>1.7047890864864468E-2</v>
      </c>
      <c r="O29" s="858"/>
      <c r="P29" s="859"/>
    </row>
    <row r="30" spans="1:16" ht="16">
      <c r="A30" s="874"/>
      <c r="B30" s="917"/>
      <c r="C30" s="917"/>
      <c r="D30" s="917"/>
      <c r="E30" s="917"/>
      <c r="F30" s="917"/>
      <c r="G30" s="917"/>
      <c r="H30" s="917"/>
      <c r="I30" s="917"/>
      <c r="J30" s="917"/>
      <c r="K30" s="917"/>
      <c r="L30" s="917"/>
      <c r="M30" s="917"/>
      <c r="N30" s="918"/>
      <c r="O30" s="609"/>
      <c r="P30" s="609"/>
    </row>
    <row r="31" spans="1:16" ht="17">
      <c r="A31" s="869" t="s">
        <v>1427</v>
      </c>
      <c r="B31" s="235"/>
      <c r="C31" s="235"/>
      <c r="D31" s="235"/>
      <c r="E31" s="235"/>
      <c r="F31" s="235"/>
      <c r="G31" s="235"/>
      <c r="H31" s="235"/>
      <c r="I31" s="235"/>
      <c r="J31" s="235"/>
      <c r="K31" s="235"/>
      <c r="L31" s="235"/>
      <c r="M31" s="235"/>
      <c r="N31" s="331"/>
      <c r="O31" s="919"/>
      <c r="P31" s="919"/>
    </row>
    <row r="32" spans="1:16" ht="34">
      <c r="A32" s="771" t="s">
        <v>1428</v>
      </c>
      <c r="B32" s="920">
        <v>310.55599999999998</v>
      </c>
      <c r="C32" s="855">
        <v>0</v>
      </c>
      <c r="D32" s="855">
        <v>0</v>
      </c>
      <c r="E32" s="855">
        <v>0</v>
      </c>
      <c r="F32" s="855">
        <v>0</v>
      </c>
      <c r="G32" s="856">
        <v>310.55599999999998</v>
      </c>
      <c r="H32" s="920">
        <v>359.30100000000004</v>
      </c>
      <c r="I32" s="855">
        <v>0</v>
      </c>
      <c r="J32" s="855">
        <v>0</v>
      </c>
      <c r="K32" s="855">
        <v>0</v>
      </c>
      <c r="L32" s="855">
        <v>0</v>
      </c>
      <c r="M32" s="856">
        <v>359.30100000000004</v>
      </c>
      <c r="N32" s="798">
        <v>0.15696041937685978</v>
      </c>
      <c r="O32" s="857" t="s">
        <v>1615</v>
      </c>
      <c r="P32" s="799" t="s">
        <v>1616</v>
      </c>
    </row>
    <row r="33" spans="1:16" ht="85">
      <c r="A33" s="774" t="s">
        <v>1429</v>
      </c>
      <c r="B33" s="916">
        <v>1.92</v>
      </c>
      <c r="C33" s="916">
        <v>0</v>
      </c>
      <c r="D33" s="916">
        <v>2</v>
      </c>
      <c r="E33" s="916">
        <v>0</v>
      </c>
      <c r="F33" s="916">
        <v>0</v>
      </c>
      <c r="G33" s="575">
        <v>3.92</v>
      </c>
      <c r="H33" s="916">
        <v>1.8839999999999999</v>
      </c>
      <c r="I33" s="916">
        <v>0</v>
      </c>
      <c r="J33" s="916">
        <v>2</v>
      </c>
      <c r="K33" s="916">
        <v>0</v>
      </c>
      <c r="L33" s="916">
        <v>0</v>
      </c>
      <c r="M33" s="575">
        <v>3.8839999999999999</v>
      </c>
      <c r="N33" s="798">
        <v>-9.1836734693877629E-3</v>
      </c>
      <c r="O33" s="58" t="s">
        <v>1617</v>
      </c>
      <c r="P33" s="192" t="s">
        <v>1596</v>
      </c>
    </row>
    <row r="34" spans="1:16" ht="102">
      <c r="A34" s="774" t="s">
        <v>1430</v>
      </c>
      <c r="B34" s="916">
        <v>99.41</v>
      </c>
      <c r="C34" s="916">
        <v>0</v>
      </c>
      <c r="D34" s="916">
        <v>0</v>
      </c>
      <c r="E34" s="916">
        <v>0</v>
      </c>
      <c r="F34" s="916">
        <v>0</v>
      </c>
      <c r="G34" s="575">
        <v>99.41</v>
      </c>
      <c r="H34" s="916">
        <v>57.508000000000003</v>
      </c>
      <c r="I34" s="916">
        <v>0</v>
      </c>
      <c r="J34" s="916">
        <v>5</v>
      </c>
      <c r="K34" s="916">
        <v>0</v>
      </c>
      <c r="L34" s="916">
        <v>0</v>
      </c>
      <c r="M34" s="575">
        <v>62.508000000000003</v>
      </c>
      <c r="N34" s="798">
        <v>-0.37121013982496726</v>
      </c>
      <c r="O34" s="58" t="s">
        <v>1618</v>
      </c>
      <c r="P34" s="192" t="s">
        <v>1619</v>
      </c>
    </row>
    <row r="35" spans="1:16" ht="34">
      <c r="A35" s="873" t="s">
        <v>1431</v>
      </c>
      <c r="B35" s="664">
        <v>411.88599999999997</v>
      </c>
      <c r="C35" s="664">
        <v>0</v>
      </c>
      <c r="D35" s="664">
        <v>2</v>
      </c>
      <c r="E35" s="664">
        <v>0</v>
      </c>
      <c r="F35" s="664">
        <v>0</v>
      </c>
      <c r="G35" s="664">
        <v>413.88599999999997</v>
      </c>
      <c r="H35" s="664">
        <v>418.69300000000004</v>
      </c>
      <c r="I35" s="664">
        <v>0</v>
      </c>
      <c r="J35" s="664">
        <v>7</v>
      </c>
      <c r="K35" s="664">
        <v>0</v>
      </c>
      <c r="L35" s="664">
        <v>0</v>
      </c>
      <c r="M35" s="664">
        <v>425.69300000000004</v>
      </c>
      <c r="N35" s="820">
        <v>2.8527178981652131E-2</v>
      </c>
      <c r="O35" s="858"/>
      <c r="P35" s="859"/>
    </row>
    <row r="36" spans="1:16" ht="16">
      <c r="A36" s="875"/>
      <c r="B36" s="921"/>
      <c r="C36" s="921"/>
      <c r="D36" s="921"/>
      <c r="E36" s="921"/>
      <c r="F36" s="921"/>
      <c r="G36" s="921"/>
      <c r="H36" s="921"/>
      <c r="I36" s="921"/>
      <c r="J36" s="921"/>
      <c r="K36" s="921"/>
      <c r="L36" s="921"/>
      <c r="M36" s="921"/>
      <c r="N36" s="334"/>
      <c r="O36" s="609"/>
      <c r="P36" s="609"/>
    </row>
    <row r="37" spans="1:16" ht="34">
      <c r="A37" s="869" t="s">
        <v>1432</v>
      </c>
      <c r="B37" s="235"/>
      <c r="C37" s="235"/>
      <c r="D37" s="235"/>
      <c r="E37" s="235"/>
      <c r="F37" s="235"/>
      <c r="G37" s="235"/>
      <c r="H37" s="235"/>
      <c r="I37" s="235"/>
      <c r="J37" s="235"/>
      <c r="K37" s="235"/>
      <c r="L37" s="235"/>
      <c r="M37" s="235"/>
      <c r="N37" s="331"/>
      <c r="O37" s="919"/>
      <c r="P37" s="919"/>
    </row>
    <row r="38" spans="1:16" ht="16">
      <c r="A38" s="875"/>
      <c r="B38" s="921"/>
      <c r="C38" s="921"/>
      <c r="D38" s="921"/>
      <c r="E38" s="921"/>
      <c r="F38" s="921"/>
      <c r="G38" s="921"/>
      <c r="H38" s="921"/>
      <c r="I38" s="921"/>
      <c r="J38" s="921"/>
      <c r="K38" s="921"/>
      <c r="L38" s="921"/>
      <c r="M38" s="921"/>
      <c r="N38" s="334"/>
      <c r="O38" s="609"/>
      <c r="P38" s="609"/>
    </row>
    <row r="39" spans="1:16" ht="16">
      <c r="A39" s="662"/>
      <c r="B39" s="630"/>
      <c r="C39" s="630"/>
      <c r="D39" s="630"/>
      <c r="E39" s="630"/>
      <c r="F39" s="630"/>
      <c r="G39" s="922"/>
      <c r="H39" s="630"/>
      <c r="I39" s="630"/>
      <c r="J39" s="630"/>
      <c r="K39" s="630"/>
      <c r="L39" s="630"/>
      <c r="M39" s="922"/>
      <c r="N39" s="923"/>
      <c r="O39" s="610"/>
      <c r="P39" s="662"/>
    </row>
    <row r="40" spans="1:16" ht="17">
      <c r="A40" s="499" t="s">
        <v>1433</v>
      </c>
      <c r="B40" s="248"/>
      <c r="C40" s="248"/>
      <c r="D40" s="248"/>
      <c r="E40" s="248"/>
      <c r="F40" s="248"/>
      <c r="G40" s="248"/>
      <c r="H40" s="248"/>
      <c r="I40" s="248"/>
      <c r="J40" s="248"/>
      <c r="K40" s="248"/>
      <c r="L40" s="248"/>
      <c r="M40" s="248"/>
      <c r="N40" s="745"/>
      <c r="O40" s="911"/>
      <c r="P40" s="924"/>
    </row>
    <row r="41" spans="1:16" ht="17">
      <c r="A41" s="774" t="s">
        <v>1434</v>
      </c>
      <c r="B41" s="916">
        <v>16.655999999999999</v>
      </c>
      <c r="C41" s="916">
        <v>0</v>
      </c>
      <c r="D41" s="916">
        <v>0</v>
      </c>
      <c r="E41" s="916">
        <v>0</v>
      </c>
      <c r="F41" s="916">
        <v>0</v>
      </c>
      <c r="G41" s="575">
        <v>16.655999999999999</v>
      </c>
      <c r="H41" s="916">
        <v>16.603000000000002</v>
      </c>
      <c r="I41" s="916">
        <v>0</v>
      </c>
      <c r="J41" s="916">
        <v>0</v>
      </c>
      <c r="K41" s="916">
        <v>0</v>
      </c>
      <c r="L41" s="916">
        <v>0</v>
      </c>
      <c r="M41" s="575">
        <v>16.603000000000002</v>
      </c>
      <c r="N41" s="798">
        <v>-3.182036503361988E-3</v>
      </c>
      <c r="O41" s="58" t="s">
        <v>1620</v>
      </c>
      <c r="P41" s="192" t="s">
        <v>1596</v>
      </c>
    </row>
    <row r="42" spans="1:16" ht="17">
      <c r="A42" s="774" t="s">
        <v>1435</v>
      </c>
      <c r="B42" s="916">
        <v>6.2519999999999998</v>
      </c>
      <c r="C42" s="916">
        <v>1.833</v>
      </c>
      <c r="D42" s="916">
        <v>5.056</v>
      </c>
      <c r="E42" s="916">
        <v>0</v>
      </c>
      <c r="F42" s="916">
        <v>0</v>
      </c>
      <c r="G42" s="575">
        <v>13.140999999999998</v>
      </c>
      <c r="H42" s="916">
        <v>7.2249999999999996</v>
      </c>
      <c r="I42" s="916">
        <v>1.9910000000000001</v>
      </c>
      <c r="J42" s="916">
        <v>1.1499999999999999</v>
      </c>
      <c r="K42" s="916">
        <v>0</v>
      </c>
      <c r="L42" s="916">
        <v>0</v>
      </c>
      <c r="M42" s="575">
        <v>10.366</v>
      </c>
      <c r="N42" s="798">
        <v>-0.2111711437485731</v>
      </c>
      <c r="O42" s="58" t="s">
        <v>1621</v>
      </c>
      <c r="P42" s="192" t="s">
        <v>1622</v>
      </c>
    </row>
    <row r="43" spans="1:16" ht="17">
      <c r="A43" s="737" t="s">
        <v>1436</v>
      </c>
      <c r="B43" s="916">
        <v>0.2</v>
      </c>
      <c r="C43" s="916">
        <v>0</v>
      </c>
      <c r="D43" s="916">
        <v>0</v>
      </c>
      <c r="E43" s="916">
        <v>0</v>
      </c>
      <c r="F43" s="916">
        <v>0</v>
      </c>
      <c r="G43" s="575">
        <v>0.2</v>
      </c>
      <c r="H43" s="916">
        <v>0</v>
      </c>
      <c r="I43" s="916">
        <v>0</v>
      </c>
      <c r="J43" s="916">
        <v>0</v>
      </c>
      <c r="K43" s="916">
        <v>0</v>
      </c>
      <c r="L43" s="916">
        <v>0</v>
      </c>
      <c r="M43" s="575">
        <v>0</v>
      </c>
      <c r="N43" s="798">
        <v>-1</v>
      </c>
      <c r="O43" s="58" t="s">
        <v>1623</v>
      </c>
      <c r="P43" s="192" t="s">
        <v>1624</v>
      </c>
    </row>
    <row r="44" spans="1:16" ht="17">
      <c r="A44" s="499" t="s">
        <v>1437</v>
      </c>
      <c r="B44" s="248">
        <v>23.107999999999997</v>
      </c>
      <c r="C44" s="248">
        <v>1.833</v>
      </c>
      <c r="D44" s="248">
        <v>5.056</v>
      </c>
      <c r="E44" s="248">
        <v>0</v>
      </c>
      <c r="F44" s="248">
        <v>0</v>
      </c>
      <c r="G44" s="248">
        <v>29.996999999999996</v>
      </c>
      <c r="H44" s="248">
        <v>23.828000000000003</v>
      </c>
      <c r="I44" s="248">
        <v>1.9910000000000001</v>
      </c>
      <c r="J44" s="248">
        <v>1.1499999999999999</v>
      </c>
      <c r="K44" s="248">
        <v>0</v>
      </c>
      <c r="L44" s="248">
        <v>0</v>
      </c>
      <c r="M44" s="248">
        <v>26.969000000000001</v>
      </c>
      <c r="N44" s="419">
        <v>-0.10094342767610079</v>
      </c>
      <c r="O44" s="911" t="s">
        <v>53</v>
      </c>
      <c r="P44" s="924"/>
    </row>
    <row r="45" spans="1:16" ht="16">
      <c r="A45" s="876"/>
      <c r="B45" s="921"/>
      <c r="C45" s="921"/>
      <c r="D45" s="921"/>
      <c r="E45" s="921"/>
      <c r="F45" s="921"/>
      <c r="G45" s="921"/>
      <c r="H45" s="921"/>
      <c r="I45" s="921"/>
      <c r="J45" s="921"/>
      <c r="K45" s="921"/>
      <c r="L45" s="921"/>
      <c r="M45" s="921"/>
      <c r="N45" s="925"/>
      <c r="O45" s="609"/>
      <c r="P45" s="609"/>
    </row>
    <row r="46" spans="1:16" ht="16">
      <c r="A46" s="876"/>
      <c r="B46" s="921"/>
      <c r="C46" s="921"/>
      <c r="D46" s="921"/>
      <c r="E46" s="921"/>
      <c r="F46" s="921"/>
      <c r="G46" s="921"/>
      <c r="H46" s="921"/>
      <c r="I46" s="921"/>
      <c r="J46" s="921"/>
      <c r="K46" s="921"/>
      <c r="L46" s="921"/>
      <c r="M46" s="921"/>
      <c r="N46" s="334"/>
      <c r="O46" s="609"/>
      <c r="P46" s="880"/>
    </row>
    <row r="47" spans="1:16" ht="17">
      <c r="A47" s="495" t="s">
        <v>1438</v>
      </c>
      <c r="B47" s="224"/>
      <c r="C47" s="224"/>
      <c r="D47" s="224"/>
      <c r="E47" s="224"/>
      <c r="F47" s="224"/>
      <c r="G47" s="224"/>
      <c r="H47" s="224"/>
      <c r="I47" s="224"/>
      <c r="J47" s="224"/>
      <c r="K47" s="224"/>
      <c r="L47" s="224"/>
      <c r="M47" s="224"/>
      <c r="N47" s="378"/>
      <c r="O47" s="915"/>
      <c r="P47" s="915"/>
    </row>
    <row r="48" spans="1:16" ht="34">
      <c r="A48" s="771" t="s">
        <v>1439</v>
      </c>
      <c r="B48" s="855">
        <v>10.5</v>
      </c>
      <c r="C48" s="855">
        <v>2.7</v>
      </c>
      <c r="D48" s="855">
        <v>0</v>
      </c>
      <c r="E48" s="855">
        <v>0</v>
      </c>
      <c r="F48" s="855">
        <v>0</v>
      </c>
      <c r="G48" s="856">
        <v>13.2</v>
      </c>
      <c r="H48" s="855">
        <v>11.292</v>
      </c>
      <c r="I48" s="855">
        <v>2.7</v>
      </c>
      <c r="J48" s="855">
        <v>0</v>
      </c>
      <c r="K48" s="855">
        <v>0</v>
      </c>
      <c r="L48" s="855">
        <v>0</v>
      </c>
      <c r="M48" s="856">
        <v>13.992000000000001</v>
      </c>
      <c r="N48" s="798">
        <v>6.0000000000000123E-2</v>
      </c>
      <c r="O48" s="857" t="s">
        <v>1625</v>
      </c>
      <c r="P48" s="799" t="s">
        <v>1626</v>
      </c>
    </row>
    <row r="49" spans="1:16" ht="17">
      <c r="A49" s="774" t="s">
        <v>1440</v>
      </c>
      <c r="B49" s="916">
        <v>0</v>
      </c>
      <c r="C49" s="916">
        <v>0</v>
      </c>
      <c r="D49" s="916">
        <v>12.2</v>
      </c>
      <c r="E49" s="916">
        <v>0</v>
      </c>
      <c r="F49" s="916">
        <v>0</v>
      </c>
      <c r="G49" s="575">
        <v>12.2</v>
      </c>
      <c r="H49" s="916">
        <v>0</v>
      </c>
      <c r="I49" s="916">
        <v>0</v>
      </c>
      <c r="J49" s="916">
        <v>12.2</v>
      </c>
      <c r="K49" s="916">
        <v>0</v>
      </c>
      <c r="L49" s="916">
        <v>0</v>
      </c>
      <c r="M49" s="575">
        <v>12.2</v>
      </c>
      <c r="N49" s="798">
        <v>0</v>
      </c>
      <c r="O49" s="58" t="s">
        <v>1627</v>
      </c>
      <c r="P49" s="192" t="s">
        <v>1596</v>
      </c>
    </row>
    <row r="50" spans="1:16" ht="17">
      <c r="A50" s="499" t="s">
        <v>1441</v>
      </c>
      <c r="B50" s="248">
        <v>10.5</v>
      </c>
      <c r="C50" s="248">
        <v>2.7</v>
      </c>
      <c r="D50" s="248">
        <v>12.2</v>
      </c>
      <c r="E50" s="248">
        <v>0</v>
      </c>
      <c r="F50" s="248">
        <v>0</v>
      </c>
      <c r="G50" s="248">
        <v>25.4</v>
      </c>
      <c r="H50" s="248">
        <v>11.292</v>
      </c>
      <c r="I50" s="248">
        <v>2.7</v>
      </c>
      <c r="J50" s="248">
        <v>12.2</v>
      </c>
      <c r="K50" s="248">
        <v>0</v>
      </c>
      <c r="L50" s="248">
        <v>0</v>
      </c>
      <c r="M50" s="248">
        <v>26.192</v>
      </c>
      <c r="N50" s="419">
        <v>3.1181102362204789E-2</v>
      </c>
      <c r="O50" s="911" t="s">
        <v>337</v>
      </c>
      <c r="P50" s="912" t="s">
        <v>337</v>
      </c>
    </row>
    <row r="51" spans="1:16" ht="16">
      <c r="A51" s="876"/>
      <c r="B51" s="921"/>
      <c r="C51" s="921"/>
      <c r="D51" s="921"/>
      <c r="E51" s="921"/>
      <c r="F51" s="921"/>
      <c r="G51" s="921"/>
      <c r="H51" s="921"/>
      <c r="I51" s="921"/>
      <c r="J51" s="921"/>
      <c r="K51" s="921"/>
      <c r="L51" s="921"/>
      <c r="M51" s="921"/>
      <c r="N51" s="334"/>
      <c r="O51" s="609"/>
      <c r="P51" s="880"/>
    </row>
    <row r="52" spans="1:16" ht="34">
      <c r="A52" s="774" t="s">
        <v>1442</v>
      </c>
      <c r="B52" s="574">
        <v>3.04</v>
      </c>
      <c r="C52" s="574">
        <v>0</v>
      </c>
      <c r="D52" s="574">
        <v>0</v>
      </c>
      <c r="E52" s="574">
        <v>0</v>
      </c>
      <c r="F52" s="574">
        <v>0</v>
      </c>
      <c r="G52" s="575">
        <v>3.04</v>
      </c>
      <c r="H52" s="574">
        <v>1.514</v>
      </c>
      <c r="I52" s="574">
        <v>0</v>
      </c>
      <c r="J52" s="574">
        <v>0</v>
      </c>
      <c r="K52" s="574">
        <v>0</v>
      </c>
      <c r="L52" s="574">
        <v>0</v>
      </c>
      <c r="M52" s="575">
        <v>1.514</v>
      </c>
      <c r="N52" s="798">
        <v>-0.50197368421052635</v>
      </c>
      <c r="O52" s="58" t="s">
        <v>1628</v>
      </c>
      <c r="P52" s="192" t="s">
        <v>1629</v>
      </c>
    </row>
    <row r="53" spans="1:16" ht="16">
      <c r="A53" s="662"/>
      <c r="B53" s="630"/>
      <c r="C53" s="630"/>
      <c r="D53" s="630"/>
      <c r="E53" s="630"/>
      <c r="F53" s="630"/>
      <c r="G53" s="922"/>
      <c r="H53" s="630"/>
      <c r="I53" s="630"/>
      <c r="J53" s="630"/>
      <c r="K53" s="630"/>
      <c r="L53" s="630"/>
      <c r="M53" s="922"/>
      <c r="N53" s="923"/>
      <c r="O53" s="926"/>
      <c r="P53" s="210"/>
    </row>
    <row r="54" spans="1:16" ht="17">
      <c r="A54" s="606" t="s">
        <v>1443</v>
      </c>
      <c r="B54" s="638"/>
      <c r="C54" s="638"/>
      <c r="D54" s="638"/>
      <c r="E54" s="638"/>
      <c r="F54" s="638"/>
      <c r="G54" s="638"/>
      <c r="H54" s="638"/>
      <c r="I54" s="638"/>
      <c r="J54" s="638"/>
      <c r="K54" s="638"/>
      <c r="L54" s="638"/>
      <c r="M54" s="638"/>
      <c r="N54" s="638"/>
      <c r="O54" s="638"/>
      <c r="P54" s="638"/>
    </row>
    <row r="55" spans="1:16" ht="34">
      <c r="A55" s="771" t="s">
        <v>1444</v>
      </c>
      <c r="B55" s="855">
        <v>0</v>
      </c>
      <c r="C55" s="855">
        <v>0</v>
      </c>
      <c r="D55" s="920">
        <v>113.75</v>
      </c>
      <c r="E55" s="855">
        <v>0</v>
      </c>
      <c r="F55" s="855">
        <v>0</v>
      </c>
      <c r="G55" s="856">
        <v>113.75</v>
      </c>
      <c r="H55" s="855">
        <v>0</v>
      </c>
      <c r="I55" s="855">
        <v>0</v>
      </c>
      <c r="J55" s="920">
        <v>152.9</v>
      </c>
      <c r="K55" s="855">
        <v>0</v>
      </c>
      <c r="L55" s="855">
        <v>0</v>
      </c>
      <c r="M55" s="856">
        <v>152.9</v>
      </c>
      <c r="N55" s="798">
        <v>0.34417582417582421</v>
      </c>
      <c r="O55" s="857" t="s">
        <v>1630</v>
      </c>
      <c r="P55" s="799" t="s">
        <v>1631</v>
      </c>
    </row>
    <row r="56" spans="1:16" ht="34">
      <c r="A56" s="774" t="s">
        <v>1445</v>
      </c>
      <c r="B56" s="916">
        <v>12.3</v>
      </c>
      <c r="C56" s="916">
        <v>0</v>
      </c>
      <c r="D56" s="916">
        <v>0</v>
      </c>
      <c r="E56" s="916">
        <v>0</v>
      </c>
      <c r="F56" s="916">
        <v>0</v>
      </c>
      <c r="G56" s="575">
        <v>12.3</v>
      </c>
      <c r="H56" s="916">
        <v>12.382999999999999</v>
      </c>
      <c r="I56" s="916">
        <v>0</v>
      </c>
      <c r="J56" s="916">
        <v>0</v>
      </c>
      <c r="K56" s="916">
        <v>0</v>
      </c>
      <c r="L56" s="916">
        <v>0</v>
      </c>
      <c r="M56" s="575">
        <v>12.382999999999999</v>
      </c>
      <c r="N56" s="798">
        <v>6.7479674796746669E-3</v>
      </c>
      <c r="O56" s="58" t="s">
        <v>1632</v>
      </c>
      <c r="P56" s="192" t="s">
        <v>1596</v>
      </c>
    </row>
    <row r="57" spans="1:16" ht="17">
      <c r="A57" s="499" t="s">
        <v>1446</v>
      </c>
      <c r="B57" s="248">
        <v>12.3</v>
      </c>
      <c r="C57" s="248">
        <v>0</v>
      </c>
      <c r="D57" s="248">
        <v>113.75</v>
      </c>
      <c r="E57" s="248">
        <v>0</v>
      </c>
      <c r="F57" s="248">
        <v>0</v>
      </c>
      <c r="G57" s="248">
        <v>126.05</v>
      </c>
      <c r="H57" s="248">
        <v>12.382999999999999</v>
      </c>
      <c r="I57" s="248">
        <v>0</v>
      </c>
      <c r="J57" s="248">
        <v>152.9</v>
      </c>
      <c r="K57" s="248">
        <v>0</v>
      </c>
      <c r="L57" s="248">
        <v>0</v>
      </c>
      <c r="M57" s="248">
        <v>165.28300000000002</v>
      </c>
      <c r="N57" s="419">
        <v>0.31124950416501401</v>
      </c>
      <c r="O57" s="927"/>
      <c r="P57" s="924"/>
    </row>
    <row r="58" spans="1:16" ht="16">
      <c r="A58" s="877"/>
      <c r="B58" s="928"/>
      <c r="C58" s="928"/>
      <c r="D58" s="928"/>
      <c r="E58" s="928"/>
      <c r="F58" s="928"/>
      <c r="G58" s="928"/>
      <c r="H58" s="928"/>
      <c r="I58" s="928"/>
      <c r="J58" s="928"/>
      <c r="K58" s="928"/>
      <c r="L58" s="928"/>
      <c r="M58" s="928"/>
      <c r="N58" s="929"/>
      <c r="O58" s="930"/>
      <c r="P58" s="931"/>
    </row>
    <row r="59" spans="1:16" ht="17">
      <c r="A59" s="606" t="s">
        <v>1447</v>
      </c>
      <c r="B59" s="638"/>
      <c r="C59" s="638"/>
      <c r="D59" s="638"/>
      <c r="E59" s="638"/>
      <c r="F59" s="638"/>
      <c r="G59" s="638"/>
      <c r="H59" s="638"/>
      <c r="I59" s="638"/>
      <c r="J59" s="638"/>
      <c r="K59" s="638"/>
      <c r="L59" s="638"/>
      <c r="M59" s="638"/>
      <c r="N59" s="638"/>
      <c r="O59" s="638"/>
      <c r="P59" s="638"/>
    </row>
    <row r="60" spans="1:16" ht="34">
      <c r="A60" s="774" t="s">
        <v>1448</v>
      </c>
      <c r="B60" s="916">
        <v>0</v>
      </c>
      <c r="C60" s="916">
        <v>0</v>
      </c>
      <c r="D60" s="916">
        <v>0</v>
      </c>
      <c r="E60" s="916">
        <v>10.5</v>
      </c>
      <c r="F60" s="916">
        <v>0</v>
      </c>
      <c r="G60" s="575">
        <v>10.5</v>
      </c>
      <c r="H60" s="916">
        <v>0</v>
      </c>
      <c r="I60" s="916">
        <v>0</v>
      </c>
      <c r="J60" s="916">
        <v>0</v>
      </c>
      <c r="K60" s="916">
        <v>0</v>
      </c>
      <c r="L60" s="916">
        <v>0</v>
      </c>
      <c r="M60" s="575">
        <v>0</v>
      </c>
      <c r="N60" s="798">
        <v>-1</v>
      </c>
      <c r="O60" s="58" t="s">
        <v>1633</v>
      </c>
      <c r="P60" s="192" t="s">
        <v>1634</v>
      </c>
    </row>
    <row r="61" spans="1:16" ht="34">
      <c r="A61" s="774" t="s">
        <v>1449</v>
      </c>
      <c r="B61" s="916">
        <v>0</v>
      </c>
      <c r="C61" s="916">
        <v>0</v>
      </c>
      <c r="D61" s="916">
        <v>0</v>
      </c>
      <c r="E61" s="916">
        <v>-0.5</v>
      </c>
      <c r="F61" s="916">
        <v>0</v>
      </c>
      <c r="G61" s="575">
        <v>-0.5</v>
      </c>
      <c r="H61" s="916">
        <v>0</v>
      </c>
      <c r="I61" s="916">
        <v>0</v>
      </c>
      <c r="J61" s="916">
        <v>0</v>
      </c>
      <c r="K61" s="916">
        <v>0</v>
      </c>
      <c r="L61" s="916">
        <v>0</v>
      </c>
      <c r="M61" s="575">
        <v>0</v>
      </c>
      <c r="N61" s="798">
        <v>-1</v>
      </c>
      <c r="O61" s="58" t="s">
        <v>1635</v>
      </c>
      <c r="P61" s="192" t="s">
        <v>1634</v>
      </c>
    </row>
    <row r="62" spans="1:16" ht="34">
      <c r="A62" s="774" t="s">
        <v>1450</v>
      </c>
      <c r="B62" s="916">
        <v>7.3</v>
      </c>
      <c r="C62" s="916">
        <v>0</v>
      </c>
      <c r="D62" s="916">
        <v>0</v>
      </c>
      <c r="E62" s="916">
        <v>0</v>
      </c>
      <c r="F62" s="916">
        <v>0</v>
      </c>
      <c r="G62" s="575">
        <v>7.3</v>
      </c>
      <c r="H62" s="916">
        <v>7.3010000000000002</v>
      </c>
      <c r="I62" s="916">
        <v>0</v>
      </c>
      <c r="J62" s="916">
        <v>0</v>
      </c>
      <c r="K62" s="916">
        <v>0</v>
      </c>
      <c r="L62" s="916">
        <v>0</v>
      </c>
      <c r="M62" s="575">
        <v>7.3010000000000002</v>
      </c>
      <c r="N62" s="798">
        <v>1.3698630136990876E-4</v>
      </c>
      <c r="O62" s="58" t="s">
        <v>1636</v>
      </c>
      <c r="P62" s="192" t="s">
        <v>1596</v>
      </c>
    </row>
    <row r="63" spans="1:16" ht="17">
      <c r="A63" s="499" t="s">
        <v>1451</v>
      </c>
      <c r="B63" s="248">
        <v>7.3</v>
      </c>
      <c r="C63" s="248">
        <v>0</v>
      </c>
      <c r="D63" s="248">
        <v>0</v>
      </c>
      <c r="E63" s="248">
        <v>10</v>
      </c>
      <c r="F63" s="248">
        <v>0</v>
      </c>
      <c r="G63" s="248">
        <v>17.3</v>
      </c>
      <c r="H63" s="248">
        <v>7.3010000000000002</v>
      </c>
      <c r="I63" s="248">
        <v>0</v>
      </c>
      <c r="J63" s="248">
        <v>0</v>
      </c>
      <c r="K63" s="248">
        <v>0</v>
      </c>
      <c r="L63" s="248">
        <v>0</v>
      </c>
      <c r="M63" s="248">
        <v>7.3010000000000002</v>
      </c>
      <c r="N63" s="419">
        <v>-0.57797687861271674</v>
      </c>
      <c r="O63" s="927"/>
      <c r="P63" s="924"/>
    </row>
    <row r="64" spans="1:16" ht="16">
      <c r="A64" s="878"/>
      <c r="B64" s="932"/>
      <c r="C64" s="932"/>
      <c r="D64" s="932"/>
      <c r="E64" s="932"/>
      <c r="F64" s="932"/>
      <c r="G64" s="932"/>
      <c r="H64" s="932"/>
      <c r="I64" s="932"/>
      <c r="J64" s="932"/>
      <c r="K64" s="932"/>
      <c r="L64" s="932"/>
      <c r="M64" s="932"/>
      <c r="N64" s="933"/>
      <c r="O64" s="880"/>
      <c r="P64" s="609"/>
    </row>
    <row r="65" spans="1:16" ht="34">
      <c r="A65" s="774" t="s">
        <v>1452</v>
      </c>
      <c r="B65" s="574">
        <v>0.7</v>
      </c>
      <c r="C65" s="574">
        <v>0</v>
      </c>
      <c r="D65" s="574">
        <v>0</v>
      </c>
      <c r="E65" s="574">
        <v>0</v>
      </c>
      <c r="F65" s="574">
        <v>0</v>
      </c>
      <c r="G65" s="575">
        <v>0.7</v>
      </c>
      <c r="H65" s="574">
        <v>0.67900000000000005</v>
      </c>
      <c r="I65" s="574">
        <v>0</v>
      </c>
      <c r="J65" s="574">
        <v>0</v>
      </c>
      <c r="K65" s="574">
        <v>0</v>
      </c>
      <c r="L65" s="574">
        <v>0</v>
      </c>
      <c r="M65" s="575">
        <v>0.67900000000000005</v>
      </c>
      <c r="N65" s="798">
        <v>-2.9999999999999871E-2</v>
      </c>
      <c r="O65" s="58" t="s">
        <v>1637</v>
      </c>
      <c r="P65" s="192" t="s">
        <v>1638</v>
      </c>
    </row>
    <row r="66" spans="1:16" ht="85">
      <c r="A66" s="774" t="s">
        <v>1453</v>
      </c>
      <c r="B66" s="916">
        <v>0</v>
      </c>
      <c r="C66" s="916">
        <v>0</v>
      </c>
      <c r="D66" s="916">
        <v>129.85</v>
      </c>
      <c r="E66" s="916">
        <v>0</v>
      </c>
      <c r="F66" s="916">
        <v>0</v>
      </c>
      <c r="G66" s="575">
        <v>129.85</v>
      </c>
      <c r="H66" s="916">
        <v>0</v>
      </c>
      <c r="I66" s="916">
        <v>0</v>
      </c>
      <c r="J66" s="916">
        <v>99.4</v>
      </c>
      <c r="K66" s="916">
        <v>0</v>
      </c>
      <c r="L66" s="916">
        <v>0</v>
      </c>
      <c r="M66" s="575">
        <v>99.4</v>
      </c>
      <c r="N66" s="798">
        <v>-0.2345013477088948</v>
      </c>
      <c r="O66" s="58" t="s">
        <v>1639</v>
      </c>
      <c r="P66" s="192" t="s">
        <v>1640</v>
      </c>
    </row>
    <row r="67" spans="1:16" ht="17">
      <c r="A67" s="774" t="s">
        <v>1454</v>
      </c>
      <c r="B67" s="574">
        <v>0.52</v>
      </c>
      <c r="C67" s="574">
        <v>0</v>
      </c>
      <c r="D67" s="574">
        <v>0</v>
      </c>
      <c r="E67" s="574">
        <v>0</v>
      </c>
      <c r="F67" s="574">
        <v>0</v>
      </c>
      <c r="G67" s="575">
        <v>0.52</v>
      </c>
      <c r="H67" s="574">
        <v>0.25</v>
      </c>
      <c r="I67" s="574">
        <v>0</v>
      </c>
      <c r="J67" s="574">
        <v>0</v>
      </c>
      <c r="K67" s="574">
        <v>0</v>
      </c>
      <c r="L67" s="574">
        <v>0</v>
      </c>
      <c r="M67" s="575">
        <v>0.25</v>
      </c>
      <c r="N67" s="798">
        <v>-0.51923076923076927</v>
      </c>
      <c r="O67" s="58" t="s">
        <v>1641</v>
      </c>
      <c r="P67" s="192" t="s">
        <v>1642</v>
      </c>
    </row>
    <row r="68" spans="1:16" ht="68">
      <c r="A68" s="774" t="s">
        <v>1455</v>
      </c>
      <c r="B68" s="916">
        <v>5.1230000000000002</v>
      </c>
      <c r="C68" s="916">
        <v>0</v>
      </c>
      <c r="D68" s="916">
        <v>16.5</v>
      </c>
      <c r="E68" s="916">
        <v>0</v>
      </c>
      <c r="F68" s="916">
        <v>0</v>
      </c>
      <c r="G68" s="575">
        <v>21.623000000000001</v>
      </c>
      <c r="H68" s="916">
        <v>8.5640000000000001</v>
      </c>
      <c r="I68" s="916">
        <v>0</v>
      </c>
      <c r="J68" s="916">
        <v>12.882</v>
      </c>
      <c r="K68" s="916">
        <v>0</v>
      </c>
      <c r="L68" s="916">
        <v>0</v>
      </c>
      <c r="M68" s="575">
        <v>21.445999999999998</v>
      </c>
      <c r="N68" s="798">
        <v>-8.1857281598299563E-3</v>
      </c>
      <c r="O68" s="58" t="s">
        <v>1643</v>
      </c>
      <c r="P68" s="192" t="s">
        <v>1644</v>
      </c>
    </row>
    <row r="69" spans="1:16" ht="34">
      <c r="A69" s="873" t="s">
        <v>1456</v>
      </c>
      <c r="B69" s="664">
        <v>62.590999999999994</v>
      </c>
      <c r="C69" s="664">
        <v>4.5330000000000004</v>
      </c>
      <c r="D69" s="664">
        <v>277.35599999999999</v>
      </c>
      <c r="E69" s="664">
        <v>10</v>
      </c>
      <c r="F69" s="664">
        <v>0</v>
      </c>
      <c r="G69" s="664">
        <v>354.47999999999996</v>
      </c>
      <c r="H69" s="664">
        <v>65.811000000000007</v>
      </c>
      <c r="I69" s="664">
        <v>4.6910000000000007</v>
      </c>
      <c r="J69" s="664">
        <v>278.53200000000004</v>
      </c>
      <c r="K69" s="664">
        <v>0</v>
      </c>
      <c r="L69" s="664">
        <v>0</v>
      </c>
      <c r="M69" s="664">
        <v>349.03399999999999</v>
      </c>
      <c r="N69" s="820">
        <v>-1.5363349131121558E-2</v>
      </c>
      <c r="O69" s="858"/>
      <c r="P69" s="859"/>
    </row>
    <row r="70" spans="1:16" ht="16">
      <c r="A70" s="875"/>
      <c r="B70" s="921"/>
      <c r="C70" s="921"/>
      <c r="D70" s="921"/>
      <c r="E70" s="921"/>
      <c r="F70" s="921"/>
      <c r="G70" s="921"/>
      <c r="H70" s="921"/>
      <c r="I70" s="921"/>
      <c r="J70" s="921"/>
      <c r="K70" s="921"/>
      <c r="L70" s="921"/>
      <c r="M70" s="921"/>
      <c r="N70" s="334"/>
      <c r="O70" s="609"/>
      <c r="P70" s="609"/>
    </row>
    <row r="71" spans="1:16" ht="17">
      <c r="A71" s="869" t="s">
        <v>1457</v>
      </c>
      <c r="B71" s="934"/>
      <c r="C71" s="934"/>
      <c r="D71" s="934"/>
      <c r="E71" s="934"/>
      <c r="F71" s="934"/>
      <c r="G71" s="934"/>
      <c r="H71" s="934"/>
      <c r="I71" s="934"/>
      <c r="J71" s="934"/>
      <c r="K71" s="934"/>
      <c r="L71" s="934"/>
      <c r="M71" s="934"/>
      <c r="N71" s="935"/>
      <c r="O71" s="936"/>
      <c r="P71" s="936"/>
    </row>
    <row r="72" spans="1:16" ht="16">
      <c r="A72" s="875"/>
      <c r="B72" s="921"/>
      <c r="C72" s="921"/>
      <c r="D72" s="921"/>
      <c r="E72" s="921"/>
      <c r="F72" s="921"/>
      <c r="G72" s="921"/>
      <c r="H72" s="921"/>
      <c r="I72" s="921"/>
      <c r="J72" s="921"/>
      <c r="K72" s="921"/>
      <c r="L72" s="921"/>
      <c r="M72" s="921"/>
      <c r="N72" s="334"/>
      <c r="O72" s="609"/>
      <c r="P72" s="609"/>
    </row>
    <row r="73" spans="1:16" ht="85">
      <c r="A73" s="774" t="s">
        <v>1458</v>
      </c>
      <c r="B73" s="916">
        <v>0</v>
      </c>
      <c r="C73" s="916">
        <v>0</v>
      </c>
      <c r="D73" s="916">
        <v>136.9</v>
      </c>
      <c r="E73" s="916">
        <v>0</v>
      </c>
      <c r="F73" s="916">
        <v>0</v>
      </c>
      <c r="G73" s="575">
        <v>136.9</v>
      </c>
      <c r="H73" s="916">
        <v>0</v>
      </c>
      <c r="I73" s="916">
        <v>0</v>
      </c>
      <c r="J73" s="916">
        <v>121.89100000000001</v>
      </c>
      <c r="K73" s="916">
        <v>0</v>
      </c>
      <c r="L73" s="916">
        <v>0</v>
      </c>
      <c r="M73" s="575">
        <v>121.89100000000001</v>
      </c>
      <c r="N73" s="798">
        <v>-0.10963476990504017</v>
      </c>
      <c r="O73" s="58" t="s">
        <v>1645</v>
      </c>
      <c r="P73" s="192" t="s">
        <v>1646</v>
      </c>
    </row>
    <row r="74" spans="1:16" ht="16">
      <c r="A74" s="878"/>
      <c r="B74" s="932"/>
      <c r="C74" s="932"/>
      <c r="D74" s="932"/>
      <c r="E74" s="932"/>
      <c r="F74" s="932"/>
      <c r="G74" s="932"/>
      <c r="H74" s="932"/>
      <c r="I74" s="932"/>
      <c r="J74" s="932"/>
      <c r="K74" s="932"/>
      <c r="L74" s="932"/>
      <c r="M74" s="932"/>
      <c r="N74" s="933"/>
      <c r="O74" s="609"/>
      <c r="P74" s="880"/>
    </row>
    <row r="75" spans="1:16" ht="17">
      <c r="A75" s="495" t="s">
        <v>1459</v>
      </c>
      <c r="B75" s="224"/>
      <c r="C75" s="224"/>
      <c r="D75" s="224"/>
      <c r="E75" s="224"/>
      <c r="F75" s="224"/>
      <c r="G75" s="224"/>
      <c r="H75" s="224"/>
      <c r="I75" s="224"/>
      <c r="J75" s="224"/>
      <c r="K75" s="224"/>
      <c r="L75" s="224"/>
      <c r="M75" s="224"/>
      <c r="N75" s="378"/>
      <c r="O75" s="937"/>
      <c r="P75" s="937"/>
    </row>
    <row r="76" spans="1:16" ht="17">
      <c r="A76" s="771" t="s">
        <v>1460</v>
      </c>
      <c r="B76" s="855">
        <v>0</v>
      </c>
      <c r="C76" s="855">
        <v>0</v>
      </c>
      <c r="D76" s="855">
        <v>0.8</v>
      </c>
      <c r="E76" s="855">
        <v>0</v>
      </c>
      <c r="F76" s="855">
        <v>0</v>
      </c>
      <c r="G76" s="856">
        <v>0.8</v>
      </c>
      <c r="H76" s="855">
        <v>0</v>
      </c>
      <c r="I76" s="855">
        <v>0</v>
      </c>
      <c r="J76" s="855">
        <v>6.53</v>
      </c>
      <c r="K76" s="855">
        <v>0</v>
      </c>
      <c r="L76" s="855">
        <v>0</v>
      </c>
      <c r="M76" s="856">
        <v>6.53</v>
      </c>
      <c r="N76" s="798">
        <v>7.1625000000000005</v>
      </c>
      <c r="O76" s="857" t="s">
        <v>1647</v>
      </c>
      <c r="P76" s="799" t="s">
        <v>1648</v>
      </c>
    </row>
    <row r="77" spans="1:16" ht="34">
      <c r="A77" s="774" t="s">
        <v>1461</v>
      </c>
      <c r="B77" s="916">
        <v>1.7589999999999999</v>
      </c>
      <c r="C77" s="916">
        <v>0</v>
      </c>
      <c r="D77" s="916">
        <v>0</v>
      </c>
      <c r="E77" s="916">
        <v>0</v>
      </c>
      <c r="F77" s="916">
        <v>0</v>
      </c>
      <c r="G77" s="575">
        <v>1.7589999999999999</v>
      </c>
      <c r="H77" s="916">
        <v>1.6120000000000001</v>
      </c>
      <c r="I77" s="916">
        <v>0</v>
      </c>
      <c r="J77" s="916">
        <v>0</v>
      </c>
      <c r="K77" s="916">
        <v>0</v>
      </c>
      <c r="L77" s="916">
        <v>0</v>
      </c>
      <c r="M77" s="575">
        <v>1.6120000000000001</v>
      </c>
      <c r="N77" s="798">
        <v>-8.357021034678784E-2</v>
      </c>
      <c r="O77" s="58" t="s">
        <v>1649</v>
      </c>
      <c r="P77" s="192" t="s">
        <v>1650</v>
      </c>
    </row>
    <row r="78" spans="1:16" ht="17">
      <c r="A78" s="499" t="s">
        <v>1462</v>
      </c>
      <c r="B78" s="248">
        <v>1.7589999999999999</v>
      </c>
      <c r="C78" s="248">
        <v>0</v>
      </c>
      <c r="D78" s="248">
        <v>0.8</v>
      </c>
      <c r="E78" s="248">
        <v>0</v>
      </c>
      <c r="F78" s="248">
        <v>0</v>
      </c>
      <c r="G78" s="248">
        <v>2.5590000000000002</v>
      </c>
      <c r="H78" s="248">
        <v>1.6120000000000001</v>
      </c>
      <c r="I78" s="248">
        <v>0</v>
      </c>
      <c r="J78" s="248">
        <v>6.53</v>
      </c>
      <c r="K78" s="248">
        <v>0</v>
      </c>
      <c r="L78" s="248">
        <v>0</v>
      </c>
      <c r="M78" s="248">
        <v>8.1419999999999995</v>
      </c>
      <c r="N78" s="419">
        <v>2.181711606096131</v>
      </c>
      <c r="O78" s="911"/>
      <c r="P78" s="912"/>
    </row>
    <row r="79" spans="1:16" ht="16">
      <c r="A79" s="878"/>
      <c r="B79" s="932"/>
      <c r="C79" s="932"/>
      <c r="D79" s="932"/>
      <c r="E79" s="932"/>
      <c r="F79" s="932"/>
      <c r="G79" s="932"/>
      <c r="H79" s="932"/>
      <c r="I79" s="932"/>
      <c r="J79" s="932"/>
      <c r="K79" s="932"/>
      <c r="L79" s="932"/>
      <c r="M79" s="932"/>
      <c r="N79" s="933"/>
      <c r="O79" s="609"/>
      <c r="P79" s="880"/>
    </row>
    <row r="80" spans="1:16" ht="34">
      <c r="A80" s="774" t="s">
        <v>1463</v>
      </c>
      <c r="B80" s="916">
        <v>0</v>
      </c>
      <c r="C80" s="916">
        <v>0</v>
      </c>
      <c r="D80" s="916">
        <v>1.8</v>
      </c>
      <c r="E80" s="916">
        <v>0</v>
      </c>
      <c r="F80" s="916">
        <v>0</v>
      </c>
      <c r="G80" s="575">
        <v>1.8</v>
      </c>
      <c r="H80" s="916">
        <v>0</v>
      </c>
      <c r="I80" s="916">
        <v>0</v>
      </c>
      <c r="J80" s="916">
        <v>0</v>
      </c>
      <c r="K80" s="916">
        <v>0</v>
      </c>
      <c r="L80" s="916">
        <v>0</v>
      </c>
      <c r="M80" s="575">
        <v>0</v>
      </c>
      <c r="N80" s="798">
        <v>-1</v>
      </c>
      <c r="O80" s="58" t="s">
        <v>1651</v>
      </c>
      <c r="P80" s="192" t="s">
        <v>1652</v>
      </c>
    </row>
    <row r="81" spans="1:16" ht="16">
      <c r="A81" s="878"/>
      <c r="B81" s="932"/>
      <c r="C81" s="932"/>
      <c r="D81" s="932"/>
      <c r="E81" s="932"/>
      <c r="F81" s="932"/>
      <c r="G81" s="932"/>
      <c r="H81" s="932"/>
      <c r="I81" s="932"/>
      <c r="J81" s="932"/>
      <c r="K81" s="932"/>
      <c r="L81" s="932"/>
      <c r="M81" s="932"/>
      <c r="N81" s="933"/>
      <c r="O81" s="609"/>
      <c r="P81" s="880"/>
    </row>
    <row r="82" spans="1:16" ht="17">
      <c r="A82" s="495" t="s">
        <v>1464</v>
      </c>
      <c r="B82" s="224"/>
      <c r="C82" s="224"/>
      <c r="D82" s="224"/>
      <c r="E82" s="224"/>
      <c r="F82" s="224"/>
      <c r="G82" s="224"/>
      <c r="H82" s="224"/>
      <c r="I82" s="224"/>
      <c r="J82" s="224"/>
      <c r="K82" s="224"/>
      <c r="L82" s="224"/>
      <c r="M82" s="224"/>
      <c r="N82" s="378"/>
      <c r="O82" s="915"/>
      <c r="P82" s="937"/>
    </row>
    <row r="83" spans="1:16" ht="17">
      <c r="A83" s="771" t="s">
        <v>1465</v>
      </c>
      <c r="B83" s="855">
        <v>7.1</v>
      </c>
      <c r="C83" s="855">
        <v>0</v>
      </c>
      <c r="D83" s="855">
        <v>0</v>
      </c>
      <c r="E83" s="855">
        <v>0</v>
      </c>
      <c r="F83" s="855">
        <v>0</v>
      </c>
      <c r="G83" s="856">
        <v>7.1</v>
      </c>
      <c r="H83" s="855">
        <v>7.0810000000000004</v>
      </c>
      <c r="I83" s="855">
        <v>0</v>
      </c>
      <c r="J83" s="855">
        <v>0</v>
      </c>
      <c r="K83" s="855">
        <v>0</v>
      </c>
      <c r="L83" s="855">
        <v>0</v>
      </c>
      <c r="M83" s="856">
        <v>7.0810000000000004</v>
      </c>
      <c r="N83" s="798">
        <v>-2.6760563380280621E-3</v>
      </c>
      <c r="O83" s="857" t="s">
        <v>1653</v>
      </c>
      <c r="P83" s="799" t="s">
        <v>1654</v>
      </c>
    </row>
    <row r="84" spans="1:16" ht="34">
      <c r="A84" s="774" t="s">
        <v>1464</v>
      </c>
      <c r="B84" s="916">
        <v>18.331</v>
      </c>
      <c r="C84" s="916">
        <v>0</v>
      </c>
      <c r="D84" s="916">
        <v>0</v>
      </c>
      <c r="E84" s="916">
        <v>0</v>
      </c>
      <c r="F84" s="916">
        <v>0</v>
      </c>
      <c r="G84" s="575">
        <v>18.331</v>
      </c>
      <c r="H84" s="916">
        <v>16.832999999999998</v>
      </c>
      <c r="I84" s="916">
        <v>0</v>
      </c>
      <c r="J84" s="916">
        <v>0</v>
      </c>
      <c r="K84" s="916">
        <v>0</v>
      </c>
      <c r="L84" s="916">
        <v>0</v>
      </c>
      <c r="M84" s="575">
        <v>16.832999999999998</v>
      </c>
      <c r="N84" s="798">
        <v>-8.1719491571654632E-2</v>
      </c>
      <c r="O84" s="58" t="s">
        <v>1655</v>
      </c>
      <c r="P84" s="192" t="s">
        <v>1656</v>
      </c>
    </row>
    <row r="85" spans="1:16" ht="17">
      <c r="A85" s="499" t="s">
        <v>1466</v>
      </c>
      <c r="B85" s="248">
        <v>25.430999999999997</v>
      </c>
      <c r="C85" s="248">
        <v>0</v>
      </c>
      <c r="D85" s="248">
        <v>0</v>
      </c>
      <c r="E85" s="248">
        <v>0</v>
      </c>
      <c r="F85" s="248">
        <v>0</v>
      </c>
      <c r="G85" s="248">
        <v>25.430999999999997</v>
      </c>
      <c r="H85" s="248">
        <v>23.913999999999998</v>
      </c>
      <c r="I85" s="248">
        <v>0</v>
      </c>
      <c r="J85" s="248">
        <v>0</v>
      </c>
      <c r="K85" s="248">
        <v>0</v>
      </c>
      <c r="L85" s="248">
        <v>0</v>
      </c>
      <c r="M85" s="248">
        <v>23.913999999999998</v>
      </c>
      <c r="N85" s="419">
        <v>-5.9651606307262774E-2</v>
      </c>
      <c r="O85" s="927"/>
      <c r="P85" s="912"/>
    </row>
    <row r="86" spans="1:16" ht="16">
      <c r="A86" s="662"/>
      <c r="B86" s="630"/>
      <c r="C86" s="630"/>
      <c r="D86" s="630"/>
      <c r="E86" s="630"/>
      <c r="F86" s="630"/>
      <c r="G86" s="922"/>
      <c r="H86" s="630"/>
      <c r="I86" s="630"/>
      <c r="J86" s="630"/>
      <c r="K86" s="630"/>
      <c r="L86" s="630"/>
      <c r="M86" s="922"/>
      <c r="N86" s="923"/>
      <c r="O86" s="610"/>
      <c r="P86" s="662"/>
    </row>
    <row r="87" spans="1:16" ht="34">
      <c r="A87" s="774" t="s">
        <v>1467</v>
      </c>
      <c r="B87" s="574">
        <v>0</v>
      </c>
      <c r="C87" s="574">
        <v>0</v>
      </c>
      <c r="D87" s="574">
        <v>116</v>
      </c>
      <c r="E87" s="574">
        <v>0</v>
      </c>
      <c r="F87" s="574">
        <v>0</v>
      </c>
      <c r="G87" s="575">
        <v>116</v>
      </c>
      <c r="H87" s="574">
        <v>0</v>
      </c>
      <c r="I87" s="574">
        <v>0</v>
      </c>
      <c r="J87" s="574">
        <v>80</v>
      </c>
      <c r="K87" s="574">
        <v>0</v>
      </c>
      <c r="L87" s="574">
        <v>0</v>
      </c>
      <c r="M87" s="575">
        <v>80</v>
      </c>
      <c r="N87" s="798">
        <v>-0.31034482758620691</v>
      </c>
      <c r="O87" s="58" t="s">
        <v>1657</v>
      </c>
      <c r="P87" s="192" t="s">
        <v>1658</v>
      </c>
    </row>
    <row r="88" spans="1:16" ht="34">
      <c r="A88" s="774" t="s">
        <v>1468</v>
      </c>
      <c r="B88" s="916">
        <v>0</v>
      </c>
      <c r="C88" s="916">
        <v>167.5</v>
      </c>
      <c r="D88" s="916">
        <v>0</v>
      </c>
      <c r="E88" s="916">
        <v>0</v>
      </c>
      <c r="F88" s="916">
        <v>0</v>
      </c>
      <c r="G88" s="575">
        <v>167.5</v>
      </c>
      <c r="H88" s="916">
        <v>0</v>
      </c>
      <c r="I88" s="916">
        <v>168.6</v>
      </c>
      <c r="J88" s="916">
        <v>0</v>
      </c>
      <c r="K88" s="916">
        <v>0</v>
      </c>
      <c r="L88" s="916">
        <v>0</v>
      </c>
      <c r="M88" s="575">
        <v>168.6</v>
      </c>
      <c r="N88" s="798">
        <v>6.5671641791044434E-3</v>
      </c>
      <c r="O88" s="58" t="s">
        <v>1659</v>
      </c>
      <c r="P88" s="192" t="s">
        <v>1660</v>
      </c>
    </row>
    <row r="89" spans="1:16" ht="51">
      <c r="A89" s="774" t="s">
        <v>1469</v>
      </c>
      <c r="B89" s="916">
        <v>0</v>
      </c>
      <c r="C89" s="916">
        <v>0</v>
      </c>
      <c r="D89" s="916">
        <v>36.5</v>
      </c>
      <c r="E89" s="916">
        <v>0</v>
      </c>
      <c r="F89" s="916">
        <v>0</v>
      </c>
      <c r="G89" s="575">
        <v>36.5</v>
      </c>
      <c r="H89" s="916">
        <v>0</v>
      </c>
      <c r="I89" s="916">
        <v>0</v>
      </c>
      <c r="J89" s="916">
        <v>29.446999999999999</v>
      </c>
      <c r="K89" s="916">
        <v>0</v>
      </c>
      <c r="L89" s="916">
        <v>0</v>
      </c>
      <c r="M89" s="575">
        <v>29.446999999999999</v>
      </c>
      <c r="N89" s="798">
        <v>-0.19323287671232878</v>
      </c>
      <c r="O89" s="58" t="s">
        <v>1661</v>
      </c>
      <c r="P89" s="192" t="s">
        <v>1662</v>
      </c>
    </row>
    <row r="90" spans="1:16" ht="68">
      <c r="A90" s="774" t="s">
        <v>1470</v>
      </c>
      <c r="B90" s="574">
        <v>117.69199999999999</v>
      </c>
      <c r="C90" s="574">
        <v>0</v>
      </c>
      <c r="D90" s="574">
        <v>0</v>
      </c>
      <c r="E90" s="574">
        <v>0</v>
      </c>
      <c r="F90" s="574">
        <v>0</v>
      </c>
      <c r="G90" s="575">
        <v>117.69199999999999</v>
      </c>
      <c r="H90" s="574">
        <v>114.98699999999999</v>
      </c>
      <c r="I90" s="574">
        <v>0</v>
      </c>
      <c r="J90" s="574">
        <v>0</v>
      </c>
      <c r="K90" s="574">
        <v>0</v>
      </c>
      <c r="L90" s="574">
        <v>0</v>
      </c>
      <c r="M90" s="575">
        <v>114.98699999999999</v>
      </c>
      <c r="N90" s="798">
        <v>-2.2983720218876375E-2</v>
      </c>
      <c r="O90" s="58" t="s">
        <v>1663</v>
      </c>
      <c r="P90" s="192" t="s">
        <v>1664</v>
      </c>
    </row>
    <row r="91" spans="1:16" ht="34">
      <c r="A91" s="774" t="s">
        <v>1471</v>
      </c>
      <c r="B91" s="574">
        <v>0</v>
      </c>
      <c r="C91" s="574">
        <v>0</v>
      </c>
      <c r="D91" s="574">
        <v>119</v>
      </c>
      <c r="E91" s="574">
        <v>0</v>
      </c>
      <c r="F91" s="574">
        <v>0</v>
      </c>
      <c r="G91" s="575">
        <v>119</v>
      </c>
      <c r="H91" s="574">
        <v>0</v>
      </c>
      <c r="I91" s="574">
        <v>0</v>
      </c>
      <c r="J91" s="574">
        <v>98.65</v>
      </c>
      <c r="K91" s="574">
        <v>0</v>
      </c>
      <c r="L91" s="574">
        <v>0</v>
      </c>
      <c r="M91" s="575">
        <v>98.65</v>
      </c>
      <c r="N91" s="798">
        <v>-0.17100840336134449</v>
      </c>
      <c r="O91" s="58" t="s">
        <v>1665</v>
      </c>
      <c r="P91" s="192" t="s">
        <v>1666</v>
      </c>
    </row>
    <row r="92" spans="1:16" ht="68">
      <c r="A92" s="774" t="s">
        <v>1472</v>
      </c>
      <c r="B92" s="916">
        <v>5</v>
      </c>
      <c r="C92" s="916">
        <v>0</v>
      </c>
      <c r="D92" s="916">
        <v>15</v>
      </c>
      <c r="E92" s="916">
        <v>0</v>
      </c>
      <c r="F92" s="916">
        <v>0</v>
      </c>
      <c r="G92" s="575">
        <v>20</v>
      </c>
      <c r="H92" s="916">
        <v>5.9829999999999997</v>
      </c>
      <c r="I92" s="916">
        <v>0</v>
      </c>
      <c r="J92" s="916">
        <v>19</v>
      </c>
      <c r="K92" s="916">
        <v>0</v>
      </c>
      <c r="L92" s="916">
        <v>0</v>
      </c>
      <c r="M92" s="575">
        <v>24.983000000000001</v>
      </c>
      <c r="N92" s="798">
        <v>0.24915000000000004</v>
      </c>
      <c r="O92" s="58" t="s">
        <v>1667</v>
      </c>
      <c r="P92" s="192" t="s">
        <v>1668</v>
      </c>
    </row>
    <row r="93" spans="1:16" ht="17">
      <c r="A93" s="774" t="s">
        <v>1473</v>
      </c>
      <c r="B93" s="574">
        <v>0.6</v>
      </c>
      <c r="C93" s="574">
        <v>0</v>
      </c>
      <c r="D93" s="574">
        <v>0</v>
      </c>
      <c r="E93" s="574">
        <v>0</v>
      </c>
      <c r="F93" s="574">
        <v>0</v>
      </c>
      <c r="G93" s="575">
        <v>0.6</v>
      </c>
      <c r="H93" s="574">
        <v>0.58199999999999996</v>
      </c>
      <c r="I93" s="574">
        <v>0</v>
      </c>
      <c r="J93" s="574">
        <v>0</v>
      </c>
      <c r="K93" s="574">
        <v>0</v>
      </c>
      <c r="L93" s="574">
        <v>0</v>
      </c>
      <c r="M93" s="575">
        <v>0.58199999999999996</v>
      </c>
      <c r="N93" s="798">
        <v>-3.0000000000000027E-2</v>
      </c>
      <c r="O93" s="58" t="s">
        <v>1669</v>
      </c>
      <c r="P93" s="192" t="s">
        <v>1654</v>
      </c>
    </row>
    <row r="94" spans="1:16" ht="16">
      <c r="A94" s="662"/>
      <c r="B94" s="630"/>
      <c r="C94" s="630"/>
      <c r="D94" s="630"/>
      <c r="E94" s="630"/>
      <c r="F94" s="630"/>
      <c r="G94" s="922"/>
      <c r="H94" s="630"/>
      <c r="I94" s="630"/>
      <c r="J94" s="630"/>
      <c r="K94" s="630"/>
      <c r="L94" s="630"/>
      <c r="M94" s="922"/>
      <c r="N94" s="923"/>
      <c r="O94" s="610"/>
      <c r="P94" s="662"/>
    </row>
    <row r="95" spans="1:16" ht="17">
      <c r="A95" s="495" t="s">
        <v>1474</v>
      </c>
      <c r="B95" s="224"/>
      <c r="C95" s="224"/>
      <c r="D95" s="224"/>
      <c r="E95" s="224"/>
      <c r="F95" s="224"/>
      <c r="G95" s="224"/>
      <c r="H95" s="224"/>
      <c r="I95" s="224"/>
      <c r="J95" s="224"/>
      <c r="K95" s="224"/>
      <c r="L95" s="224"/>
      <c r="M95" s="224"/>
      <c r="N95" s="378"/>
      <c r="O95" s="915"/>
      <c r="P95" s="915"/>
    </row>
    <row r="96" spans="1:16" ht="34">
      <c r="A96" s="771" t="s">
        <v>1475</v>
      </c>
      <c r="B96" s="855">
        <v>23.309000000000001</v>
      </c>
      <c r="C96" s="855">
        <v>0</v>
      </c>
      <c r="D96" s="855">
        <v>0</v>
      </c>
      <c r="E96" s="855">
        <v>0</v>
      </c>
      <c r="F96" s="855">
        <v>0</v>
      </c>
      <c r="G96" s="856">
        <v>23.309000000000001</v>
      </c>
      <c r="H96" s="855">
        <v>25.445</v>
      </c>
      <c r="I96" s="855">
        <v>0</v>
      </c>
      <c r="J96" s="855">
        <v>0</v>
      </c>
      <c r="K96" s="855">
        <v>0</v>
      </c>
      <c r="L96" s="855">
        <v>0</v>
      </c>
      <c r="M96" s="856">
        <v>25.445</v>
      </c>
      <c r="N96" s="798">
        <v>9.1638422926766452E-2</v>
      </c>
      <c r="O96" s="857" t="s">
        <v>1670</v>
      </c>
      <c r="P96" s="799" t="s">
        <v>1671</v>
      </c>
    </row>
    <row r="97" spans="1:16" ht="34">
      <c r="A97" s="774" t="s">
        <v>1476</v>
      </c>
      <c r="B97" s="916">
        <v>32.585000000000001</v>
      </c>
      <c r="C97" s="916">
        <v>0</v>
      </c>
      <c r="D97" s="916">
        <v>0</v>
      </c>
      <c r="E97" s="916">
        <v>0</v>
      </c>
      <c r="F97" s="916">
        <v>0</v>
      </c>
      <c r="G97" s="575">
        <v>32.585000000000001</v>
      </c>
      <c r="H97" s="916">
        <v>29.611999999999998</v>
      </c>
      <c r="I97" s="916">
        <v>0</v>
      </c>
      <c r="J97" s="916">
        <v>0</v>
      </c>
      <c r="K97" s="916">
        <v>0</v>
      </c>
      <c r="L97" s="916">
        <v>0</v>
      </c>
      <c r="M97" s="575">
        <v>29.611999999999998</v>
      </c>
      <c r="N97" s="798">
        <v>-9.1238299831210762E-2</v>
      </c>
      <c r="O97" s="58" t="s">
        <v>1672</v>
      </c>
      <c r="P97" s="192" t="s">
        <v>1671</v>
      </c>
    </row>
    <row r="98" spans="1:16" ht="34">
      <c r="A98" s="774" t="s">
        <v>1477</v>
      </c>
      <c r="B98" s="916">
        <v>76.558999999999997</v>
      </c>
      <c r="C98" s="916">
        <v>0</v>
      </c>
      <c r="D98" s="916">
        <v>0</v>
      </c>
      <c r="E98" s="916">
        <v>0</v>
      </c>
      <c r="F98" s="916">
        <v>0</v>
      </c>
      <c r="G98" s="575">
        <v>76.558999999999997</v>
      </c>
      <c r="H98" s="916">
        <v>74.960999999999999</v>
      </c>
      <c r="I98" s="916">
        <v>0</v>
      </c>
      <c r="J98" s="916">
        <v>0</v>
      </c>
      <c r="K98" s="916">
        <v>0</v>
      </c>
      <c r="L98" s="916">
        <v>0</v>
      </c>
      <c r="M98" s="575">
        <v>74.960999999999999</v>
      </c>
      <c r="N98" s="798">
        <v>-2.087279091942161E-2</v>
      </c>
      <c r="O98" s="58" t="s">
        <v>1673</v>
      </c>
      <c r="P98" s="192" t="s">
        <v>1671</v>
      </c>
    </row>
    <row r="99" spans="1:16" ht="17">
      <c r="A99" s="499" t="s">
        <v>1478</v>
      </c>
      <c r="B99" s="248">
        <v>132.453</v>
      </c>
      <c r="C99" s="248">
        <v>0</v>
      </c>
      <c r="D99" s="248">
        <v>0</v>
      </c>
      <c r="E99" s="248">
        <v>0</v>
      </c>
      <c r="F99" s="248">
        <v>0</v>
      </c>
      <c r="G99" s="248">
        <v>132.453</v>
      </c>
      <c r="H99" s="248">
        <v>130.018</v>
      </c>
      <c r="I99" s="248">
        <v>0</v>
      </c>
      <c r="J99" s="248">
        <v>0</v>
      </c>
      <c r="K99" s="248">
        <v>0</v>
      </c>
      <c r="L99" s="248">
        <v>0</v>
      </c>
      <c r="M99" s="248">
        <v>130.018</v>
      </c>
      <c r="N99" s="419">
        <v>-1.8383879564826785E-2</v>
      </c>
      <c r="O99" s="911"/>
      <c r="P99" s="912"/>
    </row>
    <row r="100" spans="1:16" ht="16">
      <c r="A100" s="662"/>
      <c r="B100" s="938"/>
      <c r="C100" s="938"/>
      <c r="D100" s="938"/>
      <c r="E100" s="938"/>
      <c r="F100" s="938"/>
      <c r="G100" s="939"/>
      <c r="H100" s="938"/>
      <c r="I100" s="938"/>
      <c r="J100" s="938"/>
      <c r="K100" s="938"/>
      <c r="L100" s="938"/>
      <c r="M100" s="939"/>
      <c r="N100" s="923"/>
      <c r="O100" s="610"/>
      <c r="P100" s="662"/>
    </row>
    <row r="101" spans="1:16" ht="17">
      <c r="A101" s="879" t="s">
        <v>1479</v>
      </c>
      <c r="B101" s="664">
        <v>282.935</v>
      </c>
      <c r="C101" s="664">
        <v>167.5</v>
      </c>
      <c r="D101" s="664">
        <v>426</v>
      </c>
      <c r="E101" s="664">
        <v>0</v>
      </c>
      <c r="F101" s="664">
        <v>0</v>
      </c>
      <c r="G101" s="664">
        <v>876.43499999999995</v>
      </c>
      <c r="H101" s="664">
        <v>277.096</v>
      </c>
      <c r="I101" s="664">
        <v>168.6</v>
      </c>
      <c r="J101" s="664">
        <v>355.51800000000003</v>
      </c>
      <c r="K101" s="664">
        <v>0</v>
      </c>
      <c r="L101" s="664">
        <v>0</v>
      </c>
      <c r="M101" s="664">
        <v>801.21399999999994</v>
      </c>
      <c r="N101" s="820">
        <v>-8.5826102335027701E-2</v>
      </c>
      <c r="O101" s="858"/>
      <c r="P101" s="859"/>
    </row>
    <row r="102" spans="1:16" ht="16">
      <c r="A102" s="875"/>
      <c r="B102" s="921"/>
      <c r="C102" s="921"/>
      <c r="D102" s="921"/>
      <c r="E102" s="921"/>
      <c r="F102" s="921"/>
      <c r="G102" s="921"/>
      <c r="H102" s="921"/>
      <c r="I102" s="921"/>
      <c r="J102" s="921"/>
      <c r="K102" s="921"/>
      <c r="L102" s="921"/>
      <c r="M102" s="921"/>
      <c r="N102" s="334"/>
      <c r="O102" s="609"/>
      <c r="P102" s="609"/>
    </row>
    <row r="103" spans="1:16" ht="17">
      <c r="A103" s="869" t="s">
        <v>1480</v>
      </c>
      <c r="B103" s="235"/>
      <c r="C103" s="235"/>
      <c r="D103" s="235"/>
      <c r="E103" s="235"/>
      <c r="F103" s="235"/>
      <c r="G103" s="235"/>
      <c r="H103" s="235"/>
      <c r="I103" s="235"/>
      <c r="J103" s="235"/>
      <c r="K103" s="235"/>
      <c r="L103" s="235"/>
      <c r="M103" s="235"/>
      <c r="N103" s="331"/>
      <c r="O103" s="919"/>
      <c r="P103" s="919"/>
    </row>
    <row r="104" spans="1:16" ht="16">
      <c r="A104" s="875"/>
      <c r="B104" s="921"/>
      <c r="C104" s="921"/>
      <c r="D104" s="921"/>
      <c r="E104" s="921"/>
      <c r="F104" s="921"/>
      <c r="G104" s="921"/>
      <c r="H104" s="921"/>
      <c r="I104" s="921"/>
      <c r="J104" s="921"/>
      <c r="K104" s="921"/>
      <c r="L104" s="921"/>
      <c r="M104" s="921"/>
      <c r="N104" s="334"/>
      <c r="O104" s="609"/>
      <c r="P104" s="609"/>
    </row>
    <row r="105" spans="1:16" ht="17">
      <c r="A105" s="495" t="s">
        <v>1481</v>
      </c>
      <c r="B105" s="224"/>
      <c r="C105" s="224"/>
      <c r="D105" s="224"/>
      <c r="E105" s="224"/>
      <c r="F105" s="224"/>
      <c r="G105" s="224"/>
      <c r="H105" s="224"/>
      <c r="I105" s="224"/>
      <c r="J105" s="224"/>
      <c r="K105" s="224"/>
      <c r="L105" s="224"/>
      <c r="M105" s="224"/>
      <c r="N105" s="378"/>
      <c r="O105" s="915"/>
      <c r="P105" s="915"/>
    </row>
    <row r="106" spans="1:16" ht="51">
      <c r="A106" s="771" t="s">
        <v>1482</v>
      </c>
      <c r="B106" s="855">
        <v>163.58199999999999</v>
      </c>
      <c r="C106" s="855">
        <v>0</v>
      </c>
      <c r="D106" s="855">
        <v>18.058</v>
      </c>
      <c r="E106" s="855">
        <v>0</v>
      </c>
      <c r="F106" s="855">
        <v>0</v>
      </c>
      <c r="G106" s="856">
        <v>181.64</v>
      </c>
      <c r="H106" s="855">
        <v>186.33799999999999</v>
      </c>
      <c r="I106" s="855">
        <v>0</v>
      </c>
      <c r="J106" s="855">
        <v>18.058</v>
      </c>
      <c r="K106" s="855">
        <v>0</v>
      </c>
      <c r="L106" s="855">
        <v>0</v>
      </c>
      <c r="M106" s="856">
        <v>204.39599999999999</v>
      </c>
      <c r="N106" s="798">
        <v>0.12528077515965647</v>
      </c>
      <c r="O106" s="857" t="s">
        <v>1674</v>
      </c>
      <c r="P106" s="799" t="s">
        <v>1675</v>
      </c>
    </row>
    <row r="107" spans="1:16" ht="51">
      <c r="A107" s="774" t="s">
        <v>1483</v>
      </c>
      <c r="B107" s="916">
        <v>47.506</v>
      </c>
      <c r="C107" s="916">
        <v>0</v>
      </c>
      <c r="D107" s="916">
        <v>3.75</v>
      </c>
      <c r="E107" s="916">
        <v>0</v>
      </c>
      <c r="F107" s="916">
        <v>0</v>
      </c>
      <c r="G107" s="575">
        <v>51.256</v>
      </c>
      <c r="H107" s="916">
        <v>49.484999999999999</v>
      </c>
      <c r="I107" s="916">
        <v>0</v>
      </c>
      <c r="J107" s="916">
        <v>3.75</v>
      </c>
      <c r="K107" s="916">
        <v>0</v>
      </c>
      <c r="L107" s="916">
        <v>0</v>
      </c>
      <c r="M107" s="575">
        <v>53.234999999999999</v>
      </c>
      <c r="N107" s="798">
        <v>3.8610113937880428E-2</v>
      </c>
      <c r="O107" s="58" t="s">
        <v>1676</v>
      </c>
      <c r="P107" s="192" t="s">
        <v>1677</v>
      </c>
    </row>
    <row r="108" spans="1:16" ht="17">
      <c r="A108" s="774" t="s">
        <v>1484</v>
      </c>
      <c r="B108" s="916">
        <v>-4.3609999999999998</v>
      </c>
      <c r="C108" s="916">
        <v>0</v>
      </c>
      <c r="D108" s="916">
        <v>0</v>
      </c>
      <c r="E108" s="916">
        <v>0</v>
      </c>
      <c r="F108" s="916">
        <v>0</v>
      </c>
      <c r="G108" s="575">
        <v>-4.3609999999999998</v>
      </c>
      <c r="H108" s="916">
        <v>-6.6609999999999996</v>
      </c>
      <c r="I108" s="916">
        <v>0</v>
      </c>
      <c r="J108" s="916">
        <v>0</v>
      </c>
      <c r="K108" s="916">
        <v>0</v>
      </c>
      <c r="L108" s="916">
        <v>0</v>
      </c>
      <c r="M108" s="575">
        <v>-6.6609999999999996</v>
      </c>
      <c r="N108" s="798">
        <v>0.52740197202476491</v>
      </c>
      <c r="O108" s="58" t="s">
        <v>1678</v>
      </c>
      <c r="P108" s="192" t="s">
        <v>1679</v>
      </c>
    </row>
    <row r="109" spans="1:16" ht="17">
      <c r="A109" s="499" t="s">
        <v>1485</v>
      </c>
      <c r="B109" s="248">
        <v>206.727</v>
      </c>
      <c r="C109" s="248">
        <v>0</v>
      </c>
      <c r="D109" s="248">
        <v>21.808</v>
      </c>
      <c r="E109" s="248">
        <v>0</v>
      </c>
      <c r="F109" s="248">
        <v>0</v>
      </c>
      <c r="G109" s="248">
        <v>228.535</v>
      </c>
      <c r="H109" s="248">
        <v>229.16199999999998</v>
      </c>
      <c r="I109" s="248">
        <v>0</v>
      </c>
      <c r="J109" s="248">
        <v>21.808</v>
      </c>
      <c r="K109" s="248">
        <v>0</v>
      </c>
      <c r="L109" s="248">
        <v>0</v>
      </c>
      <c r="M109" s="248">
        <v>250.96999999999997</v>
      </c>
      <c r="N109" s="419">
        <v>9.8168770647821882E-2</v>
      </c>
      <c r="O109" s="911"/>
      <c r="P109" s="924"/>
    </row>
    <row r="110" spans="1:16" ht="16">
      <c r="A110" s="875"/>
      <c r="B110" s="921"/>
      <c r="C110" s="921"/>
      <c r="D110" s="921"/>
      <c r="E110" s="921"/>
      <c r="F110" s="921"/>
      <c r="G110" s="921"/>
      <c r="H110" s="921"/>
      <c r="I110" s="921"/>
      <c r="J110" s="921"/>
      <c r="K110" s="921"/>
      <c r="L110" s="921"/>
      <c r="M110" s="921"/>
      <c r="N110" s="334"/>
      <c r="O110" s="609"/>
      <c r="P110" s="609"/>
    </row>
    <row r="111" spans="1:16" ht="17">
      <c r="A111" s="495" t="s">
        <v>1486</v>
      </c>
      <c r="B111" s="224"/>
      <c r="C111" s="224"/>
      <c r="D111" s="224"/>
      <c r="E111" s="224"/>
      <c r="F111" s="224"/>
      <c r="G111" s="224"/>
      <c r="H111" s="224"/>
      <c r="I111" s="224"/>
      <c r="J111" s="224"/>
      <c r="K111" s="224"/>
      <c r="L111" s="224"/>
      <c r="M111" s="224"/>
      <c r="N111" s="378"/>
      <c r="O111" s="915"/>
      <c r="P111" s="915"/>
    </row>
    <row r="112" spans="1:16" ht="34">
      <c r="A112" s="771" t="s">
        <v>1487</v>
      </c>
      <c r="B112" s="855">
        <v>0</v>
      </c>
      <c r="C112" s="855">
        <v>0</v>
      </c>
      <c r="D112" s="855">
        <v>38.491999999999997</v>
      </c>
      <c r="E112" s="855">
        <v>0</v>
      </c>
      <c r="F112" s="855">
        <v>0</v>
      </c>
      <c r="G112" s="856">
        <v>38.491999999999997</v>
      </c>
      <c r="H112" s="855">
        <v>0</v>
      </c>
      <c r="I112" s="855">
        <v>0</v>
      </c>
      <c r="J112" s="855">
        <v>78.900000000000006</v>
      </c>
      <c r="K112" s="855">
        <v>0</v>
      </c>
      <c r="L112" s="855">
        <v>0</v>
      </c>
      <c r="M112" s="856">
        <v>78.900000000000006</v>
      </c>
      <c r="N112" s="798">
        <v>1.049776576951055</v>
      </c>
      <c r="O112" s="857" t="s">
        <v>1680</v>
      </c>
      <c r="P112" s="799" t="s">
        <v>1681</v>
      </c>
    </row>
    <row r="113" spans="1:16" ht="51">
      <c r="A113" s="774" t="s">
        <v>1488</v>
      </c>
      <c r="B113" s="916">
        <v>0</v>
      </c>
      <c r="C113" s="916">
        <v>0</v>
      </c>
      <c r="D113" s="916">
        <v>36.9</v>
      </c>
      <c r="E113" s="916">
        <v>0</v>
      </c>
      <c r="F113" s="916">
        <v>0</v>
      </c>
      <c r="G113" s="575">
        <v>36.9</v>
      </c>
      <c r="H113" s="916">
        <v>0</v>
      </c>
      <c r="I113" s="916">
        <v>0</v>
      </c>
      <c r="J113" s="916">
        <v>117.1</v>
      </c>
      <c r="K113" s="916">
        <v>0</v>
      </c>
      <c r="L113" s="916">
        <v>0</v>
      </c>
      <c r="M113" s="575">
        <v>117.1</v>
      </c>
      <c r="N113" s="798">
        <v>2.1734417344173438</v>
      </c>
      <c r="O113" s="58" t="s">
        <v>1682</v>
      </c>
      <c r="P113" s="192" t="s">
        <v>1683</v>
      </c>
    </row>
    <row r="114" spans="1:16" ht="17">
      <c r="A114" s="774" t="s">
        <v>1489</v>
      </c>
      <c r="B114" s="916">
        <v>0</v>
      </c>
      <c r="C114" s="916">
        <v>0</v>
      </c>
      <c r="D114" s="916">
        <v>-7.883</v>
      </c>
      <c r="E114" s="916">
        <v>0</v>
      </c>
      <c r="F114" s="916">
        <v>0</v>
      </c>
      <c r="G114" s="575">
        <v>-7.883</v>
      </c>
      <c r="H114" s="916">
        <v>0</v>
      </c>
      <c r="I114" s="916">
        <v>0</v>
      </c>
      <c r="J114" s="916">
        <v>-7</v>
      </c>
      <c r="K114" s="916">
        <v>0</v>
      </c>
      <c r="L114" s="916">
        <v>0</v>
      </c>
      <c r="M114" s="575">
        <v>-7</v>
      </c>
      <c r="N114" s="798">
        <v>-0.11201319294684765</v>
      </c>
      <c r="O114" s="58" t="s">
        <v>1684</v>
      </c>
      <c r="P114" s="192" t="s">
        <v>1685</v>
      </c>
    </row>
    <row r="115" spans="1:16" ht="17">
      <c r="A115" s="499" t="s">
        <v>1490</v>
      </c>
      <c r="B115" s="248">
        <v>0</v>
      </c>
      <c r="C115" s="248">
        <v>0</v>
      </c>
      <c r="D115" s="248">
        <v>67.509</v>
      </c>
      <c r="E115" s="248">
        <v>0</v>
      </c>
      <c r="F115" s="248">
        <v>0</v>
      </c>
      <c r="G115" s="248">
        <v>67.509</v>
      </c>
      <c r="H115" s="248">
        <v>0</v>
      </c>
      <c r="I115" s="248">
        <v>0</v>
      </c>
      <c r="J115" s="248">
        <v>189</v>
      </c>
      <c r="K115" s="248">
        <v>0</v>
      </c>
      <c r="L115" s="248">
        <v>0</v>
      </c>
      <c r="M115" s="248">
        <v>189</v>
      </c>
      <c r="N115" s="419">
        <v>1.7996267164378084</v>
      </c>
      <c r="O115" s="911"/>
      <c r="P115" s="912"/>
    </row>
    <row r="116" spans="1:16" ht="16">
      <c r="A116" s="875"/>
      <c r="B116" s="921"/>
      <c r="C116" s="921"/>
      <c r="D116" s="921"/>
      <c r="E116" s="921"/>
      <c r="F116" s="921"/>
      <c r="G116" s="921"/>
      <c r="H116" s="921"/>
      <c r="I116" s="921"/>
      <c r="J116" s="921"/>
      <c r="K116" s="921"/>
      <c r="L116" s="921"/>
      <c r="M116" s="921"/>
      <c r="N116" s="334"/>
      <c r="O116" s="609"/>
      <c r="P116" s="609"/>
    </row>
    <row r="117" spans="1:16" ht="17">
      <c r="A117" s="873" t="s">
        <v>1491</v>
      </c>
      <c r="B117" s="664">
        <v>206.727</v>
      </c>
      <c r="C117" s="664">
        <v>0</v>
      </c>
      <c r="D117" s="664">
        <v>89.317000000000007</v>
      </c>
      <c r="E117" s="664">
        <v>0</v>
      </c>
      <c r="F117" s="664">
        <v>0</v>
      </c>
      <c r="G117" s="664">
        <v>296.04399999999998</v>
      </c>
      <c r="H117" s="664">
        <v>229.16199999999998</v>
      </c>
      <c r="I117" s="664">
        <v>0</v>
      </c>
      <c r="J117" s="664">
        <v>210.80799999999999</v>
      </c>
      <c r="K117" s="664">
        <v>0</v>
      </c>
      <c r="L117" s="664">
        <v>0</v>
      </c>
      <c r="M117" s="664">
        <v>439.96999999999997</v>
      </c>
      <c r="N117" s="820">
        <v>0.48616421883233574</v>
      </c>
      <c r="O117" s="858"/>
      <c r="P117" s="859"/>
    </row>
    <row r="118" spans="1:16" ht="16">
      <c r="A118" s="875"/>
      <c r="B118" s="921"/>
      <c r="C118" s="921"/>
      <c r="D118" s="921"/>
      <c r="E118" s="921"/>
      <c r="F118" s="921"/>
      <c r="G118" s="921"/>
      <c r="H118" s="921"/>
      <c r="I118" s="921"/>
      <c r="J118" s="921"/>
      <c r="K118" s="921"/>
      <c r="L118" s="921"/>
      <c r="M118" s="921"/>
      <c r="N118" s="334"/>
      <c r="O118" s="609"/>
      <c r="P118" s="609"/>
    </row>
    <row r="119" spans="1:16" ht="17">
      <c r="A119" s="869" t="s">
        <v>1492</v>
      </c>
      <c r="B119" s="235"/>
      <c r="C119" s="235"/>
      <c r="D119" s="235"/>
      <c r="E119" s="235"/>
      <c r="F119" s="235"/>
      <c r="G119" s="235"/>
      <c r="H119" s="235"/>
      <c r="I119" s="235"/>
      <c r="J119" s="235"/>
      <c r="K119" s="235"/>
      <c r="L119" s="235"/>
      <c r="M119" s="235"/>
      <c r="N119" s="331"/>
      <c r="O119" s="919"/>
      <c r="P119" s="919"/>
    </row>
    <row r="120" spans="1:16" ht="16">
      <c r="A120" s="880"/>
      <c r="B120" s="932"/>
      <c r="C120" s="932"/>
      <c r="D120" s="932"/>
      <c r="E120" s="932"/>
      <c r="F120" s="932"/>
      <c r="G120" s="932"/>
      <c r="H120" s="932"/>
      <c r="I120" s="932"/>
      <c r="J120" s="932"/>
      <c r="K120" s="932"/>
      <c r="L120" s="932"/>
      <c r="M120" s="932"/>
      <c r="N120" s="933"/>
      <c r="O120" s="609"/>
      <c r="P120" s="609"/>
    </row>
    <row r="121" spans="1:16" ht="17">
      <c r="A121" s="495" t="s">
        <v>1493</v>
      </c>
      <c r="B121" s="224"/>
      <c r="C121" s="224"/>
      <c r="D121" s="224"/>
      <c r="E121" s="224"/>
      <c r="F121" s="224"/>
      <c r="G121" s="224"/>
      <c r="H121" s="224"/>
      <c r="I121" s="224"/>
      <c r="J121" s="224"/>
      <c r="K121" s="224"/>
      <c r="L121" s="224"/>
      <c r="M121" s="224"/>
      <c r="N121" s="378"/>
      <c r="O121" s="915"/>
      <c r="P121" s="915"/>
    </row>
    <row r="122" spans="1:16" ht="34">
      <c r="A122" s="771" t="s">
        <v>1494</v>
      </c>
      <c r="B122" s="855">
        <v>41.457000000000001</v>
      </c>
      <c r="C122" s="855">
        <v>0</v>
      </c>
      <c r="D122" s="855">
        <v>0</v>
      </c>
      <c r="E122" s="855">
        <v>0</v>
      </c>
      <c r="F122" s="855">
        <v>0</v>
      </c>
      <c r="G122" s="856">
        <v>41.457000000000001</v>
      </c>
      <c r="H122" s="855">
        <v>41.887</v>
      </c>
      <c r="I122" s="855">
        <v>0</v>
      </c>
      <c r="J122" s="855">
        <v>0</v>
      </c>
      <c r="K122" s="855">
        <v>0</v>
      </c>
      <c r="L122" s="855">
        <v>0</v>
      </c>
      <c r="M122" s="856">
        <v>41.887</v>
      </c>
      <c r="N122" s="798">
        <v>1.0372192874544701E-2</v>
      </c>
      <c r="O122" s="857" t="s">
        <v>1686</v>
      </c>
      <c r="P122" s="192" t="s">
        <v>1687</v>
      </c>
    </row>
    <row r="123" spans="1:16" ht="51">
      <c r="A123" s="774" t="s">
        <v>1495</v>
      </c>
      <c r="B123" s="916">
        <v>0</v>
      </c>
      <c r="C123" s="916">
        <v>0</v>
      </c>
      <c r="D123" s="916">
        <v>20.399999999999999</v>
      </c>
      <c r="E123" s="916">
        <v>0</v>
      </c>
      <c r="F123" s="916">
        <v>0</v>
      </c>
      <c r="G123" s="575">
        <v>20.399999999999999</v>
      </c>
      <c r="H123" s="916">
        <v>0</v>
      </c>
      <c r="I123" s="916">
        <v>0</v>
      </c>
      <c r="J123" s="916">
        <v>17.600000000000001</v>
      </c>
      <c r="K123" s="916">
        <v>0</v>
      </c>
      <c r="L123" s="916">
        <v>0</v>
      </c>
      <c r="M123" s="575">
        <v>17.600000000000001</v>
      </c>
      <c r="N123" s="798">
        <v>-0.13725490196078419</v>
      </c>
      <c r="O123" s="58" t="s">
        <v>1688</v>
      </c>
      <c r="P123" s="192" t="s">
        <v>1689</v>
      </c>
    </row>
    <row r="124" spans="1:16" ht="34">
      <c r="A124" s="774" t="s">
        <v>1496</v>
      </c>
      <c r="B124" s="916">
        <v>0</v>
      </c>
      <c r="C124" s="916">
        <v>9.5</v>
      </c>
      <c r="D124" s="916">
        <v>0</v>
      </c>
      <c r="E124" s="916">
        <v>0</v>
      </c>
      <c r="F124" s="916">
        <v>0</v>
      </c>
      <c r="G124" s="575">
        <v>9.5</v>
      </c>
      <c r="H124" s="916">
        <v>0</v>
      </c>
      <c r="I124" s="916">
        <v>9.5</v>
      </c>
      <c r="J124" s="916">
        <v>0</v>
      </c>
      <c r="K124" s="916">
        <v>0</v>
      </c>
      <c r="L124" s="916">
        <v>0</v>
      </c>
      <c r="M124" s="575">
        <v>9.5</v>
      </c>
      <c r="N124" s="798">
        <v>0</v>
      </c>
      <c r="O124" s="58" t="s">
        <v>1690</v>
      </c>
      <c r="P124" s="192" t="s">
        <v>1596</v>
      </c>
    </row>
    <row r="125" spans="1:16" ht="34">
      <c r="A125" s="499" t="s">
        <v>1497</v>
      </c>
      <c r="B125" s="248">
        <v>41.457000000000001</v>
      </c>
      <c r="C125" s="248">
        <v>9.5</v>
      </c>
      <c r="D125" s="248">
        <v>20.399999999999999</v>
      </c>
      <c r="E125" s="248">
        <v>0</v>
      </c>
      <c r="F125" s="248">
        <v>0</v>
      </c>
      <c r="G125" s="248">
        <v>71.356999999999999</v>
      </c>
      <c r="H125" s="248">
        <v>41.887</v>
      </c>
      <c r="I125" s="248">
        <v>9.5</v>
      </c>
      <c r="J125" s="248">
        <v>17.600000000000001</v>
      </c>
      <c r="K125" s="248">
        <v>0</v>
      </c>
      <c r="L125" s="248">
        <v>0</v>
      </c>
      <c r="M125" s="248">
        <v>68.986999999999995</v>
      </c>
      <c r="N125" s="419">
        <v>-3.3213279706265746E-2</v>
      </c>
      <c r="O125" s="911"/>
      <c r="P125" s="924"/>
    </row>
    <row r="126" spans="1:16" ht="16">
      <c r="A126" s="880"/>
      <c r="B126" s="932"/>
      <c r="C126" s="932"/>
      <c r="D126" s="932"/>
      <c r="E126" s="932"/>
      <c r="F126" s="932"/>
      <c r="G126" s="932"/>
      <c r="H126" s="932"/>
      <c r="I126" s="932"/>
      <c r="J126" s="932"/>
      <c r="K126" s="932"/>
      <c r="L126" s="932"/>
      <c r="M126" s="932"/>
      <c r="N126" s="933"/>
      <c r="O126" s="609"/>
      <c r="P126" s="609"/>
    </row>
    <row r="127" spans="1:16" ht="51">
      <c r="A127" s="774" t="s">
        <v>1498</v>
      </c>
      <c r="B127" s="916">
        <v>17.163</v>
      </c>
      <c r="C127" s="916">
        <v>0</v>
      </c>
      <c r="D127" s="916">
        <v>0</v>
      </c>
      <c r="E127" s="916">
        <v>0</v>
      </c>
      <c r="F127" s="916">
        <v>0</v>
      </c>
      <c r="G127" s="575">
        <v>17.163</v>
      </c>
      <c r="H127" s="916">
        <v>14.49</v>
      </c>
      <c r="I127" s="916">
        <v>0</v>
      </c>
      <c r="J127" s="916">
        <v>0</v>
      </c>
      <c r="K127" s="916">
        <v>0</v>
      </c>
      <c r="L127" s="916">
        <v>0</v>
      </c>
      <c r="M127" s="575">
        <v>14.49</v>
      </c>
      <c r="N127" s="798">
        <v>-0.1557420031463031</v>
      </c>
      <c r="O127" s="58" t="s">
        <v>1691</v>
      </c>
      <c r="P127" s="192" t="s">
        <v>1692</v>
      </c>
    </row>
    <row r="128" spans="1:16" ht="17">
      <c r="A128" s="873" t="s">
        <v>1499</v>
      </c>
      <c r="B128" s="664">
        <v>58.620000000000005</v>
      </c>
      <c r="C128" s="664">
        <v>9.5</v>
      </c>
      <c r="D128" s="664">
        <v>20.399999999999999</v>
      </c>
      <c r="E128" s="664">
        <v>0</v>
      </c>
      <c r="F128" s="664">
        <v>0</v>
      </c>
      <c r="G128" s="664">
        <v>88.52</v>
      </c>
      <c r="H128" s="664">
        <v>56.377000000000002</v>
      </c>
      <c r="I128" s="664">
        <v>9.5</v>
      </c>
      <c r="J128" s="664">
        <v>17.600000000000001</v>
      </c>
      <c r="K128" s="664">
        <v>0</v>
      </c>
      <c r="L128" s="664">
        <v>0</v>
      </c>
      <c r="M128" s="664">
        <v>83.47699999999999</v>
      </c>
      <c r="N128" s="820">
        <v>-5.697017623136022E-2</v>
      </c>
      <c r="O128" s="858"/>
      <c r="P128" s="859"/>
    </row>
    <row r="129" spans="1:16" ht="16">
      <c r="A129" s="880"/>
      <c r="B129" s="932"/>
      <c r="C129" s="932"/>
      <c r="D129" s="932"/>
      <c r="E129" s="932"/>
      <c r="F129" s="932"/>
      <c r="G129" s="932"/>
      <c r="H129" s="932"/>
      <c r="I129" s="932"/>
      <c r="J129" s="932"/>
      <c r="K129" s="932"/>
      <c r="L129" s="932"/>
      <c r="M129" s="932"/>
      <c r="N129" s="933"/>
      <c r="O129" s="609"/>
      <c r="P129" s="609"/>
    </row>
    <row r="130" spans="1:16" ht="17">
      <c r="A130" s="777" t="s">
        <v>1500</v>
      </c>
      <c r="B130" s="826"/>
      <c r="C130" s="826"/>
      <c r="D130" s="826"/>
      <c r="E130" s="826"/>
      <c r="F130" s="826"/>
      <c r="G130" s="826"/>
      <c r="H130" s="826"/>
      <c r="I130" s="826"/>
      <c r="J130" s="826"/>
      <c r="K130" s="826"/>
      <c r="L130" s="826"/>
      <c r="M130" s="826"/>
      <c r="N130" s="459"/>
      <c r="O130" s="827"/>
      <c r="P130" s="827"/>
    </row>
    <row r="131" spans="1:16" ht="68">
      <c r="A131" s="881" t="s">
        <v>1501</v>
      </c>
      <c r="B131" s="796">
        <v>19.600000000000001</v>
      </c>
      <c r="C131" s="796">
        <v>0</v>
      </c>
      <c r="D131" s="796">
        <v>0</v>
      </c>
      <c r="E131" s="796">
        <v>0</v>
      </c>
      <c r="F131" s="796">
        <v>0</v>
      </c>
      <c r="G131" s="797">
        <v>19.600000000000001</v>
      </c>
      <c r="H131" s="796">
        <v>20.274000000000001</v>
      </c>
      <c r="I131" s="796">
        <v>0</v>
      </c>
      <c r="J131" s="796">
        <v>0</v>
      </c>
      <c r="K131" s="796">
        <v>0</v>
      </c>
      <c r="L131" s="796">
        <v>0</v>
      </c>
      <c r="M131" s="797">
        <v>20.274000000000001</v>
      </c>
      <c r="N131" s="798">
        <v>3.4387755102040785E-2</v>
      </c>
      <c r="O131" s="940" t="s">
        <v>1693</v>
      </c>
      <c r="P131" s="941" t="s">
        <v>1596</v>
      </c>
    </row>
    <row r="132" spans="1:16" ht="17">
      <c r="A132" s="882" t="s">
        <v>979</v>
      </c>
      <c r="B132" s="813">
        <v>0</v>
      </c>
      <c r="C132" s="813">
        <v>0.50600000000000001</v>
      </c>
      <c r="D132" s="813">
        <v>0</v>
      </c>
      <c r="E132" s="813">
        <v>0</v>
      </c>
      <c r="F132" s="813">
        <v>0</v>
      </c>
      <c r="G132" s="814">
        <v>0.50600000000000001</v>
      </c>
      <c r="H132" s="813">
        <v>0</v>
      </c>
      <c r="I132" s="813">
        <v>0.433</v>
      </c>
      <c r="J132" s="813">
        <v>0</v>
      </c>
      <c r="K132" s="813">
        <v>0</v>
      </c>
      <c r="L132" s="813">
        <v>0</v>
      </c>
      <c r="M132" s="814">
        <v>0.433</v>
      </c>
      <c r="N132" s="798">
        <v>-0.14426877470355734</v>
      </c>
      <c r="O132" s="205" t="s">
        <v>1694</v>
      </c>
      <c r="P132" s="192" t="s">
        <v>1596</v>
      </c>
    </row>
    <row r="133" spans="1:16" ht="51">
      <c r="A133" s="882" t="s">
        <v>1502</v>
      </c>
      <c r="B133" s="813">
        <v>20</v>
      </c>
      <c r="C133" s="813">
        <v>0</v>
      </c>
      <c r="D133" s="813">
        <v>48.5</v>
      </c>
      <c r="E133" s="813">
        <v>1</v>
      </c>
      <c r="F133" s="813">
        <v>0</v>
      </c>
      <c r="G133" s="814">
        <v>69.5</v>
      </c>
      <c r="H133" s="813">
        <v>23.196000000000002</v>
      </c>
      <c r="I133" s="813">
        <v>0</v>
      </c>
      <c r="J133" s="813">
        <v>54</v>
      </c>
      <c r="K133" s="813">
        <v>0</v>
      </c>
      <c r="L133" s="813">
        <v>0</v>
      </c>
      <c r="M133" s="814">
        <v>77.195999999999998</v>
      </c>
      <c r="N133" s="798">
        <v>0.11073381294964026</v>
      </c>
      <c r="O133" s="942" t="s">
        <v>1695</v>
      </c>
      <c r="P133" s="192" t="s">
        <v>1696</v>
      </c>
    </row>
    <row r="134" spans="1:16" ht="85">
      <c r="A134" s="882" t="s">
        <v>1503</v>
      </c>
      <c r="B134" s="813">
        <v>2.73</v>
      </c>
      <c r="C134" s="813">
        <v>0</v>
      </c>
      <c r="D134" s="813">
        <v>1.7270000000000001</v>
      </c>
      <c r="E134" s="813">
        <v>0</v>
      </c>
      <c r="F134" s="813">
        <v>0</v>
      </c>
      <c r="G134" s="814">
        <v>4.4569999999999999</v>
      </c>
      <c r="H134" s="813">
        <v>2.73</v>
      </c>
      <c r="I134" s="813">
        <v>0</v>
      </c>
      <c r="J134" s="813">
        <v>1.7270000000000001</v>
      </c>
      <c r="K134" s="813">
        <v>0</v>
      </c>
      <c r="L134" s="813">
        <v>0</v>
      </c>
      <c r="M134" s="814">
        <v>4.4569999999999999</v>
      </c>
      <c r="N134" s="798">
        <v>0</v>
      </c>
      <c r="O134" s="942" t="s">
        <v>1697</v>
      </c>
      <c r="P134" s="192" t="s">
        <v>293</v>
      </c>
    </row>
    <row r="135" spans="1:16" ht="17">
      <c r="A135" s="882" t="s">
        <v>1504</v>
      </c>
      <c r="B135" s="813">
        <v>-3.2</v>
      </c>
      <c r="C135" s="813">
        <v>0</v>
      </c>
      <c r="D135" s="813">
        <v>0</v>
      </c>
      <c r="E135" s="813">
        <v>0</v>
      </c>
      <c r="F135" s="813">
        <v>0</v>
      </c>
      <c r="G135" s="814">
        <v>-3.2</v>
      </c>
      <c r="H135" s="813">
        <v>0</v>
      </c>
      <c r="I135" s="813">
        <v>0</v>
      </c>
      <c r="J135" s="813">
        <v>0</v>
      </c>
      <c r="K135" s="813">
        <v>0</v>
      </c>
      <c r="L135" s="813">
        <v>0</v>
      </c>
      <c r="M135" s="814">
        <v>0</v>
      </c>
      <c r="N135" s="798">
        <v>-1</v>
      </c>
      <c r="O135" s="205" t="s">
        <v>1698</v>
      </c>
      <c r="P135" s="192" t="s">
        <v>1699</v>
      </c>
    </row>
    <row r="136" spans="1:16" ht="17">
      <c r="A136" s="883" t="s">
        <v>1505</v>
      </c>
      <c r="B136" s="943">
        <v>39.129999999999995</v>
      </c>
      <c r="C136" s="943">
        <v>0.50600000000000001</v>
      </c>
      <c r="D136" s="943">
        <v>50.226999999999997</v>
      </c>
      <c r="E136" s="943">
        <v>1</v>
      </c>
      <c r="F136" s="943">
        <v>0</v>
      </c>
      <c r="G136" s="943">
        <v>90.862999999999985</v>
      </c>
      <c r="H136" s="943">
        <v>46.199999999999996</v>
      </c>
      <c r="I136" s="943">
        <v>0.433</v>
      </c>
      <c r="J136" s="943">
        <v>55.726999999999997</v>
      </c>
      <c r="K136" s="943">
        <v>0</v>
      </c>
      <c r="L136" s="943">
        <v>0</v>
      </c>
      <c r="M136" s="943">
        <v>102.35999999999999</v>
      </c>
      <c r="N136" s="820">
        <v>0.12653115129370593</v>
      </c>
      <c r="O136" s="944"/>
      <c r="P136" s="944"/>
    </row>
    <row r="137" spans="1:16" ht="16">
      <c r="A137" s="884"/>
      <c r="B137" s="945"/>
      <c r="C137" s="945"/>
      <c r="D137" s="945"/>
      <c r="E137" s="945"/>
      <c r="F137" s="945"/>
      <c r="G137" s="946"/>
      <c r="H137" s="945"/>
      <c r="I137" s="945"/>
      <c r="J137" s="945"/>
      <c r="K137" s="945"/>
      <c r="L137" s="945"/>
      <c r="M137" s="946"/>
      <c r="N137" s="947"/>
      <c r="O137" s="948"/>
      <c r="P137" s="948"/>
    </row>
    <row r="138" spans="1:16" ht="17">
      <c r="A138" s="777" t="s">
        <v>1506</v>
      </c>
      <c r="B138" s="826"/>
      <c r="C138" s="826"/>
      <c r="D138" s="826"/>
      <c r="E138" s="826"/>
      <c r="F138" s="826"/>
      <c r="G138" s="826"/>
      <c r="H138" s="826"/>
      <c r="I138" s="826"/>
      <c r="J138" s="826"/>
      <c r="K138" s="826"/>
      <c r="L138" s="826"/>
      <c r="M138" s="826"/>
      <c r="N138" s="459"/>
      <c r="O138" s="827"/>
      <c r="P138" s="827"/>
    </row>
    <row r="139" spans="1:16" ht="34">
      <c r="A139" s="881" t="s">
        <v>672</v>
      </c>
      <c r="B139" s="796">
        <v>16.7</v>
      </c>
      <c r="C139" s="796">
        <v>0</v>
      </c>
      <c r="D139" s="796">
        <v>0</v>
      </c>
      <c r="E139" s="796">
        <v>0</v>
      </c>
      <c r="F139" s="796">
        <v>0</v>
      </c>
      <c r="G139" s="797">
        <v>16.7</v>
      </c>
      <c r="H139" s="796">
        <v>12.169</v>
      </c>
      <c r="I139" s="796">
        <v>0</v>
      </c>
      <c r="J139" s="796">
        <v>0</v>
      </c>
      <c r="K139" s="796">
        <v>0</v>
      </c>
      <c r="L139" s="796">
        <v>0</v>
      </c>
      <c r="M139" s="797">
        <v>12.169</v>
      </c>
      <c r="N139" s="798">
        <v>-0.27131736526946104</v>
      </c>
      <c r="O139" s="90" t="s">
        <v>1700</v>
      </c>
      <c r="P139" s="799" t="s">
        <v>1701</v>
      </c>
    </row>
    <row r="140" spans="1:16" ht="68">
      <c r="A140" s="882" t="s">
        <v>673</v>
      </c>
      <c r="B140" s="813">
        <v>0</v>
      </c>
      <c r="C140" s="813">
        <v>0</v>
      </c>
      <c r="D140" s="813">
        <v>10.5</v>
      </c>
      <c r="E140" s="813">
        <v>0</v>
      </c>
      <c r="F140" s="813">
        <v>0</v>
      </c>
      <c r="G140" s="814">
        <v>10.5</v>
      </c>
      <c r="H140" s="813">
        <v>0</v>
      </c>
      <c r="I140" s="813">
        <v>0</v>
      </c>
      <c r="J140" s="813">
        <v>11.6</v>
      </c>
      <c r="K140" s="813">
        <v>0</v>
      </c>
      <c r="L140" s="813">
        <v>0</v>
      </c>
      <c r="M140" s="814">
        <v>11.6</v>
      </c>
      <c r="N140" s="798">
        <v>0.10476190476190472</v>
      </c>
      <c r="O140" s="205" t="s">
        <v>1702</v>
      </c>
      <c r="P140" s="192" t="s">
        <v>1703</v>
      </c>
    </row>
    <row r="141" spans="1:16" ht="17">
      <c r="A141" s="791" t="s">
        <v>1507</v>
      </c>
      <c r="B141" s="865">
        <v>16.7</v>
      </c>
      <c r="C141" s="865">
        <v>0</v>
      </c>
      <c r="D141" s="865">
        <v>10.5</v>
      </c>
      <c r="E141" s="865">
        <v>0</v>
      </c>
      <c r="F141" s="865">
        <v>0</v>
      </c>
      <c r="G141" s="865">
        <v>27.2</v>
      </c>
      <c r="H141" s="865">
        <v>12.169</v>
      </c>
      <c r="I141" s="865">
        <v>0</v>
      </c>
      <c r="J141" s="865">
        <v>11.6</v>
      </c>
      <c r="K141" s="865">
        <v>0</v>
      </c>
      <c r="L141" s="865">
        <v>0</v>
      </c>
      <c r="M141" s="865">
        <v>23.768999999999998</v>
      </c>
      <c r="N141" s="820">
        <v>-0.12613970588235299</v>
      </c>
      <c r="O141" s="821"/>
      <c r="P141" s="822"/>
    </row>
    <row r="142" spans="1:16">
      <c r="A142"/>
    </row>
    <row r="143" spans="1:16" ht="17">
      <c r="A143" s="885" t="s">
        <v>1508</v>
      </c>
      <c r="B143" s="949"/>
      <c r="C143" s="949"/>
      <c r="D143" s="949"/>
      <c r="E143" s="949"/>
      <c r="F143" s="949"/>
      <c r="G143" s="949"/>
      <c r="H143" s="949"/>
      <c r="I143" s="949"/>
      <c r="J143" s="949"/>
      <c r="K143" s="949"/>
      <c r="L143" s="949"/>
      <c r="M143" s="949"/>
      <c r="N143" s="842"/>
      <c r="O143" s="459"/>
      <c r="P143" s="459"/>
    </row>
    <row r="144" spans="1:16" ht="16">
      <c r="A144" s="886"/>
      <c r="B144" s="950"/>
      <c r="C144" s="950"/>
      <c r="D144" s="950"/>
      <c r="E144" s="950"/>
      <c r="F144" s="950"/>
      <c r="G144" s="951"/>
      <c r="H144" s="950"/>
      <c r="I144" s="950"/>
      <c r="J144" s="950"/>
      <c r="K144" s="950"/>
      <c r="L144" s="950"/>
      <c r="M144" s="951"/>
      <c r="N144" s="850"/>
      <c r="O144" s="896"/>
      <c r="P144" s="896"/>
    </row>
    <row r="145" spans="1:16" ht="34">
      <c r="A145" s="606" t="s">
        <v>1509</v>
      </c>
      <c r="B145" s="638"/>
      <c r="C145" s="638"/>
      <c r="D145" s="638"/>
      <c r="E145" s="638"/>
      <c r="F145" s="638"/>
      <c r="G145" s="638"/>
      <c r="H145" s="638"/>
      <c r="I145" s="638"/>
      <c r="J145" s="638"/>
      <c r="K145" s="638"/>
      <c r="L145" s="638"/>
      <c r="M145" s="638"/>
      <c r="N145" s="638"/>
      <c r="O145" s="638"/>
      <c r="P145" s="638"/>
    </row>
    <row r="146" spans="1:16" ht="34">
      <c r="A146" s="887" t="s">
        <v>1510</v>
      </c>
      <c r="B146" s="796">
        <v>1.4</v>
      </c>
      <c r="C146" s="796">
        <v>0</v>
      </c>
      <c r="D146" s="796">
        <v>0</v>
      </c>
      <c r="E146" s="796">
        <v>0</v>
      </c>
      <c r="F146" s="796">
        <v>0</v>
      </c>
      <c r="G146" s="797">
        <v>1.4</v>
      </c>
      <c r="H146" s="796">
        <v>0.3</v>
      </c>
      <c r="I146" s="796">
        <v>0</v>
      </c>
      <c r="J146" s="796">
        <v>0</v>
      </c>
      <c r="K146" s="796">
        <v>0</v>
      </c>
      <c r="L146" s="796">
        <v>0</v>
      </c>
      <c r="M146" s="797">
        <v>0.3</v>
      </c>
      <c r="N146" s="798">
        <v>-0.7857142857142857</v>
      </c>
      <c r="O146" s="887" t="s">
        <v>1704</v>
      </c>
      <c r="P146" s="952" t="s">
        <v>1705</v>
      </c>
    </row>
    <row r="147" spans="1:16" ht="51">
      <c r="A147" s="888" t="s">
        <v>1511</v>
      </c>
      <c r="B147" s="813">
        <v>2.8639999999999999</v>
      </c>
      <c r="C147" s="813">
        <v>0</v>
      </c>
      <c r="D147" s="813">
        <v>0</v>
      </c>
      <c r="E147" s="813">
        <v>0</v>
      </c>
      <c r="F147" s="813">
        <v>0</v>
      </c>
      <c r="G147" s="814">
        <v>2.8639999999999999</v>
      </c>
      <c r="H147" s="813">
        <v>4.47</v>
      </c>
      <c r="I147" s="813">
        <v>0</v>
      </c>
      <c r="J147" s="813">
        <v>0</v>
      </c>
      <c r="K147" s="813">
        <v>0</v>
      </c>
      <c r="L147" s="813">
        <v>0</v>
      </c>
      <c r="M147" s="814">
        <v>4.47</v>
      </c>
      <c r="N147" s="798">
        <v>0.56075418994413406</v>
      </c>
      <c r="O147" s="888" t="s">
        <v>1706</v>
      </c>
      <c r="P147" s="953" t="s">
        <v>1707</v>
      </c>
    </row>
    <row r="148" spans="1:16" ht="34">
      <c r="A148" s="889" t="s">
        <v>1512</v>
      </c>
      <c r="B148" s="248">
        <v>4.2639999999999993</v>
      </c>
      <c r="C148" s="248">
        <v>0</v>
      </c>
      <c r="D148" s="248">
        <v>0</v>
      </c>
      <c r="E148" s="248">
        <v>0</v>
      </c>
      <c r="F148" s="248">
        <v>0</v>
      </c>
      <c r="G148" s="248">
        <v>4.2639999999999993</v>
      </c>
      <c r="H148" s="248">
        <v>4.7699999999999996</v>
      </c>
      <c r="I148" s="248">
        <v>0</v>
      </c>
      <c r="J148" s="248">
        <v>0</v>
      </c>
      <c r="K148" s="248">
        <v>0</v>
      </c>
      <c r="L148" s="248">
        <v>0</v>
      </c>
      <c r="M148" s="248">
        <v>4.7699999999999996</v>
      </c>
      <c r="N148" s="419">
        <v>0.11866791744840532</v>
      </c>
      <c r="O148" s="954"/>
      <c r="P148" s="955"/>
    </row>
    <row r="149" spans="1:16" ht="16">
      <c r="A149" s="890"/>
      <c r="B149" s="890"/>
      <c r="C149" s="890"/>
      <c r="D149" s="890"/>
      <c r="E149" s="890"/>
      <c r="F149" s="890"/>
      <c r="G149" s="890"/>
      <c r="H149" s="890"/>
      <c r="I149" s="890"/>
      <c r="J149" s="890"/>
      <c r="K149" s="890"/>
      <c r="L149" s="890"/>
      <c r="M149" s="890"/>
      <c r="N149" s="913"/>
      <c r="O149" s="956"/>
      <c r="P149" s="956"/>
    </row>
    <row r="150" spans="1:16" ht="17">
      <c r="A150" s="150" t="s">
        <v>1513</v>
      </c>
      <c r="B150" s="224"/>
      <c r="C150" s="224"/>
      <c r="D150" s="224"/>
      <c r="E150" s="224"/>
      <c r="F150" s="224"/>
      <c r="G150" s="224"/>
      <c r="H150" s="224"/>
      <c r="I150" s="224"/>
      <c r="J150" s="224"/>
      <c r="K150" s="224"/>
      <c r="L150" s="224"/>
      <c r="M150" s="224"/>
      <c r="N150" s="957"/>
      <c r="O150" s="226"/>
      <c r="P150" s="226"/>
    </row>
    <row r="151" spans="1:16" ht="34">
      <c r="A151" s="887" t="s">
        <v>1514</v>
      </c>
      <c r="B151" s="796">
        <v>4.9859999999999998</v>
      </c>
      <c r="C151" s="796">
        <v>0</v>
      </c>
      <c r="D151" s="796">
        <v>0</v>
      </c>
      <c r="E151" s="796">
        <v>0</v>
      </c>
      <c r="F151" s="796">
        <v>0</v>
      </c>
      <c r="G151" s="797">
        <v>4.9859999999999998</v>
      </c>
      <c r="H151" s="796">
        <v>4.3040000000000003</v>
      </c>
      <c r="I151" s="796">
        <v>0</v>
      </c>
      <c r="J151" s="796">
        <v>0</v>
      </c>
      <c r="K151" s="796">
        <v>0</v>
      </c>
      <c r="L151" s="796">
        <v>0</v>
      </c>
      <c r="M151" s="797">
        <v>4.3040000000000003</v>
      </c>
      <c r="N151" s="798">
        <v>-0.13678299237866015</v>
      </c>
      <c r="O151" s="887" t="s">
        <v>1708</v>
      </c>
      <c r="P151" s="958" t="s">
        <v>1709</v>
      </c>
    </row>
    <row r="152" spans="1:16" ht="17">
      <c r="A152" s="889" t="s">
        <v>1515</v>
      </c>
      <c r="B152" s="248">
        <v>4.9859999999999998</v>
      </c>
      <c r="C152" s="248">
        <v>0</v>
      </c>
      <c r="D152" s="248">
        <v>0</v>
      </c>
      <c r="E152" s="248">
        <v>0</v>
      </c>
      <c r="F152" s="248">
        <v>0</v>
      </c>
      <c r="G152" s="248">
        <v>4.9859999999999998</v>
      </c>
      <c r="H152" s="248">
        <v>4.3040000000000003</v>
      </c>
      <c r="I152" s="248">
        <v>0</v>
      </c>
      <c r="J152" s="248">
        <v>0</v>
      </c>
      <c r="K152" s="248">
        <v>0</v>
      </c>
      <c r="L152" s="248">
        <v>0</v>
      </c>
      <c r="M152" s="248">
        <v>4.3040000000000003</v>
      </c>
      <c r="N152" s="419">
        <v>-0.13678299237866015</v>
      </c>
      <c r="O152" s="248"/>
      <c r="P152" s="891"/>
    </row>
    <row r="153" spans="1:16" ht="16">
      <c r="A153" s="890"/>
      <c r="B153" s="836"/>
      <c r="C153" s="836"/>
      <c r="D153" s="836"/>
      <c r="E153" s="836"/>
      <c r="F153" s="836"/>
      <c r="G153" s="836"/>
      <c r="H153" s="836"/>
      <c r="I153" s="836"/>
      <c r="J153" s="836"/>
      <c r="K153" s="836"/>
      <c r="L153" s="836"/>
      <c r="M153" s="836"/>
      <c r="N153" s="913"/>
      <c r="O153" s="852"/>
      <c r="P153" s="852"/>
    </row>
    <row r="154" spans="1:16" ht="17">
      <c r="A154" s="150" t="s">
        <v>1516</v>
      </c>
      <c r="B154" s="224"/>
      <c r="C154" s="224"/>
      <c r="D154" s="224"/>
      <c r="E154" s="224"/>
      <c r="F154" s="224"/>
      <c r="G154" s="224"/>
      <c r="H154" s="224"/>
      <c r="I154" s="224"/>
      <c r="J154" s="224"/>
      <c r="K154" s="224"/>
      <c r="L154" s="224"/>
      <c r="M154" s="224"/>
      <c r="N154" s="957"/>
      <c r="O154" s="224"/>
      <c r="P154" s="224"/>
    </row>
    <row r="155" spans="1:16" ht="34">
      <c r="A155" s="887" t="s">
        <v>1517</v>
      </c>
      <c r="B155" s="796">
        <v>16.923999999999999</v>
      </c>
      <c r="C155" s="796">
        <v>0</v>
      </c>
      <c r="D155" s="796">
        <v>0</v>
      </c>
      <c r="E155" s="796">
        <v>0</v>
      </c>
      <c r="F155" s="796">
        <v>0</v>
      </c>
      <c r="G155" s="797">
        <v>16.923999999999999</v>
      </c>
      <c r="H155" s="796">
        <v>16.709999999999997</v>
      </c>
      <c r="I155" s="796">
        <v>0</v>
      </c>
      <c r="J155" s="796">
        <v>0</v>
      </c>
      <c r="K155" s="796">
        <v>0</v>
      </c>
      <c r="L155" s="796">
        <v>0</v>
      </c>
      <c r="M155" s="797">
        <v>16.709999999999997</v>
      </c>
      <c r="N155" s="798">
        <v>-1.2644764831009347E-2</v>
      </c>
      <c r="O155" s="959" t="s">
        <v>1710</v>
      </c>
      <c r="P155" s="952" t="s">
        <v>1596</v>
      </c>
    </row>
    <row r="156" spans="1:16" ht="17">
      <c r="A156" s="888" t="s">
        <v>1518</v>
      </c>
      <c r="B156" s="813">
        <v>0</v>
      </c>
      <c r="C156" s="813">
        <v>0</v>
      </c>
      <c r="D156" s="813">
        <v>33.200000000000003</v>
      </c>
      <c r="E156" s="813">
        <v>0</v>
      </c>
      <c r="F156" s="813">
        <v>0</v>
      </c>
      <c r="G156" s="814">
        <v>33.200000000000003</v>
      </c>
      <c r="H156" s="813">
        <v>0</v>
      </c>
      <c r="I156" s="813">
        <v>0</v>
      </c>
      <c r="J156" s="813">
        <v>31.8</v>
      </c>
      <c r="K156" s="813">
        <v>0</v>
      </c>
      <c r="L156" s="813">
        <v>0</v>
      </c>
      <c r="M156" s="814">
        <v>31.8</v>
      </c>
      <c r="N156" s="798">
        <v>-4.216867469879524E-2</v>
      </c>
      <c r="O156" s="888" t="s">
        <v>1711</v>
      </c>
      <c r="P156" s="953" t="s">
        <v>1709</v>
      </c>
    </row>
    <row r="157" spans="1:16" ht="17">
      <c r="A157" s="888" t="s">
        <v>1519</v>
      </c>
      <c r="B157" s="813">
        <v>0</v>
      </c>
      <c r="C157" s="813">
        <v>0.4</v>
      </c>
      <c r="D157" s="813">
        <v>0</v>
      </c>
      <c r="E157" s="813">
        <v>0</v>
      </c>
      <c r="F157" s="813">
        <v>0</v>
      </c>
      <c r="G157" s="814">
        <v>0.4</v>
      </c>
      <c r="H157" s="813">
        <v>0</v>
      </c>
      <c r="I157" s="813">
        <v>0.4</v>
      </c>
      <c r="J157" s="813">
        <v>0</v>
      </c>
      <c r="K157" s="813">
        <v>0</v>
      </c>
      <c r="L157" s="813">
        <v>0</v>
      </c>
      <c r="M157" s="814">
        <v>0.4</v>
      </c>
      <c r="N157" s="798">
        <v>0</v>
      </c>
      <c r="O157" s="888" t="s">
        <v>1712</v>
      </c>
      <c r="P157" s="952" t="s">
        <v>1596</v>
      </c>
    </row>
    <row r="158" spans="1:16" ht="34">
      <c r="A158" s="888" t="s">
        <v>1520</v>
      </c>
      <c r="B158" s="813">
        <v>-0.13600000000000001</v>
      </c>
      <c r="C158" s="813">
        <v>0</v>
      </c>
      <c r="D158" s="813">
        <v>0</v>
      </c>
      <c r="E158" s="813">
        <v>0</v>
      </c>
      <c r="F158" s="813">
        <v>0</v>
      </c>
      <c r="G158" s="814">
        <v>-0.13600000000000001</v>
      </c>
      <c r="H158" s="813">
        <v>-0.125</v>
      </c>
      <c r="I158" s="813">
        <v>0</v>
      </c>
      <c r="J158" s="813">
        <v>0</v>
      </c>
      <c r="K158" s="813">
        <v>0</v>
      </c>
      <c r="L158" s="813">
        <v>0</v>
      </c>
      <c r="M158" s="814">
        <v>-0.125</v>
      </c>
      <c r="N158" s="798">
        <v>-8.088235294117653E-2</v>
      </c>
      <c r="O158" s="888" t="s">
        <v>1713</v>
      </c>
      <c r="P158" s="952" t="s">
        <v>1714</v>
      </c>
    </row>
    <row r="159" spans="1:16" ht="17">
      <c r="A159" s="889" t="s">
        <v>1521</v>
      </c>
      <c r="B159" s="248">
        <v>16.788</v>
      </c>
      <c r="C159" s="248">
        <v>0.4</v>
      </c>
      <c r="D159" s="248">
        <v>33.200000000000003</v>
      </c>
      <c r="E159" s="248">
        <v>0</v>
      </c>
      <c r="F159" s="248">
        <v>0</v>
      </c>
      <c r="G159" s="248">
        <v>50.387999999999998</v>
      </c>
      <c r="H159" s="248">
        <v>16.584999999999997</v>
      </c>
      <c r="I159" s="248">
        <v>0.4</v>
      </c>
      <c r="J159" s="248">
        <v>31.8</v>
      </c>
      <c r="K159" s="248">
        <v>0</v>
      </c>
      <c r="L159" s="248">
        <v>0</v>
      </c>
      <c r="M159" s="248">
        <v>48.784999999999997</v>
      </c>
      <c r="N159" s="419">
        <v>-3.1813130110343764E-2</v>
      </c>
      <c r="O159" s="954"/>
      <c r="P159" s="955"/>
    </row>
    <row r="160" spans="1:16" ht="16">
      <c r="A160" s="890"/>
      <c r="B160" s="890"/>
      <c r="C160" s="890"/>
      <c r="D160" s="890"/>
      <c r="E160" s="890"/>
      <c r="F160" s="890"/>
      <c r="G160" s="890"/>
      <c r="H160" s="890"/>
      <c r="I160" s="890"/>
      <c r="J160" s="890"/>
      <c r="K160" s="890"/>
      <c r="L160" s="890"/>
      <c r="M160" s="890"/>
      <c r="N160" s="913"/>
      <c r="O160" s="960"/>
      <c r="P160" s="960"/>
    </row>
    <row r="161" spans="1:16" ht="34">
      <c r="A161" s="891" t="s">
        <v>1522</v>
      </c>
      <c r="B161" s="961"/>
      <c r="C161" s="961"/>
      <c r="D161" s="961"/>
      <c r="E161" s="961"/>
      <c r="F161" s="961"/>
      <c r="G161" s="961"/>
      <c r="H161" s="961"/>
      <c r="I161" s="961"/>
      <c r="J161" s="961"/>
      <c r="K161" s="961"/>
      <c r="L161" s="961"/>
      <c r="M161" s="961"/>
      <c r="N161" s="961"/>
      <c r="O161" s="961"/>
      <c r="P161" s="961"/>
    </row>
    <row r="162" spans="1:16" ht="17">
      <c r="A162" s="887" t="s">
        <v>1523</v>
      </c>
      <c r="B162" s="796">
        <v>10.362</v>
      </c>
      <c r="C162" s="796">
        <v>0</v>
      </c>
      <c r="D162" s="796">
        <v>0</v>
      </c>
      <c r="E162" s="796">
        <v>0</v>
      </c>
      <c r="F162" s="796">
        <v>0</v>
      </c>
      <c r="G162" s="797">
        <v>10.362</v>
      </c>
      <c r="H162" s="796">
        <v>10.510999999999999</v>
      </c>
      <c r="I162" s="796">
        <v>0</v>
      </c>
      <c r="J162" s="796">
        <v>0</v>
      </c>
      <c r="K162" s="796">
        <v>0</v>
      </c>
      <c r="L162" s="796">
        <v>0</v>
      </c>
      <c r="M162" s="797">
        <v>10.510999999999999</v>
      </c>
      <c r="N162" s="798">
        <v>1.4379463424049327E-2</v>
      </c>
      <c r="O162" s="887" t="s">
        <v>1715</v>
      </c>
      <c r="P162" s="958" t="s">
        <v>1596</v>
      </c>
    </row>
    <row r="163" spans="1:16" ht="17">
      <c r="A163" s="888" t="s">
        <v>1524</v>
      </c>
      <c r="B163" s="813">
        <v>4.806</v>
      </c>
      <c r="C163" s="813">
        <v>0</v>
      </c>
      <c r="D163" s="813">
        <v>0</v>
      </c>
      <c r="E163" s="813">
        <v>0</v>
      </c>
      <c r="F163" s="813">
        <v>0</v>
      </c>
      <c r="G163" s="814">
        <v>4.806</v>
      </c>
      <c r="H163" s="813">
        <v>4.7839999999999998</v>
      </c>
      <c r="I163" s="813">
        <v>0</v>
      </c>
      <c r="J163" s="813">
        <v>0</v>
      </c>
      <c r="K163" s="813">
        <v>0</v>
      </c>
      <c r="L163" s="813">
        <v>0</v>
      </c>
      <c r="M163" s="814">
        <v>4.7839999999999998</v>
      </c>
      <c r="N163" s="798">
        <v>-4.5776113191844034E-3</v>
      </c>
      <c r="O163" s="888" t="s">
        <v>1716</v>
      </c>
      <c r="P163" s="952" t="s">
        <v>1596</v>
      </c>
    </row>
    <row r="164" spans="1:16" ht="17">
      <c r="A164" s="888" t="s">
        <v>1525</v>
      </c>
      <c r="B164" s="813">
        <v>-4.298</v>
      </c>
      <c r="C164" s="813">
        <v>0</v>
      </c>
      <c r="D164" s="813">
        <v>0</v>
      </c>
      <c r="E164" s="813">
        <v>0</v>
      </c>
      <c r="F164" s="813">
        <v>0</v>
      </c>
      <c r="G164" s="814">
        <v>-4.298</v>
      </c>
      <c r="H164" s="813">
        <v>-4.2080000000000002</v>
      </c>
      <c r="I164" s="813">
        <v>0</v>
      </c>
      <c r="J164" s="813">
        <v>0</v>
      </c>
      <c r="K164" s="813">
        <v>0</v>
      </c>
      <c r="L164" s="813">
        <v>0</v>
      </c>
      <c r="M164" s="814">
        <v>-4.2080000000000002</v>
      </c>
      <c r="N164" s="798">
        <v>-2.0939972080037193E-2</v>
      </c>
      <c r="O164" s="888" t="s">
        <v>1717</v>
      </c>
      <c r="P164" s="952" t="s">
        <v>1596</v>
      </c>
    </row>
    <row r="165" spans="1:16" ht="34">
      <c r="A165" s="888" t="s">
        <v>1526</v>
      </c>
      <c r="B165" s="813">
        <v>0</v>
      </c>
      <c r="C165" s="813">
        <v>0</v>
      </c>
      <c r="D165" s="813">
        <v>15.3</v>
      </c>
      <c r="E165" s="813">
        <v>0</v>
      </c>
      <c r="F165" s="813">
        <v>0</v>
      </c>
      <c r="G165" s="814">
        <v>15.3</v>
      </c>
      <c r="H165" s="813">
        <v>0</v>
      </c>
      <c r="I165" s="813">
        <v>0</v>
      </c>
      <c r="J165" s="813">
        <v>19.3</v>
      </c>
      <c r="K165" s="813">
        <v>0</v>
      </c>
      <c r="L165" s="813">
        <v>0</v>
      </c>
      <c r="M165" s="814">
        <v>19.3</v>
      </c>
      <c r="N165" s="798">
        <v>0.26143790849673204</v>
      </c>
      <c r="O165" s="888" t="s">
        <v>1718</v>
      </c>
      <c r="P165" s="952" t="s">
        <v>1719</v>
      </c>
    </row>
    <row r="166" spans="1:16" ht="17">
      <c r="A166" s="888" t="s">
        <v>1527</v>
      </c>
      <c r="B166" s="813">
        <v>0</v>
      </c>
      <c r="C166" s="813">
        <v>2.5</v>
      </c>
      <c r="D166" s="813">
        <v>0</v>
      </c>
      <c r="E166" s="813">
        <v>0</v>
      </c>
      <c r="F166" s="813">
        <v>0</v>
      </c>
      <c r="G166" s="814">
        <v>2.5</v>
      </c>
      <c r="H166" s="813">
        <v>0</v>
      </c>
      <c r="I166" s="813">
        <v>3.4</v>
      </c>
      <c r="J166" s="813">
        <v>0</v>
      </c>
      <c r="K166" s="813">
        <v>0</v>
      </c>
      <c r="L166" s="813">
        <v>0</v>
      </c>
      <c r="M166" s="814">
        <v>3.4</v>
      </c>
      <c r="N166" s="798">
        <v>0.36</v>
      </c>
      <c r="O166" s="888" t="s">
        <v>1712</v>
      </c>
      <c r="P166" s="962" t="s">
        <v>1720</v>
      </c>
    </row>
    <row r="167" spans="1:16" ht="34">
      <c r="A167" s="889" t="s">
        <v>1528</v>
      </c>
      <c r="B167" s="248">
        <v>10.87</v>
      </c>
      <c r="C167" s="248">
        <v>2.5</v>
      </c>
      <c r="D167" s="248">
        <v>15.3</v>
      </c>
      <c r="E167" s="248">
        <v>0</v>
      </c>
      <c r="F167" s="248">
        <v>0</v>
      </c>
      <c r="G167" s="248">
        <v>28.67</v>
      </c>
      <c r="H167" s="248">
        <v>11.086999999999998</v>
      </c>
      <c r="I167" s="248">
        <v>3.4</v>
      </c>
      <c r="J167" s="248">
        <v>19.3</v>
      </c>
      <c r="K167" s="248">
        <v>0</v>
      </c>
      <c r="L167" s="248">
        <v>0</v>
      </c>
      <c r="M167" s="248">
        <v>33.786999999999999</v>
      </c>
      <c r="N167" s="419">
        <v>0.17847924659923253</v>
      </c>
      <c r="O167" s="954"/>
      <c r="P167" s="955"/>
    </row>
    <row r="168" spans="1:16" ht="16">
      <c r="A168" s="890"/>
      <c r="B168" s="890"/>
      <c r="C168" s="890"/>
      <c r="D168" s="890"/>
      <c r="E168" s="890"/>
      <c r="F168" s="890"/>
      <c r="G168" s="890"/>
      <c r="H168" s="890"/>
      <c r="I168" s="890"/>
      <c r="J168" s="890"/>
      <c r="K168" s="890"/>
      <c r="L168" s="890"/>
      <c r="M168" s="890"/>
      <c r="N168" s="913"/>
      <c r="O168" s="956"/>
      <c r="P168" s="956"/>
    </row>
    <row r="169" spans="1:16" ht="34">
      <c r="A169" s="892" t="s">
        <v>1529</v>
      </c>
      <c r="B169" s="865">
        <v>36.908000000000001</v>
      </c>
      <c r="C169" s="865">
        <v>2.9</v>
      </c>
      <c r="D169" s="865">
        <v>48.5</v>
      </c>
      <c r="E169" s="865">
        <v>0</v>
      </c>
      <c r="F169" s="865">
        <v>0</v>
      </c>
      <c r="G169" s="865">
        <v>88.307999999999993</v>
      </c>
      <c r="H169" s="865">
        <v>36.745999999999995</v>
      </c>
      <c r="I169" s="865">
        <v>3.8</v>
      </c>
      <c r="J169" s="865">
        <v>51.1</v>
      </c>
      <c r="K169" s="865">
        <v>0</v>
      </c>
      <c r="L169" s="865">
        <v>0</v>
      </c>
      <c r="M169" s="865">
        <v>91.646000000000001</v>
      </c>
      <c r="N169" s="820">
        <v>3.7799519862300228E-2</v>
      </c>
      <c r="O169" s="846"/>
      <c r="P169" s="847"/>
    </row>
    <row r="170" spans="1:16" ht="16">
      <c r="A170" s="893"/>
      <c r="B170" s="963"/>
      <c r="C170" s="963"/>
      <c r="D170" s="963"/>
      <c r="E170" s="963"/>
      <c r="F170" s="963"/>
      <c r="G170" s="963"/>
      <c r="H170" s="963"/>
      <c r="I170" s="963"/>
      <c r="J170" s="963"/>
      <c r="K170" s="963"/>
      <c r="L170" s="963"/>
      <c r="M170" s="963"/>
      <c r="N170" s="964"/>
      <c r="O170" s="965"/>
      <c r="P170" s="965"/>
    </row>
    <row r="171" spans="1:16" ht="17">
      <c r="A171" s="777" t="s">
        <v>1530</v>
      </c>
      <c r="B171" s="826"/>
      <c r="C171" s="826"/>
      <c r="D171" s="826"/>
      <c r="E171" s="826"/>
      <c r="F171" s="826"/>
      <c r="G171" s="826"/>
      <c r="H171" s="826"/>
      <c r="I171" s="826" t="s">
        <v>1592</v>
      </c>
      <c r="J171" s="826"/>
      <c r="K171" s="826"/>
      <c r="L171" s="826"/>
      <c r="M171" s="826"/>
      <c r="N171" s="459"/>
      <c r="O171" s="827"/>
      <c r="P171" s="827"/>
    </row>
    <row r="172" spans="1:16" ht="51">
      <c r="A172" s="894" t="s">
        <v>1530</v>
      </c>
      <c r="B172" s="813">
        <v>2.1920000000000002</v>
      </c>
      <c r="C172" s="813">
        <v>0</v>
      </c>
      <c r="D172" s="813">
        <v>0</v>
      </c>
      <c r="E172" s="813">
        <v>0</v>
      </c>
      <c r="F172" s="813">
        <v>0</v>
      </c>
      <c r="G172" s="814">
        <v>2.1920000000000002</v>
      </c>
      <c r="H172" s="813">
        <v>2.9099999999999997</v>
      </c>
      <c r="I172" s="813">
        <v>0</v>
      </c>
      <c r="J172" s="813">
        <v>0</v>
      </c>
      <c r="K172" s="813">
        <v>0</v>
      </c>
      <c r="L172" s="813">
        <v>0</v>
      </c>
      <c r="M172" s="814">
        <v>2.9099999999999997</v>
      </c>
      <c r="N172" s="798">
        <v>0.32755474452554723</v>
      </c>
      <c r="O172" s="888" t="s">
        <v>1721</v>
      </c>
      <c r="P172" s="953" t="s">
        <v>1722</v>
      </c>
    </row>
    <row r="173" spans="1:16" ht="34">
      <c r="A173" s="895" t="s">
        <v>1531</v>
      </c>
      <c r="B173" s="865">
        <v>2.1920000000000002</v>
      </c>
      <c r="C173" s="865">
        <v>0</v>
      </c>
      <c r="D173" s="865">
        <v>0</v>
      </c>
      <c r="E173" s="865">
        <v>0</v>
      </c>
      <c r="F173" s="865">
        <v>0</v>
      </c>
      <c r="G173" s="865">
        <v>2.1920000000000002</v>
      </c>
      <c r="H173" s="865">
        <v>2.9099999999999997</v>
      </c>
      <c r="I173" s="865">
        <v>0</v>
      </c>
      <c r="J173" s="865">
        <v>0</v>
      </c>
      <c r="K173" s="865">
        <v>0</v>
      </c>
      <c r="L173" s="865">
        <v>0</v>
      </c>
      <c r="M173" s="865">
        <v>2.9099999999999997</v>
      </c>
      <c r="N173" s="820">
        <v>0.32755474452554723</v>
      </c>
      <c r="O173" s="821"/>
      <c r="P173" s="822"/>
    </row>
    <row r="174" spans="1:16" ht="16">
      <c r="A174" s="896"/>
      <c r="B174" s="660"/>
      <c r="C174" s="660"/>
      <c r="D174" s="660"/>
      <c r="E174" s="660"/>
      <c r="F174" s="660"/>
      <c r="G174" s="966"/>
      <c r="H174" s="660"/>
      <c r="I174" s="660"/>
      <c r="J174" s="660"/>
      <c r="K174" s="660"/>
      <c r="L174" s="660"/>
      <c r="M174" s="966"/>
      <c r="N174" s="967"/>
      <c r="O174" s="896"/>
      <c r="P174" s="896"/>
    </row>
    <row r="175" spans="1:16" ht="17">
      <c r="A175" s="782" t="s">
        <v>1532</v>
      </c>
      <c r="B175" s="826"/>
      <c r="C175" s="826"/>
      <c r="D175" s="826"/>
      <c r="E175" s="826"/>
      <c r="F175" s="826"/>
      <c r="G175" s="826"/>
      <c r="H175" s="826"/>
      <c r="I175" s="826"/>
      <c r="J175" s="826"/>
      <c r="K175" s="826"/>
      <c r="L175" s="826"/>
      <c r="M175" s="826"/>
      <c r="N175" s="842"/>
      <c r="O175" s="843"/>
      <c r="P175" s="843"/>
    </row>
    <row r="176" spans="1:16" ht="16">
      <c r="A176" s="897"/>
      <c r="B176" s="828"/>
      <c r="C176" s="828"/>
      <c r="D176" s="828"/>
      <c r="E176" s="828"/>
      <c r="F176" s="828"/>
      <c r="G176" s="828"/>
      <c r="H176" s="828"/>
      <c r="I176" s="828"/>
      <c r="J176" s="828"/>
      <c r="K176" s="828"/>
      <c r="L176" s="828"/>
      <c r="M176" s="828"/>
      <c r="N176" s="968"/>
      <c r="O176" s="969"/>
      <c r="P176" s="969"/>
    </row>
    <row r="177" spans="1:16" ht="17">
      <c r="A177" s="150" t="s">
        <v>1533</v>
      </c>
      <c r="B177" s="224"/>
      <c r="C177" s="224"/>
      <c r="D177" s="224"/>
      <c r="E177" s="224"/>
      <c r="F177" s="224"/>
      <c r="G177" s="224"/>
      <c r="H177" s="224"/>
      <c r="I177" s="224"/>
      <c r="J177" s="224"/>
      <c r="K177" s="224"/>
      <c r="L177" s="224"/>
      <c r="M177" s="224"/>
      <c r="N177" s="957"/>
      <c r="O177" s="226"/>
      <c r="P177" s="226"/>
    </row>
    <row r="178" spans="1:16" ht="17">
      <c r="A178" s="887" t="s">
        <v>1534</v>
      </c>
      <c r="B178" s="796">
        <v>0</v>
      </c>
      <c r="C178" s="796">
        <v>0</v>
      </c>
      <c r="D178" s="796">
        <v>1.7</v>
      </c>
      <c r="E178" s="796">
        <v>0</v>
      </c>
      <c r="F178" s="796">
        <v>0</v>
      </c>
      <c r="G178" s="797">
        <v>1.7</v>
      </c>
      <c r="H178" s="796">
        <v>0</v>
      </c>
      <c r="I178" s="796">
        <v>0</v>
      </c>
      <c r="J178" s="796">
        <v>2.2000000000000002</v>
      </c>
      <c r="K178" s="796">
        <v>0</v>
      </c>
      <c r="L178" s="796">
        <v>0</v>
      </c>
      <c r="M178" s="797">
        <v>2.2000000000000002</v>
      </c>
      <c r="N178" s="798">
        <v>0.29411764705882365</v>
      </c>
      <c r="O178" s="844" t="s">
        <v>1723</v>
      </c>
      <c r="P178" s="952" t="s">
        <v>1724</v>
      </c>
    </row>
    <row r="179" spans="1:16" ht="34">
      <c r="A179" s="887" t="s">
        <v>1535</v>
      </c>
      <c r="B179" s="813">
        <v>6.0750000000000002</v>
      </c>
      <c r="C179" s="813">
        <v>0</v>
      </c>
      <c r="D179" s="813">
        <v>0</v>
      </c>
      <c r="E179" s="813">
        <v>0</v>
      </c>
      <c r="F179" s="813">
        <v>0</v>
      </c>
      <c r="G179" s="814">
        <v>6.0750000000000002</v>
      </c>
      <c r="H179" s="813">
        <v>6.69</v>
      </c>
      <c r="I179" s="813">
        <v>0</v>
      </c>
      <c r="J179" s="813">
        <v>0</v>
      </c>
      <c r="K179" s="813">
        <v>0</v>
      </c>
      <c r="L179" s="813">
        <v>0</v>
      </c>
      <c r="M179" s="814">
        <v>6.69</v>
      </c>
      <c r="N179" s="798">
        <v>0.1012345679012346</v>
      </c>
      <c r="O179" s="970" t="s">
        <v>1725</v>
      </c>
      <c r="P179" s="962" t="s">
        <v>1726</v>
      </c>
    </row>
    <row r="180" spans="1:16" ht="17">
      <c r="A180" s="887" t="s">
        <v>1536</v>
      </c>
      <c r="B180" s="813">
        <v>0</v>
      </c>
      <c r="C180" s="813">
        <v>0.8</v>
      </c>
      <c r="D180" s="813">
        <v>0</v>
      </c>
      <c r="E180" s="813">
        <v>0</v>
      </c>
      <c r="F180" s="813">
        <v>0</v>
      </c>
      <c r="G180" s="814">
        <v>0.8</v>
      </c>
      <c r="H180" s="813">
        <v>0</v>
      </c>
      <c r="I180" s="813">
        <v>0.8</v>
      </c>
      <c r="J180" s="813">
        <v>0</v>
      </c>
      <c r="K180" s="813">
        <v>0</v>
      </c>
      <c r="L180" s="813">
        <v>0</v>
      </c>
      <c r="M180" s="814">
        <v>0.8</v>
      </c>
      <c r="N180" s="798">
        <v>0</v>
      </c>
      <c r="O180" s="970" t="s">
        <v>1712</v>
      </c>
      <c r="P180" s="971" t="s">
        <v>1596</v>
      </c>
    </row>
    <row r="181" spans="1:16" ht="34">
      <c r="A181" s="887" t="s">
        <v>1537</v>
      </c>
      <c r="B181" s="813">
        <v>2.5190000000000001</v>
      </c>
      <c r="C181" s="813">
        <v>0</v>
      </c>
      <c r="D181" s="813">
        <v>0</v>
      </c>
      <c r="E181" s="813">
        <v>0</v>
      </c>
      <c r="F181" s="813">
        <v>0</v>
      </c>
      <c r="G181" s="814">
        <v>2.5190000000000001</v>
      </c>
      <c r="H181" s="813">
        <v>2.734</v>
      </c>
      <c r="I181" s="813">
        <v>0</v>
      </c>
      <c r="J181" s="813">
        <v>0</v>
      </c>
      <c r="K181" s="813">
        <v>0</v>
      </c>
      <c r="L181" s="813">
        <v>0</v>
      </c>
      <c r="M181" s="814">
        <v>2.734</v>
      </c>
      <c r="N181" s="798">
        <v>8.5351329892814548E-2</v>
      </c>
      <c r="O181" s="970" t="s">
        <v>1727</v>
      </c>
      <c r="P181" s="952" t="s">
        <v>1728</v>
      </c>
    </row>
    <row r="182" spans="1:16" ht="17">
      <c r="A182" s="887" t="s">
        <v>1538</v>
      </c>
      <c r="B182" s="813">
        <v>0</v>
      </c>
      <c r="C182" s="813">
        <v>0</v>
      </c>
      <c r="D182" s="813">
        <v>0.6</v>
      </c>
      <c r="E182" s="813">
        <v>0</v>
      </c>
      <c r="F182" s="813">
        <v>0</v>
      </c>
      <c r="G182" s="814">
        <v>0.6</v>
      </c>
      <c r="H182" s="813">
        <v>0</v>
      </c>
      <c r="I182" s="813">
        <v>0</v>
      </c>
      <c r="J182" s="813">
        <v>1.1000000000000001</v>
      </c>
      <c r="K182" s="813">
        <v>0</v>
      </c>
      <c r="L182" s="813">
        <v>0</v>
      </c>
      <c r="M182" s="814">
        <v>1.1000000000000001</v>
      </c>
      <c r="N182" s="798">
        <v>0.83333333333333359</v>
      </c>
      <c r="O182" s="970" t="s">
        <v>1723</v>
      </c>
      <c r="P182" s="952" t="s">
        <v>1724</v>
      </c>
    </row>
    <row r="183" spans="1:16" ht="51">
      <c r="A183" s="887" t="s">
        <v>1539</v>
      </c>
      <c r="B183" s="813">
        <v>4.125</v>
      </c>
      <c r="C183" s="813">
        <v>0</v>
      </c>
      <c r="D183" s="813">
        <v>0</v>
      </c>
      <c r="E183" s="813">
        <v>0</v>
      </c>
      <c r="F183" s="813">
        <v>0</v>
      </c>
      <c r="G183" s="814">
        <v>4.125</v>
      </c>
      <c r="H183" s="813">
        <v>4.7610000000000001</v>
      </c>
      <c r="I183" s="813">
        <v>0</v>
      </c>
      <c r="J183" s="813">
        <v>0</v>
      </c>
      <c r="K183" s="813">
        <v>0</v>
      </c>
      <c r="L183" s="813">
        <v>0</v>
      </c>
      <c r="M183" s="814">
        <v>4.7610000000000001</v>
      </c>
      <c r="N183" s="798">
        <v>0.1541818181818182</v>
      </c>
      <c r="O183" s="970" t="s">
        <v>1729</v>
      </c>
      <c r="P183" s="962" t="s">
        <v>1730</v>
      </c>
    </row>
    <row r="184" spans="1:16" ht="17">
      <c r="A184" s="887" t="s">
        <v>1540</v>
      </c>
      <c r="B184" s="813">
        <v>0</v>
      </c>
      <c r="C184" s="813">
        <v>0.33900000000000002</v>
      </c>
      <c r="D184" s="813">
        <v>0</v>
      </c>
      <c r="E184" s="813">
        <v>0</v>
      </c>
      <c r="F184" s="813">
        <v>0</v>
      </c>
      <c r="G184" s="814">
        <v>0.33900000000000002</v>
      </c>
      <c r="H184" s="813">
        <v>0</v>
      </c>
      <c r="I184" s="813">
        <v>0.33900000000000002</v>
      </c>
      <c r="J184" s="813">
        <v>0</v>
      </c>
      <c r="K184" s="813">
        <v>0</v>
      </c>
      <c r="L184" s="813">
        <v>0</v>
      </c>
      <c r="M184" s="814">
        <v>0.33900000000000002</v>
      </c>
      <c r="N184" s="798">
        <v>0</v>
      </c>
      <c r="O184" s="970" t="s">
        <v>1712</v>
      </c>
      <c r="P184" s="962" t="s">
        <v>293</v>
      </c>
    </row>
    <row r="185" spans="1:16" ht="34">
      <c r="A185" s="887" t="s">
        <v>1541</v>
      </c>
      <c r="B185" s="813">
        <v>2.3420000000000001</v>
      </c>
      <c r="C185" s="813">
        <v>0</v>
      </c>
      <c r="D185" s="813">
        <v>0</v>
      </c>
      <c r="E185" s="813">
        <v>0</v>
      </c>
      <c r="F185" s="813">
        <v>0</v>
      </c>
      <c r="G185" s="814">
        <v>2.3420000000000001</v>
      </c>
      <c r="H185" s="813">
        <v>2.2829999999999999</v>
      </c>
      <c r="I185" s="813">
        <v>0</v>
      </c>
      <c r="J185" s="813">
        <v>0</v>
      </c>
      <c r="K185" s="813">
        <v>0</v>
      </c>
      <c r="L185" s="813">
        <v>0</v>
      </c>
      <c r="M185" s="814">
        <v>2.2829999999999999</v>
      </c>
      <c r="N185" s="798">
        <v>-2.5192143467122188E-2</v>
      </c>
      <c r="O185" s="970" t="s">
        <v>1731</v>
      </c>
      <c r="P185" s="952" t="s">
        <v>331</v>
      </c>
    </row>
    <row r="186" spans="1:16" ht="17">
      <c r="A186" s="889" t="s">
        <v>1542</v>
      </c>
      <c r="B186" s="248">
        <v>15.061000000000002</v>
      </c>
      <c r="C186" s="248">
        <v>1.139</v>
      </c>
      <c r="D186" s="248">
        <v>2.2999999999999998</v>
      </c>
      <c r="E186" s="248">
        <v>0</v>
      </c>
      <c r="F186" s="248">
        <v>0</v>
      </c>
      <c r="G186" s="248">
        <v>18.5</v>
      </c>
      <c r="H186" s="248">
        <v>16.468</v>
      </c>
      <c r="I186" s="248">
        <v>1.139</v>
      </c>
      <c r="J186" s="248">
        <v>3.3000000000000003</v>
      </c>
      <c r="K186" s="248">
        <v>0</v>
      </c>
      <c r="L186" s="248">
        <v>0</v>
      </c>
      <c r="M186" s="248">
        <v>20.907</v>
      </c>
      <c r="N186" s="419">
        <v>0.13010810810810811</v>
      </c>
      <c r="O186" s="954"/>
      <c r="P186" s="955"/>
    </row>
    <row r="187" spans="1:16" ht="16">
      <c r="A187" s="890"/>
      <c r="B187" s="829"/>
      <c r="C187" s="829"/>
      <c r="D187" s="829"/>
      <c r="E187" s="829"/>
      <c r="F187" s="829"/>
      <c r="G187" s="829"/>
      <c r="H187" s="829"/>
      <c r="I187" s="829"/>
      <c r="J187" s="829"/>
      <c r="K187" s="829"/>
      <c r="L187" s="829"/>
      <c r="M187" s="829"/>
      <c r="N187" s="913"/>
      <c r="O187" s="956"/>
      <c r="P187" s="956"/>
    </row>
    <row r="188" spans="1:16" ht="17">
      <c r="A188" s="150" t="s">
        <v>1543</v>
      </c>
      <c r="B188" s="224"/>
      <c r="C188" s="224"/>
      <c r="D188" s="224"/>
      <c r="E188" s="224"/>
      <c r="F188" s="224"/>
      <c r="G188" s="224"/>
      <c r="H188" s="224"/>
      <c r="I188" s="224"/>
      <c r="J188" s="224"/>
      <c r="K188" s="224"/>
      <c r="L188" s="224"/>
      <c r="M188" s="224"/>
      <c r="N188" s="957"/>
      <c r="O188" s="226"/>
      <c r="P188" s="226"/>
    </row>
    <row r="189" spans="1:16" ht="102">
      <c r="A189" s="888" t="s">
        <v>1544</v>
      </c>
      <c r="B189" s="813">
        <v>4.3730000000000002</v>
      </c>
      <c r="C189" s="813">
        <v>0</v>
      </c>
      <c r="D189" s="813">
        <v>1</v>
      </c>
      <c r="E189" s="813">
        <v>0</v>
      </c>
      <c r="F189" s="813">
        <v>0</v>
      </c>
      <c r="G189" s="814">
        <v>5.3730000000000002</v>
      </c>
      <c r="H189" s="813">
        <v>3.55</v>
      </c>
      <c r="I189" s="813">
        <v>0</v>
      </c>
      <c r="J189" s="813">
        <v>2.1</v>
      </c>
      <c r="K189" s="813">
        <v>0</v>
      </c>
      <c r="L189" s="813">
        <v>0</v>
      </c>
      <c r="M189" s="814">
        <v>5.65</v>
      </c>
      <c r="N189" s="798">
        <v>5.1554066629443535E-2</v>
      </c>
      <c r="O189" s="888" t="s">
        <v>1732</v>
      </c>
      <c r="P189" s="952" t="s">
        <v>1733</v>
      </c>
    </row>
    <row r="190" spans="1:16" ht="85">
      <c r="A190" s="888" t="s">
        <v>1545</v>
      </c>
      <c r="B190" s="813">
        <v>5.5430000000000001</v>
      </c>
      <c r="C190" s="813">
        <v>0</v>
      </c>
      <c r="D190" s="813">
        <v>0</v>
      </c>
      <c r="E190" s="813">
        <v>0</v>
      </c>
      <c r="F190" s="813">
        <v>0</v>
      </c>
      <c r="G190" s="814">
        <v>5.5430000000000001</v>
      </c>
      <c r="H190" s="813">
        <v>2.8149999999999999</v>
      </c>
      <c r="I190" s="813">
        <v>0</v>
      </c>
      <c r="J190" s="813">
        <v>0</v>
      </c>
      <c r="K190" s="813">
        <v>0</v>
      </c>
      <c r="L190" s="813">
        <v>0</v>
      </c>
      <c r="M190" s="814">
        <v>2.8149999999999999</v>
      </c>
      <c r="N190" s="798">
        <v>-0.49215226411690421</v>
      </c>
      <c r="O190" s="972" t="s">
        <v>1734</v>
      </c>
      <c r="P190" s="973" t="s">
        <v>1735</v>
      </c>
    </row>
    <row r="191" spans="1:16" ht="68">
      <c r="A191" s="888" t="s">
        <v>1546</v>
      </c>
      <c r="B191" s="813">
        <v>2.867</v>
      </c>
      <c r="C191" s="813">
        <v>0</v>
      </c>
      <c r="D191" s="813">
        <v>0</v>
      </c>
      <c r="E191" s="813">
        <v>0</v>
      </c>
      <c r="F191" s="813">
        <v>0</v>
      </c>
      <c r="G191" s="814">
        <v>2.867</v>
      </c>
      <c r="H191" s="813">
        <v>1.472</v>
      </c>
      <c r="I191" s="813">
        <v>0</v>
      </c>
      <c r="J191" s="813">
        <v>0</v>
      </c>
      <c r="K191" s="813">
        <v>0</v>
      </c>
      <c r="L191" s="813">
        <v>0</v>
      </c>
      <c r="M191" s="814">
        <v>1.472</v>
      </c>
      <c r="N191" s="798">
        <v>-0.48657132891524241</v>
      </c>
      <c r="O191" s="974" t="s">
        <v>1736</v>
      </c>
      <c r="P191" s="953" t="s">
        <v>1737</v>
      </c>
    </row>
    <row r="192" spans="1:16" ht="17">
      <c r="A192" s="889" t="s">
        <v>1547</v>
      </c>
      <c r="B192" s="248">
        <v>12.783000000000001</v>
      </c>
      <c r="C192" s="248">
        <v>0</v>
      </c>
      <c r="D192" s="248">
        <v>1</v>
      </c>
      <c r="E192" s="248">
        <v>0</v>
      </c>
      <c r="F192" s="248">
        <v>0</v>
      </c>
      <c r="G192" s="248">
        <v>13.783000000000001</v>
      </c>
      <c r="H192" s="248">
        <v>7.8369999999999997</v>
      </c>
      <c r="I192" s="248">
        <v>0</v>
      </c>
      <c r="J192" s="248">
        <v>2.1</v>
      </c>
      <c r="K192" s="248">
        <v>0</v>
      </c>
      <c r="L192" s="248">
        <v>0</v>
      </c>
      <c r="M192" s="248">
        <v>9.9369999999999994</v>
      </c>
      <c r="N192" s="419">
        <v>-0.2790393963578322</v>
      </c>
      <c r="O192" s="954"/>
      <c r="P192" s="955"/>
    </row>
    <row r="193" spans="1:16" ht="16">
      <c r="A193" s="898"/>
      <c r="B193" s="829"/>
      <c r="C193" s="829"/>
      <c r="D193" s="829"/>
      <c r="E193" s="829"/>
      <c r="F193" s="829"/>
      <c r="G193" s="829"/>
      <c r="H193" s="829"/>
      <c r="I193" s="829"/>
      <c r="J193" s="829"/>
      <c r="K193" s="829"/>
      <c r="L193" s="829"/>
      <c r="M193" s="829"/>
      <c r="N193" s="913"/>
      <c r="O193" s="852"/>
      <c r="P193" s="852"/>
    </row>
    <row r="194" spans="1:16" ht="17">
      <c r="A194" s="891" t="s">
        <v>1548</v>
      </c>
      <c r="B194" s="961"/>
      <c r="C194" s="961"/>
      <c r="D194" s="961"/>
      <c r="E194" s="961"/>
      <c r="F194" s="961"/>
      <c r="G194" s="961"/>
      <c r="H194" s="961"/>
      <c r="I194" s="961"/>
      <c r="J194" s="961"/>
      <c r="K194" s="961"/>
      <c r="L194" s="961"/>
      <c r="M194" s="961"/>
      <c r="N194" s="961"/>
      <c r="O194" s="961"/>
      <c r="P194" s="961"/>
    </row>
    <row r="195" spans="1:16" ht="34">
      <c r="A195" s="887" t="s">
        <v>1549</v>
      </c>
      <c r="B195" s="796">
        <v>9.6389999999999993</v>
      </c>
      <c r="C195" s="796">
        <v>0</v>
      </c>
      <c r="D195" s="796">
        <v>20.149999999999999</v>
      </c>
      <c r="E195" s="796">
        <v>0</v>
      </c>
      <c r="F195" s="796">
        <v>0</v>
      </c>
      <c r="G195" s="797">
        <v>29.788999999999998</v>
      </c>
      <c r="H195" s="796">
        <v>8.3039999999999985</v>
      </c>
      <c r="I195" s="796">
        <v>0</v>
      </c>
      <c r="J195" s="796">
        <v>25.8</v>
      </c>
      <c r="K195" s="796">
        <v>0</v>
      </c>
      <c r="L195" s="796">
        <v>0</v>
      </c>
      <c r="M195" s="797">
        <v>34.103999999999999</v>
      </c>
      <c r="N195" s="798">
        <v>0.14485212662392163</v>
      </c>
      <c r="O195" s="975" t="s">
        <v>1738</v>
      </c>
      <c r="P195" s="952" t="s">
        <v>1739</v>
      </c>
    </row>
    <row r="196" spans="1:16" ht="68">
      <c r="A196" s="888" t="s">
        <v>1550</v>
      </c>
      <c r="B196" s="813">
        <v>4.1189999999999998</v>
      </c>
      <c r="C196" s="813">
        <v>0</v>
      </c>
      <c r="D196" s="813">
        <v>19.600000000000001</v>
      </c>
      <c r="E196" s="813">
        <v>0</v>
      </c>
      <c r="F196" s="813">
        <v>0</v>
      </c>
      <c r="G196" s="814">
        <v>23.719000000000001</v>
      </c>
      <c r="H196" s="813">
        <v>6.15</v>
      </c>
      <c r="I196" s="813">
        <v>0</v>
      </c>
      <c r="J196" s="813">
        <v>20.399999999999999</v>
      </c>
      <c r="K196" s="813">
        <v>0</v>
      </c>
      <c r="L196" s="813">
        <v>0</v>
      </c>
      <c r="M196" s="814">
        <v>26.549999999999997</v>
      </c>
      <c r="N196" s="798">
        <v>0.11935579071630321</v>
      </c>
      <c r="O196" s="974" t="s">
        <v>1740</v>
      </c>
      <c r="P196" s="953" t="s">
        <v>1741</v>
      </c>
    </row>
    <row r="197" spans="1:16" ht="17">
      <c r="A197" s="889" t="s">
        <v>1551</v>
      </c>
      <c r="B197" s="248">
        <v>13.757999999999999</v>
      </c>
      <c r="C197" s="248">
        <v>0</v>
      </c>
      <c r="D197" s="248">
        <v>39.75</v>
      </c>
      <c r="E197" s="248">
        <v>0</v>
      </c>
      <c r="F197" s="248">
        <v>0</v>
      </c>
      <c r="G197" s="248">
        <v>53.507999999999996</v>
      </c>
      <c r="H197" s="248">
        <v>14.453999999999999</v>
      </c>
      <c r="I197" s="248">
        <v>0</v>
      </c>
      <c r="J197" s="248">
        <v>46.2</v>
      </c>
      <c r="K197" s="248">
        <v>0</v>
      </c>
      <c r="L197" s="248">
        <v>0</v>
      </c>
      <c r="M197" s="248">
        <v>60.653999999999996</v>
      </c>
      <c r="N197" s="419">
        <v>0.13355012334604174</v>
      </c>
      <c r="O197" s="954"/>
      <c r="P197" s="955"/>
    </row>
    <row r="198" spans="1:16" ht="16">
      <c r="A198" s="890"/>
      <c r="B198" s="829"/>
      <c r="C198" s="829"/>
      <c r="D198" s="829"/>
      <c r="E198" s="829"/>
      <c r="F198" s="829"/>
      <c r="G198" s="829"/>
      <c r="H198" s="829"/>
      <c r="I198" s="829"/>
      <c r="J198" s="829"/>
      <c r="K198" s="829"/>
      <c r="L198" s="829"/>
      <c r="M198" s="829"/>
      <c r="N198" s="913"/>
      <c r="O198" s="956"/>
      <c r="P198" s="956"/>
    </row>
    <row r="199" spans="1:16" ht="34">
      <c r="A199" s="891" t="s">
        <v>1552</v>
      </c>
      <c r="B199" s="961"/>
      <c r="C199" s="961"/>
      <c r="D199" s="961"/>
      <c r="E199" s="961"/>
      <c r="F199" s="961"/>
      <c r="G199" s="961"/>
      <c r="H199" s="961"/>
      <c r="I199" s="961"/>
      <c r="J199" s="961"/>
      <c r="K199" s="961"/>
      <c r="L199" s="961"/>
      <c r="M199" s="961"/>
      <c r="N199" s="961"/>
      <c r="O199" s="961"/>
      <c r="P199" s="961"/>
    </row>
    <row r="200" spans="1:16" ht="17">
      <c r="A200" s="887" t="s">
        <v>1553</v>
      </c>
      <c r="B200" s="796">
        <v>0</v>
      </c>
      <c r="C200" s="796">
        <v>0</v>
      </c>
      <c r="D200" s="796">
        <v>4.0999999999999996</v>
      </c>
      <c r="E200" s="796">
        <v>0</v>
      </c>
      <c r="F200" s="796">
        <v>0</v>
      </c>
      <c r="G200" s="797">
        <v>4.0999999999999996</v>
      </c>
      <c r="H200" s="796">
        <v>0</v>
      </c>
      <c r="I200" s="796">
        <v>0</v>
      </c>
      <c r="J200" s="796">
        <v>6.2</v>
      </c>
      <c r="K200" s="796">
        <v>0</v>
      </c>
      <c r="L200" s="796">
        <v>0</v>
      </c>
      <c r="M200" s="797">
        <v>6.2</v>
      </c>
      <c r="N200" s="798">
        <v>0.51219512195121963</v>
      </c>
      <c r="O200" s="844" t="s">
        <v>1723</v>
      </c>
      <c r="P200" s="952" t="s">
        <v>1742</v>
      </c>
    </row>
    <row r="201" spans="1:16" ht="68">
      <c r="A201" s="888" t="s">
        <v>1554</v>
      </c>
      <c r="B201" s="813">
        <v>61.253999999999998</v>
      </c>
      <c r="C201" s="813">
        <v>0</v>
      </c>
      <c r="D201" s="813">
        <v>0</v>
      </c>
      <c r="E201" s="813">
        <v>0</v>
      </c>
      <c r="F201" s="813">
        <v>0</v>
      </c>
      <c r="G201" s="814">
        <v>61.253999999999998</v>
      </c>
      <c r="H201" s="813">
        <v>62.006999999999998</v>
      </c>
      <c r="I201" s="813">
        <v>0</v>
      </c>
      <c r="J201" s="813">
        <v>0</v>
      </c>
      <c r="K201" s="813">
        <v>0</v>
      </c>
      <c r="L201" s="813">
        <v>0</v>
      </c>
      <c r="M201" s="814">
        <v>62.006999999999998</v>
      </c>
      <c r="N201" s="798">
        <v>1.2293074737976297E-2</v>
      </c>
      <c r="O201" s="970" t="s">
        <v>1743</v>
      </c>
      <c r="P201" s="962" t="s">
        <v>1596</v>
      </c>
    </row>
    <row r="202" spans="1:16" ht="17">
      <c r="A202" s="888" t="s">
        <v>1555</v>
      </c>
      <c r="B202" s="813">
        <v>0</v>
      </c>
      <c r="C202" s="813">
        <v>5.3</v>
      </c>
      <c r="D202" s="813">
        <v>0</v>
      </c>
      <c r="E202" s="813">
        <v>0</v>
      </c>
      <c r="F202" s="813">
        <v>0</v>
      </c>
      <c r="G202" s="814">
        <v>5.3</v>
      </c>
      <c r="H202" s="813">
        <v>0</v>
      </c>
      <c r="I202" s="813">
        <v>3.7130000000000001</v>
      </c>
      <c r="J202" s="813">
        <v>0</v>
      </c>
      <c r="K202" s="813">
        <v>0</v>
      </c>
      <c r="L202" s="813">
        <v>0</v>
      </c>
      <c r="M202" s="814">
        <v>3.7130000000000001</v>
      </c>
      <c r="N202" s="798">
        <v>-0.29943396226415092</v>
      </c>
      <c r="O202" s="970" t="s">
        <v>1712</v>
      </c>
      <c r="P202" s="953" t="s">
        <v>1720</v>
      </c>
    </row>
    <row r="203" spans="1:16" ht="51">
      <c r="A203" s="888" t="s">
        <v>1556</v>
      </c>
      <c r="B203" s="813">
        <v>16.762</v>
      </c>
      <c r="C203" s="813">
        <v>0</v>
      </c>
      <c r="D203" s="813">
        <v>0</v>
      </c>
      <c r="E203" s="813">
        <v>0</v>
      </c>
      <c r="F203" s="813">
        <v>0</v>
      </c>
      <c r="G203" s="814">
        <v>16.762</v>
      </c>
      <c r="H203" s="813">
        <v>24.036999999999999</v>
      </c>
      <c r="I203" s="813">
        <v>0</v>
      </c>
      <c r="J203" s="813">
        <v>0</v>
      </c>
      <c r="K203" s="813">
        <v>0</v>
      </c>
      <c r="L203" s="813">
        <v>0</v>
      </c>
      <c r="M203" s="814">
        <v>24.036999999999999</v>
      </c>
      <c r="N203" s="798">
        <v>0.43401742035556606</v>
      </c>
      <c r="O203" s="970" t="s">
        <v>1744</v>
      </c>
      <c r="P203" s="976" t="s">
        <v>1745</v>
      </c>
    </row>
    <row r="204" spans="1:16" ht="17">
      <c r="A204" s="888" t="s">
        <v>1557</v>
      </c>
      <c r="B204" s="813">
        <v>-46.01</v>
      </c>
      <c r="C204" s="813">
        <v>0</v>
      </c>
      <c r="D204" s="813">
        <v>0</v>
      </c>
      <c r="E204" s="813">
        <v>0</v>
      </c>
      <c r="F204" s="813">
        <v>0</v>
      </c>
      <c r="G204" s="814">
        <v>-46.01</v>
      </c>
      <c r="H204" s="813">
        <v>-46.996000000000002</v>
      </c>
      <c r="I204" s="813">
        <v>0</v>
      </c>
      <c r="J204" s="813">
        <v>0</v>
      </c>
      <c r="K204" s="813">
        <v>0</v>
      </c>
      <c r="L204" s="813">
        <v>0</v>
      </c>
      <c r="M204" s="814">
        <v>-46.996000000000002</v>
      </c>
      <c r="N204" s="798">
        <v>2.1430123886111808E-2</v>
      </c>
      <c r="O204" s="970" t="s">
        <v>1746</v>
      </c>
      <c r="P204" s="976" t="s">
        <v>1596</v>
      </c>
    </row>
    <row r="205" spans="1:16" ht="34">
      <c r="A205" s="889" t="s">
        <v>1558</v>
      </c>
      <c r="B205" s="248">
        <v>32.005999999999993</v>
      </c>
      <c r="C205" s="248">
        <v>5.3</v>
      </c>
      <c r="D205" s="248">
        <v>4.0999999999999996</v>
      </c>
      <c r="E205" s="248">
        <v>0</v>
      </c>
      <c r="F205" s="248">
        <v>0</v>
      </c>
      <c r="G205" s="248">
        <v>41.405999999999999</v>
      </c>
      <c r="H205" s="248">
        <v>39.047999999999995</v>
      </c>
      <c r="I205" s="248">
        <v>3.7130000000000001</v>
      </c>
      <c r="J205" s="248">
        <v>6.2</v>
      </c>
      <c r="K205" s="248">
        <v>0</v>
      </c>
      <c r="L205" s="248">
        <v>0</v>
      </c>
      <c r="M205" s="248">
        <v>48.960999999999991</v>
      </c>
      <c r="N205" s="419">
        <v>0.18246147901270329</v>
      </c>
      <c r="O205" s="954"/>
      <c r="P205" s="955"/>
    </row>
    <row r="206" spans="1:16" ht="16">
      <c r="A206" s="890"/>
      <c r="B206" s="829"/>
      <c r="C206" s="829"/>
      <c r="D206" s="829"/>
      <c r="E206" s="829"/>
      <c r="F206" s="829"/>
      <c r="G206" s="829"/>
      <c r="H206" s="829"/>
      <c r="I206" s="829"/>
      <c r="J206" s="829"/>
      <c r="K206" s="829"/>
      <c r="L206" s="829"/>
      <c r="M206" s="829"/>
      <c r="N206" s="913"/>
      <c r="O206" s="956"/>
      <c r="P206" s="956"/>
    </row>
    <row r="207" spans="1:16" ht="17">
      <c r="A207" s="150" t="s">
        <v>1559</v>
      </c>
      <c r="B207" s="224"/>
      <c r="C207" s="224"/>
      <c r="D207" s="224"/>
      <c r="E207" s="224"/>
      <c r="F207" s="224"/>
      <c r="G207" s="224"/>
      <c r="H207" s="224"/>
      <c r="I207" s="224"/>
      <c r="J207" s="224"/>
      <c r="K207" s="224"/>
      <c r="L207" s="224"/>
      <c r="M207" s="224"/>
      <c r="N207" s="957"/>
      <c r="O207" s="224"/>
      <c r="P207" s="224"/>
    </row>
    <row r="208" spans="1:16" ht="17">
      <c r="A208" s="887" t="s">
        <v>1560</v>
      </c>
      <c r="B208" s="796">
        <v>28.808</v>
      </c>
      <c r="C208" s="796">
        <v>0</v>
      </c>
      <c r="D208" s="796">
        <v>0</v>
      </c>
      <c r="E208" s="796">
        <v>0</v>
      </c>
      <c r="F208" s="796">
        <v>0</v>
      </c>
      <c r="G208" s="797">
        <v>28.808</v>
      </c>
      <c r="H208" s="796">
        <v>28.954000000000001</v>
      </c>
      <c r="I208" s="796">
        <v>0</v>
      </c>
      <c r="J208" s="796">
        <v>0</v>
      </c>
      <c r="K208" s="796">
        <v>0</v>
      </c>
      <c r="L208" s="796">
        <v>0</v>
      </c>
      <c r="M208" s="797">
        <v>28.954000000000001</v>
      </c>
      <c r="N208" s="798">
        <v>5.068036656484338E-3</v>
      </c>
      <c r="O208" s="844" t="s">
        <v>1747</v>
      </c>
      <c r="P208" s="958" t="s">
        <v>1596</v>
      </c>
    </row>
    <row r="209" spans="1:16" ht="34">
      <c r="A209" s="888" t="s">
        <v>1561</v>
      </c>
      <c r="B209" s="813">
        <v>0</v>
      </c>
      <c r="C209" s="813">
        <v>2.15</v>
      </c>
      <c r="D209" s="813">
        <v>0</v>
      </c>
      <c r="E209" s="813">
        <v>0</v>
      </c>
      <c r="F209" s="813">
        <v>0</v>
      </c>
      <c r="G209" s="814">
        <v>2.15</v>
      </c>
      <c r="H209" s="813">
        <v>0</v>
      </c>
      <c r="I209" s="813">
        <v>2.15</v>
      </c>
      <c r="J209" s="813">
        <v>0</v>
      </c>
      <c r="K209" s="813">
        <v>0</v>
      </c>
      <c r="L209" s="813">
        <v>0</v>
      </c>
      <c r="M209" s="814">
        <v>2.15</v>
      </c>
      <c r="N209" s="798">
        <v>0</v>
      </c>
      <c r="O209" s="970" t="s">
        <v>1712</v>
      </c>
      <c r="P209" s="962" t="s">
        <v>1596</v>
      </c>
    </row>
    <row r="210" spans="1:16" ht="34">
      <c r="A210" s="888" t="s">
        <v>1562</v>
      </c>
      <c r="B210" s="813">
        <v>17.553000000000001</v>
      </c>
      <c r="C210" s="813">
        <v>0</v>
      </c>
      <c r="D210" s="813">
        <v>0</v>
      </c>
      <c r="E210" s="813">
        <v>0</v>
      </c>
      <c r="F210" s="813">
        <v>0</v>
      </c>
      <c r="G210" s="814">
        <v>17.553000000000001</v>
      </c>
      <c r="H210" s="813">
        <v>23.213999999999999</v>
      </c>
      <c r="I210" s="813">
        <v>0</v>
      </c>
      <c r="J210" s="813">
        <v>0</v>
      </c>
      <c r="K210" s="813">
        <v>0</v>
      </c>
      <c r="L210" s="813">
        <v>0</v>
      </c>
      <c r="M210" s="814">
        <v>23.213999999999999</v>
      </c>
      <c r="N210" s="798">
        <v>0.32250897282515795</v>
      </c>
      <c r="O210" s="970" t="s">
        <v>1748</v>
      </c>
      <c r="P210" s="962" t="s">
        <v>1749</v>
      </c>
    </row>
    <row r="211" spans="1:16" ht="34">
      <c r="A211" s="888" t="s">
        <v>1563</v>
      </c>
      <c r="B211" s="813">
        <v>0</v>
      </c>
      <c r="C211" s="813">
        <v>0</v>
      </c>
      <c r="D211" s="813">
        <v>1.8</v>
      </c>
      <c r="E211" s="813">
        <v>0</v>
      </c>
      <c r="F211" s="813">
        <v>0</v>
      </c>
      <c r="G211" s="814">
        <v>1.8</v>
      </c>
      <c r="H211" s="813">
        <v>0</v>
      </c>
      <c r="I211" s="813">
        <v>0</v>
      </c>
      <c r="J211" s="813">
        <v>6.8</v>
      </c>
      <c r="K211" s="813">
        <v>0</v>
      </c>
      <c r="L211" s="813">
        <v>0</v>
      </c>
      <c r="M211" s="814">
        <v>6.8</v>
      </c>
      <c r="N211" s="798">
        <v>2.7777777777777777</v>
      </c>
      <c r="O211" s="970" t="s">
        <v>1723</v>
      </c>
      <c r="P211" s="952" t="s">
        <v>1750</v>
      </c>
    </row>
    <row r="212" spans="1:16" ht="17">
      <c r="A212" s="889" t="s">
        <v>1564</v>
      </c>
      <c r="B212" s="248">
        <v>46.361000000000004</v>
      </c>
      <c r="C212" s="248">
        <v>2.15</v>
      </c>
      <c r="D212" s="248">
        <v>1.8</v>
      </c>
      <c r="E212" s="248">
        <v>0</v>
      </c>
      <c r="F212" s="248">
        <v>0</v>
      </c>
      <c r="G212" s="248">
        <v>50.310999999999993</v>
      </c>
      <c r="H212" s="248">
        <v>52.167999999999999</v>
      </c>
      <c r="I212" s="248">
        <v>2.15</v>
      </c>
      <c r="J212" s="248">
        <v>6.8</v>
      </c>
      <c r="K212" s="248">
        <v>0</v>
      </c>
      <c r="L212" s="248">
        <v>0</v>
      </c>
      <c r="M212" s="248">
        <v>61.117999999999995</v>
      </c>
      <c r="N212" s="419">
        <v>0.2148039196199639</v>
      </c>
      <c r="O212" s="954"/>
      <c r="P212" s="955"/>
    </row>
    <row r="213" spans="1:16" ht="16">
      <c r="A213" s="890"/>
      <c r="B213" s="829"/>
      <c r="C213" s="829"/>
      <c r="D213" s="829"/>
      <c r="E213" s="829"/>
      <c r="F213" s="829"/>
      <c r="G213" s="829"/>
      <c r="H213" s="829"/>
      <c r="I213" s="829"/>
      <c r="J213" s="829"/>
      <c r="K213" s="829"/>
      <c r="L213" s="829"/>
      <c r="M213" s="829"/>
      <c r="N213" s="913"/>
      <c r="O213" s="956"/>
      <c r="P213" s="956"/>
    </row>
    <row r="214" spans="1:16" ht="17">
      <c r="A214" s="150" t="s">
        <v>1565</v>
      </c>
      <c r="B214" s="224"/>
      <c r="C214" s="224"/>
      <c r="D214" s="224"/>
      <c r="E214" s="224"/>
      <c r="F214" s="224"/>
      <c r="G214" s="224"/>
      <c r="H214" s="224"/>
      <c r="I214" s="224"/>
      <c r="J214" s="224"/>
      <c r="K214" s="224"/>
      <c r="L214" s="224"/>
      <c r="M214" s="224"/>
      <c r="N214" s="957"/>
      <c r="O214" s="226"/>
      <c r="P214" s="226"/>
    </row>
    <row r="215" spans="1:16" ht="85">
      <c r="A215" s="887" t="s">
        <v>1565</v>
      </c>
      <c r="B215" s="796">
        <v>24.757000000000001</v>
      </c>
      <c r="C215" s="796">
        <v>0</v>
      </c>
      <c r="D215" s="796">
        <v>18.649999999999999</v>
      </c>
      <c r="E215" s="796">
        <v>0</v>
      </c>
      <c r="F215" s="796">
        <v>0</v>
      </c>
      <c r="G215" s="797">
        <v>43.406999999999996</v>
      </c>
      <c r="H215" s="796">
        <v>24.154</v>
      </c>
      <c r="I215" s="796">
        <v>0</v>
      </c>
      <c r="J215" s="796">
        <v>23.2</v>
      </c>
      <c r="K215" s="796">
        <v>0</v>
      </c>
      <c r="L215" s="796">
        <v>0</v>
      </c>
      <c r="M215" s="797">
        <v>47.353999999999999</v>
      </c>
      <c r="N215" s="798">
        <v>9.0930034326260817E-2</v>
      </c>
      <c r="O215" s="844" t="s">
        <v>1751</v>
      </c>
      <c r="P215" s="977" t="s">
        <v>1752</v>
      </c>
    </row>
    <row r="216" spans="1:16" ht="17">
      <c r="A216" s="889" t="s">
        <v>1566</v>
      </c>
      <c r="B216" s="248">
        <v>24.757000000000001</v>
      </c>
      <c r="C216" s="248">
        <v>0</v>
      </c>
      <c r="D216" s="248">
        <v>18.649999999999999</v>
      </c>
      <c r="E216" s="248">
        <v>0</v>
      </c>
      <c r="F216" s="248">
        <v>0</v>
      </c>
      <c r="G216" s="248">
        <v>43.406999999999996</v>
      </c>
      <c r="H216" s="248">
        <v>24.154</v>
      </c>
      <c r="I216" s="248">
        <v>0</v>
      </c>
      <c r="J216" s="248">
        <v>23.2</v>
      </c>
      <c r="K216" s="248">
        <v>0</v>
      </c>
      <c r="L216" s="248">
        <v>0</v>
      </c>
      <c r="M216" s="248">
        <v>47.353999999999999</v>
      </c>
      <c r="N216" s="419">
        <v>9.0930034326260817E-2</v>
      </c>
      <c r="O216" s="954"/>
      <c r="P216" s="955"/>
    </row>
    <row r="217" spans="1:16" ht="17">
      <c r="A217" s="888" t="s">
        <v>1567</v>
      </c>
      <c r="B217" s="813">
        <v>0</v>
      </c>
      <c r="C217" s="813">
        <v>0</v>
      </c>
      <c r="D217" s="813">
        <v>0</v>
      </c>
      <c r="E217" s="813">
        <v>0</v>
      </c>
      <c r="F217" s="813">
        <v>0</v>
      </c>
      <c r="G217" s="814">
        <v>0</v>
      </c>
      <c r="H217" s="813">
        <v>0</v>
      </c>
      <c r="I217" s="813">
        <v>0</v>
      </c>
      <c r="J217" s="813">
        <v>0</v>
      </c>
      <c r="K217" s="813">
        <v>0</v>
      </c>
      <c r="L217" s="813">
        <v>0</v>
      </c>
      <c r="M217" s="814">
        <v>0</v>
      </c>
      <c r="N217" s="798" t="s">
        <v>155</v>
      </c>
      <c r="O217" s="888" t="s">
        <v>1753</v>
      </c>
      <c r="P217" s="962" t="s">
        <v>1596</v>
      </c>
    </row>
    <row r="218" spans="1:16" ht="17">
      <c r="A218" s="889" t="s">
        <v>1568</v>
      </c>
      <c r="B218" s="248">
        <v>0</v>
      </c>
      <c r="C218" s="248">
        <v>0</v>
      </c>
      <c r="D218" s="248">
        <v>0</v>
      </c>
      <c r="E218" s="248">
        <v>0</v>
      </c>
      <c r="F218" s="248">
        <v>0</v>
      </c>
      <c r="G218" s="248">
        <v>0</v>
      </c>
      <c r="H218" s="248">
        <v>0</v>
      </c>
      <c r="I218" s="248">
        <v>0</v>
      </c>
      <c r="J218" s="248">
        <v>0</v>
      </c>
      <c r="K218" s="248">
        <v>0</v>
      </c>
      <c r="L218" s="248">
        <v>0</v>
      </c>
      <c r="M218" s="248">
        <v>0</v>
      </c>
      <c r="N218" s="419" t="s">
        <v>155</v>
      </c>
      <c r="O218" s="954"/>
      <c r="P218" s="955"/>
    </row>
    <row r="219" spans="1:16" ht="16">
      <c r="A219" s="890"/>
      <c r="B219" s="829"/>
      <c r="C219" s="829"/>
      <c r="D219" s="829"/>
      <c r="E219" s="829"/>
      <c r="F219" s="829"/>
      <c r="G219" s="829"/>
      <c r="H219" s="829"/>
      <c r="I219" s="829"/>
      <c r="J219" s="829"/>
      <c r="K219" s="829"/>
      <c r="L219" s="829"/>
      <c r="M219" s="829"/>
      <c r="N219" s="913"/>
      <c r="O219" s="956"/>
      <c r="P219" s="956"/>
    </row>
    <row r="220" spans="1:16" ht="17">
      <c r="A220" s="892" t="s">
        <v>1569</v>
      </c>
      <c r="B220" s="819">
        <v>144.726</v>
      </c>
      <c r="C220" s="819">
        <v>8.5889999999999986</v>
      </c>
      <c r="D220" s="819">
        <v>67.599999999999994</v>
      </c>
      <c r="E220" s="819">
        <v>0</v>
      </c>
      <c r="F220" s="819">
        <v>0</v>
      </c>
      <c r="G220" s="819">
        <v>220.91500000000002</v>
      </c>
      <c r="H220" s="819">
        <v>154.12899999999999</v>
      </c>
      <c r="I220" s="819">
        <v>7.0019999999999998</v>
      </c>
      <c r="J220" s="819">
        <v>87.8</v>
      </c>
      <c r="K220" s="819">
        <v>0</v>
      </c>
      <c r="L220" s="819">
        <v>0</v>
      </c>
      <c r="M220" s="819">
        <v>248.93100000000001</v>
      </c>
      <c r="N220" s="820">
        <v>0.12681800692574061</v>
      </c>
      <c r="O220" s="846"/>
      <c r="P220" s="847"/>
    </row>
    <row r="221" spans="1:16" ht="16">
      <c r="A221" s="890"/>
      <c r="B221" s="805"/>
      <c r="C221" s="805"/>
      <c r="D221" s="805"/>
      <c r="E221" s="805"/>
      <c r="F221" s="805"/>
      <c r="G221" s="805"/>
      <c r="H221" s="805"/>
      <c r="I221" s="805"/>
      <c r="J221" s="805"/>
      <c r="K221" s="805"/>
      <c r="L221" s="805"/>
      <c r="M221" s="805"/>
      <c r="N221" s="968"/>
      <c r="O221" s="956"/>
      <c r="P221" s="956"/>
    </row>
    <row r="222" spans="1:16" ht="17">
      <c r="A222" s="782" t="s">
        <v>1570</v>
      </c>
      <c r="B222" s="978"/>
      <c r="C222" s="978"/>
      <c r="D222" s="978"/>
      <c r="E222" s="978"/>
      <c r="F222" s="978"/>
      <c r="G222" s="978"/>
      <c r="H222" s="978"/>
      <c r="I222" s="978"/>
      <c r="J222" s="978"/>
      <c r="K222" s="978"/>
      <c r="L222" s="978"/>
      <c r="M222" s="978"/>
      <c r="N222" s="979"/>
      <c r="O222" s="211"/>
      <c r="P222" s="211"/>
    </row>
    <row r="223" spans="1:16" ht="85">
      <c r="A223" s="887" t="s">
        <v>1570</v>
      </c>
      <c r="B223" s="796">
        <v>4.3159999999999998</v>
      </c>
      <c r="C223" s="796">
        <v>0</v>
      </c>
      <c r="D223" s="796">
        <v>8</v>
      </c>
      <c r="E223" s="796">
        <v>0</v>
      </c>
      <c r="F223" s="796">
        <v>0</v>
      </c>
      <c r="G223" s="797">
        <v>12.315999999999999</v>
      </c>
      <c r="H223" s="796">
        <v>6.4849999999999994</v>
      </c>
      <c r="I223" s="796">
        <v>0</v>
      </c>
      <c r="J223" s="796">
        <v>7.4</v>
      </c>
      <c r="K223" s="796">
        <v>0</v>
      </c>
      <c r="L223" s="796">
        <v>0</v>
      </c>
      <c r="M223" s="797">
        <v>13.885</v>
      </c>
      <c r="N223" s="798">
        <v>0.1273952582007146</v>
      </c>
      <c r="O223" s="959" t="s">
        <v>1754</v>
      </c>
      <c r="P223" s="952" t="s">
        <v>1755</v>
      </c>
    </row>
    <row r="224" spans="1:16" ht="34">
      <c r="A224" s="888" t="s">
        <v>1571</v>
      </c>
      <c r="B224" s="813">
        <v>1.55</v>
      </c>
      <c r="C224" s="813">
        <v>0</v>
      </c>
      <c r="D224" s="813">
        <v>0</v>
      </c>
      <c r="E224" s="813">
        <v>0</v>
      </c>
      <c r="F224" s="813">
        <v>0</v>
      </c>
      <c r="G224" s="814">
        <v>1.55</v>
      </c>
      <c r="H224" s="813">
        <v>1.524</v>
      </c>
      <c r="I224" s="813">
        <v>0</v>
      </c>
      <c r="J224" s="813">
        <v>0</v>
      </c>
      <c r="K224" s="813">
        <v>0</v>
      </c>
      <c r="L224" s="813">
        <v>0</v>
      </c>
      <c r="M224" s="814">
        <v>1.524</v>
      </c>
      <c r="N224" s="798">
        <v>-1.677419354838711E-2</v>
      </c>
      <c r="O224" s="972" t="s">
        <v>1756</v>
      </c>
      <c r="P224" s="953" t="s">
        <v>1596</v>
      </c>
    </row>
    <row r="225" spans="1:16" ht="17">
      <c r="A225" s="892" t="s">
        <v>1572</v>
      </c>
      <c r="B225" s="819">
        <v>5.8659999999999997</v>
      </c>
      <c r="C225" s="819">
        <v>0</v>
      </c>
      <c r="D225" s="819">
        <v>8</v>
      </c>
      <c r="E225" s="819">
        <v>0</v>
      </c>
      <c r="F225" s="819">
        <v>0</v>
      </c>
      <c r="G225" s="819">
        <v>13.866</v>
      </c>
      <c r="H225" s="819">
        <v>8.0090000000000003</v>
      </c>
      <c r="I225" s="819">
        <v>0</v>
      </c>
      <c r="J225" s="819">
        <v>7.4</v>
      </c>
      <c r="K225" s="819">
        <v>0</v>
      </c>
      <c r="L225" s="819">
        <v>0</v>
      </c>
      <c r="M225" s="819">
        <v>15.408999999999999</v>
      </c>
      <c r="N225" s="820">
        <v>0.11127938843213611</v>
      </c>
      <c r="O225" s="846"/>
      <c r="P225" s="847"/>
    </row>
    <row r="226" spans="1:16" ht="16">
      <c r="A226" s="872"/>
      <c r="B226" s="823"/>
      <c r="C226" s="823"/>
      <c r="D226" s="823"/>
      <c r="E226" s="823"/>
      <c r="F226" s="823"/>
      <c r="G226" s="823"/>
      <c r="H226" s="823"/>
      <c r="I226" s="823"/>
      <c r="J226" s="823"/>
      <c r="K226" s="823"/>
      <c r="L226" s="823"/>
      <c r="M226" s="823"/>
      <c r="N226" s="913"/>
      <c r="O226" s="914"/>
      <c r="P226" s="914"/>
    </row>
    <row r="227" spans="1:16" ht="17">
      <c r="A227" s="782" t="s">
        <v>1573</v>
      </c>
      <c r="B227" s="826"/>
      <c r="C227" s="826"/>
      <c r="D227" s="826"/>
      <c r="E227" s="826"/>
      <c r="F227" s="826"/>
      <c r="G227" s="826"/>
      <c r="H227" s="826"/>
      <c r="I227" s="826"/>
      <c r="J227" s="826"/>
      <c r="K227" s="826"/>
      <c r="L227" s="826"/>
      <c r="M227" s="826"/>
      <c r="N227" s="842"/>
      <c r="O227" s="843"/>
      <c r="P227" s="843"/>
    </row>
    <row r="228" spans="1:16" ht="51">
      <c r="A228" s="887" t="s">
        <v>1574</v>
      </c>
      <c r="B228" s="796">
        <v>1.75</v>
      </c>
      <c r="C228" s="796">
        <v>0</v>
      </c>
      <c r="D228" s="796">
        <v>0</v>
      </c>
      <c r="E228" s="796">
        <v>0</v>
      </c>
      <c r="F228" s="796">
        <v>0</v>
      </c>
      <c r="G228" s="797">
        <v>1.75</v>
      </c>
      <c r="H228" s="796">
        <v>1.698</v>
      </c>
      <c r="I228" s="796">
        <v>0</v>
      </c>
      <c r="J228" s="796">
        <v>0</v>
      </c>
      <c r="K228" s="796">
        <v>0</v>
      </c>
      <c r="L228" s="796">
        <v>0</v>
      </c>
      <c r="M228" s="797">
        <v>1.698</v>
      </c>
      <c r="N228" s="798">
        <v>-2.9714285714285742E-2</v>
      </c>
      <c r="O228" s="959" t="s">
        <v>1757</v>
      </c>
      <c r="P228" s="952" t="s">
        <v>1596</v>
      </c>
    </row>
    <row r="229" spans="1:16" ht="85">
      <c r="A229" s="888" t="s">
        <v>1575</v>
      </c>
      <c r="B229" s="813">
        <v>0.5</v>
      </c>
      <c r="C229" s="813">
        <v>0</v>
      </c>
      <c r="D229" s="813">
        <v>0</v>
      </c>
      <c r="E229" s="813">
        <v>0</v>
      </c>
      <c r="F229" s="813">
        <v>0</v>
      </c>
      <c r="G229" s="814">
        <v>0.5</v>
      </c>
      <c r="H229" s="813">
        <v>0.2</v>
      </c>
      <c r="I229" s="813">
        <v>0</v>
      </c>
      <c r="J229" s="813">
        <v>0</v>
      </c>
      <c r="K229" s="813">
        <v>0</v>
      </c>
      <c r="L229" s="813">
        <v>0</v>
      </c>
      <c r="M229" s="814">
        <v>0.2</v>
      </c>
      <c r="N229" s="798">
        <v>-0.6</v>
      </c>
      <c r="O229" s="972" t="s">
        <v>1758</v>
      </c>
      <c r="P229" s="953" t="s">
        <v>1759</v>
      </c>
    </row>
    <row r="230" spans="1:16" ht="153">
      <c r="A230" s="894" t="s">
        <v>1576</v>
      </c>
      <c r="B230" s="813">
        <v>25.099</v>
      </c>
      <c r="C230" s="813">
        <v>0</v>
      </c>
      <c r="D230" s="813">
        <v>14</v>
      </c>
      <c r="E230" s="813">
        <v>10</v>
      </c>
      <c r="F230" s="813">
        <v>0</v>
      </c>
      <c r="G230" s="814">
        <v>49.099000000000004</v>
      </c>
      <c r="H230" s="813">
        <v>29.463000000000001</v>
      </c>
      <c r="I230" s="813">
        <v>0</v>
      </c>
      <c r="J230" s="813">
        <v>25</v>
      </c>
      <c r="K230" s="813">
        <v>25</v>
      </c>
      <c r="L230" s="813">
        <v>0</v>
      </c>
      <c r="M230" s="814">
        <v>79.462999999999994</v>
      </c>
      <c r="N230" s="798">
        <v>0.61842400048880808</v>
      </c>
      <c r="O230" s="972" t="s">
        <v>1760</v>
      </c>
      <c r="P230" s="976" t="s">
        <v>1761</v>
      </c>
    </row>
    <row r="231" spans="1:16" ht="17">
      <c r="A231" s="899" t="s">
        <v>1577</v>
      </c>
      <c r="B231" s="865">
        <v>27.349</v>
      </c>
      <c r="C231" s="865">
        <v>0</v>
      </c>
      <c r="D231" s="865">
        <v>14</v>
      </c>
      <c r="E231" s="865">
        <v>10</v>
      </c>
      <c r="F231" s="865">
        <v>0</v>
      </c>
      <c r="G231" s="865">
        <v>51.349000000000004</v>
      </c>
      <c r="H231" s="865">
        <v>31.361000000000001</v>
      </c>
      <c r="I231" s="865">
        <v>0</v>
      </c>
      <c r="J231" s="865">
        <v>25</v>
      </c>
      <c r="K231" s="865">
        <v>25</v>
      </c>
      <c r="L231" s="865">
        <v>0</v>
      </c>
      <c r="M231" s="865">
        <v>81.36099999999999</v>
      </c>
      <c r="N231" s="820">
        <v>0.58447097314455942</v>
      </c>
      <c r="O231" s="980"/>
      <c r="P231" s="847"/>
    </row>
    <row r="232" spans="1:16" ht="16">
      <c r="A232" s="872"/>
      <c r="B232" s="823"/>
      <c r="C232" s="823"/>
      <c r="D232" s="823"/>
      <c r="E232" s="823"/>
      <c r="F232" s="823"/>
      <c r="G232" s="823"/>
      <c r="H232" s="823"/>
      <c r="I232" s="823"/>
      <c r="J232" s="823"/>
      <c r="K232" s="823"/>
      <c r="L232" s="823"/>
      <c r="M232" s="823"/>
      <c r="N232" s="913"/>
      <c r="O232" s="914"/>
      <c r="P232" s="914"/>
    </row>
    <row r="233" spans="1:16" ht="17">
      <c r="A233" s="782" t="s">
        <v>1578</v>
      </c>
      <c r="B233" s="978"/>
      <c r="C233" s="978"/>
      <c r="D233" s="978"/>
      <c r="E233" s="978"/>
      <c r="F233" s="978"/>
      <c r="G233" s="978"/>
      <c r="H233" s="978"/>
      <c r="I233" s="978"/>
      <c r="J233" s="978"/>
      <c r="K233" s="978"/>
      <c r="L233" s="978"/>
      <c r="M233" s="978"/>
      <c r="N233" s="979"/>
      <c r="O233" s="211"/>
      <c r="P233" s="211"/>
    </row>
    <row r="234" spans="1:16" ht="102">
      <c r="A234" s="887" t="s">
        <v>1578</v>
      </c>
      <c r="B234" s="796">
        <v>0</v>
      </c>
      <c r="C234" s="796">
        <v>0</v>
      </c>
      <c r="D234" s="796">
        <v>0</v>
      </c>
      <c r="E234" s="796">
        <v>0</v>
      </c>
      <c r="F234" s="796">
        <v>0</v>
      </c>
      <c r="G234" s="797">
        <v>0</v>
      </c>
      <c r="H234" s="796">
        <v>6.2010000000000005</v>
      </c>
      <c r="I234" s="796">
        <v>0</v>
      </c>
      <c r="J234" s="796">
        <v>0</v>
      </c>
      <c r="K234" s="796">
        <v>0</v>
      </c>
      <c r="L234" s="796">
        <v>0</v>
      </c>
      <c r="M234" s="797">
        <v>6.2010000000000005</v>
      </c>
      <c r="N234" s="798" t="s">
        <v>155</v>
      </c>
      <c r="O234" s="981" t="s">
        <v>1762</v>
      </c>
      <c r="P234" s="952" t="s">
        <v>1763</v>
      </c>
    </row>
    <row r="235" spans="1:16" ht="17">
      <c r="A235" s="892" t="s">
        <v>1579</v>
      </c>
      <c r="B235" s="819">
        <v>0</v>
      </c>
      <c r="C235" s="819">
        <v>0</v>
      </c>
      <c r="D235" s="819">
        <v>0</v>
      </c>
      <c r="E235" s="819">
        <v>0</v>
      </c>
      <c r="F235" s="819">
        <v>0</v>
      </c>
      <c r="G235" s="819">
        <v>0</v>
      </c>
      <c r="H235" s="819">
        <v>6.2010000000000005</v>
      </c>
      <c r="I235" s="819">
        <v>0</v>
      </c>
      <c r="J235" s="819">
        <v>0</v>
      </c>
      <c r="K235" s="819">
        <v>0</v>
      </c>
      <c r="L235" s="819">
        <v>0</v>
      </c>
      <c r="M235" s="819">
        <v>6.2010000000000005</v>
      </c>
      <c r="N235" s="820" t="s">
        <v>155</v>
      </c>
      <c r="O235" s="846"/>
      <c r="P235" s="847"/>
    </row>
    <row r="236" spans="1:16" ht="16">
      <c r="A236" s="872"/>
      <c r="B236" s="823"/>
      <c r="C236" s="823"/>
      <c r="D236" s="823"/>
      <c r="E236" s="823"/>
      <c r="F236" s="823"/>
      <c r="G236" s="823"/>
      <c r="H236" s="823"/>
      <c r="I236" s="823"/>
      <c r="J236" s="823"/>
      <c r="K236" s="823"/>
      <c r="L236" s="823"/>
      <c r="M236" s="823"/>
      <c r="N236" s="913"/>
      <c r="O236" s="914"/>
      <c r="P236" s="914"/>
    </row>
    <row r="237" spans="1:16" ht="17">
      <c r="A237" s="900" t="s">
        <v>1580</v>
      </c>
      <c r="B237" s="202"/>
      <c r="C237" s="202"/>
      <c r="D237" s="202"/>
      <c r="E237" s="202"/>
      <c r="F237" s="202"/>
      <c r="G237" s="202"/>
      <c r="H237" s="202"/>
      <c r="I237" s="202"/>
      <c r="J237" s="202"/>
      <c r="K237" s="202"/>
      <c r="L237" s="202"/>
      <c r="M237" s="202"/>
      <c r="N237" s="982"/>
      <c r="O237" s="983"/>
      <c r="P237" s="983"/>
    </row>
    <row r="238" spans="1:16" ht="34">
      <c r="A238" s="887" t="s">
        <v>1581</v>
      </c>
      <c r="B238" s="796">
        <v>-105</v>
      </c>
      <c r="C238" s="796">
        <v>0</v>
      </c>
      <c r="D238" s="796">
        <v>0</v>
      </c>
      <c r="E238" s="796">
        <v>0</v>
      </c>
      <c r="F238" s="796">
        <v>0</v>
      </c>
      <c r="G238" s="797">
        <v>-105</v>
      </c>
      <c r="H238" s="796">
        <v>-105</v>
      </c>
      <c r="I238" s="796">
        <v>0</v>
      </c>
      <c r="J238" s="796">
        <v>0</v>
      </c>
      <c r="K238" s="796">
        <v>0</v>
      </c>
      <c r="L238" s="796">
        <v>0</v>
      </c>
      <c r="M238" s="797">
        <v>-105</v>
      </c>
      <c r="N238" s="798">
        <v>0</v>
      </c>
      <c r="O238" s="984" t="s">
        <v>1764</v>
      </c>
      <c r="P238" s="952" t="s">
        <v>1596</v>
      </c>
    </row>
    <row r="239" spans="1:16" ht="34">
      <c r="A239" s="888" t="s">
        <v>1582</v>
      </c>
      <c r="B239" s="813">
        <v>0</v>
      </c>
      <c r="C239" s="813">
        <v>0</v>
      </c>
      <c r="D239" s="813">
        <v>170</v>
      </c>
      <c r="E239" s="813">
        <v>0</v>
      </c>
      <c r="F239" s="813">
        <v>0</v>
      </c>
      <c r="G239" s="814">
        <v>170</v>
      </c>
      <c r="H239" s="813">
        <v>0</v>
      </c>
      <c r="I239" s="813">
        <v>0</v>
      </c>
      <c r="J239" s="813">
        <v>170</v>
      </c>
      <c r="K239" s="813">
        <v>0</v>
      </c>
      <c r="L239" s="813">
        <v>0</v>
      </c>
      <c r="M239" s="814">
        <v>170</v>
      </c>
      <c r="N239" s="798">
        <v>0</v>
      </c>
      <c r="O239" s="985" t="s">
        <v>1765</v>
      </c>
      <c r="P239" s="952" t="s">
        <v>1596</v>
      </c>
    </row>
    <row r="240" spans="1:16" ht="17">
      <c r="A240" s="888" t="s">
        <v>1583</v>
      </c>
      <c r="B240" s="813">
        <v>4.8540000000000001</v>
      </c>
      <c r="C240" s="813">
        <v>0</v>
      </c>
      <c r="D240" s="813">
        <v>0</v>
      </c>
      <c r="E240" s="813">
        <v>0</v>
      </c>
      <c r="F240" s="813">
        <v>0</v>
      </c>
      <c r="G240" s="814">
        <v>4.8540000000000001</v>
      </c>
      <c r="H240" s="813">
        <v>3.6739999999999999</v>
      </c>
      <c r="I240" s="813">
        <v>0</v>
      </c>
      <c r="J240" s="813">
        <v>0</v>
      </c>
      <c r="K240" s="813">
        <v>0</v>
      </c>
      <c r="L240" s="813">
        <v>0</v>
      </c>
      <c r="M240" s="814">
        <v>3.6739999999999999</v>
      </c>
      <c r="N240" s="798">
        <v>-0.24309847548413682</v>
      </c>
      <c r="O240" s="985" t="s">
        <v>1766</v>
      </c>
      <c r="P240" s="971" t="s">
        <v>1767</v>
      </c>
    </row>
    <row r="241" spans="1:16" ht="34">
      <c r="A241" s="888" t="s">
        <v>1584</v>
      </c>
      <c r="B241" s="813">
        <v>0.96299999999999997</v>
      </c>
      <c r="C241" s="813">
        <v>0</v>
      </c>
      <c r="D241" s="813">
        <v>0</v>
      </c>
      <c r="E241" s="813">
        <v>0</v>
      </c>
      <c r="F241" s="813">
        <v>0</v>
      </c>
      <c r="G241" s="814">
        <v>0.96299999999999997</v>
      </c>
      <c r="H241" s="813">
        <v>0.44399999999999995</v>
      </c>
      <c r="I241" s="813">
        <v>0</v>
      </c>
      <c r="J241" s="813">
        <v>0</v>
      </c>
      <c r="K241" s="813">
        <v>0</v>
      </c>
      <c r="L241" s="813">
        <v>0</v>
      </c>
      <c r="M241" s="814">
        <v>0.44399999999999995</v>
      </c>
      <c r="N241" s="798">
        <v>-0.53894080996884741</v>
      </c>
      <c r="O241" s="985" t="s">
        <v>1768</v>
      </c>
      <c r="P241" s="971" t="s">
        <v>1769</v>
      </c>
    </row>
    <row r="242" spans="1:16" ht="34">
      <c r="A242" s="888" t="s">
        <v>1585</v>
      </c>
      <c r="B242" s="813">
        <v>1.8420000000000001</v>
      </c>
      <c r="C242" s="813">
        <v>0</v>
      </c>
      <c r="D242" s="813">
        <v>5</v>
      </c>
      <c r="E242" s="813">
        <v>0</v>
      </c>
      <c r="F242" s="813">
        <v>0</v>
      </c>
      <c r="G242" s="814">
        <v>6.8420000000000005</v>
      </c>
      <c r="H242" s="813">
        <v>1.7869999999999999</v>
      </c>
      <c r="I242" s="813">
        <v>0</v>
      </c>
      <c r="J242" s="813">
        <v>5</v>
      </c>
      <c r="K242" s="813">
        <v>0</v>
      </c>
      <c r="L242" s="813">
        <v>0</v>
      </c>
      <c r="M242" s="814">
        <v>6.7869999999999999</v>
      </c>
      <c r="N242" s="798">
        <v>-8.0385852090033034E-3</v>
      </c>
      <c r="O242" s="986" t="s">
        <v>1770</v>
      </c>
      <c r="P242" s="952" t="s">
        <v>1596</v>
      </c>
    </row>
    <row r="243" spans="1:16" ht="17">
      <c r="A243" s="901" t="s">
        <v>1586</v>
      </c>
      <c r="B243" s="987">
        <v>-97.341000000000008</v>
      </c>
      <c r="C243" s="987">
        <v>0</v>
      </c>
      <c r="D243" s="987">
        <v>175</v>
      </c>
      <c r="E243" s="987">
        <v>0</v>
      </c>
      <c r="F243" s="987">
        <v>0</v>
      </c>
      <c r="G243" s="987">
        <v>77.658999999999992</v>
      </c>
      <c r="H243" s="987">
        <v>-99.094999999999985</v>
      </c>
      <c r="I243" s="987">
        <v>0</v>
      </c>
      <c r="J243" s="987">
        <v>175</v>
      </c>
      <c r="K243" s="987">
        <v>0</v>
      </c>
      <c r="L243" s="987">
        <v>0</v>
      </c>
      <c r="M243" s="987">
        <v>75.905000000000015</v>
      </c>
      <c r="N243" s="820">
        <v>-2.2585920498589689E-2</v>
      </c>
      <c r="O243" s="988"/>
      <c r="P243" s="989"/>
    </row>
    <row r="245" spans="1:16" ht="16">
      <c r="A245" s="896"/>
      <c r="B245" s="660"/>
      <c r="C245" s="660"/>
      <c r="D245" s="660"/>
      <c r="E245" s="660"/>
      <c r="F245" s="660"/>
      <c r="G245" s="966"/>
      <c r="H245" s="660"/>
      <c r="I245" s="660"/>
      <c r="J245" s="660"/>
      <c r="K245" s="660"/>
      <c r="L245" s="660"/>
      <c r="M245" s="966"/>
      <c r="N245" s="967"/>
      <c r="O245" s="896"/>
      <c r="P245" s="896"/>
    </row>
    <row r="246" spans="1:16" ht="17">
      <c r="A246" s="162" t="s">
        <v>272</v>
      </c>
      <c r="B246" s="247"/>
      <c r="C246" s="247"/>
      <c r="D246" s="247"/>
      <c r="E246" s="247"/>
      <c r="F246" s="247"/>
      <c r="G246" s="248"/>
      <c r="H246" s="247"/>
      <c r="I246" s="247"/>
      <c r="J246" s="247"/>
      <c r="K246" s="247"/>
      <c r="L246" s="247"/>
      <c r="M246" s="248"/>
      <c r="N246" s="967"/>
      <c r="O246" s="896"/>
      <c r="P246" s="896"/>
    </row>
    <row r="247" spans="1:16" ht="18">
      <c r="A247" s="902"/>
      <c r="B247" s="656"/>
      <c r="C247" s="656"/>
      <c r="D247" s="656"/>
      <c r="E247" s="656"/>
      <c r="F247" s="656"/>
      <c r="G247" s="990"/>
      <c r="H247" s="656"/>
      <c r="I247" s="656"/>
      <c r="J247" s="656"/>
      <c r="K247" s="656"/>
      <c r="L247" s="656"/>
      <c r="M247" s="990"/>
      <c r="N247" s="991"/>
      <c r="O247" s="902"/>
      <c r="P247" s="902"/>
    </row>
    <row r="248" spans="1:16" ht="17">
      <c r="A248" s="791" t="s">
        <v>1587</v>
      </c>
      <c r="B248" s="865">
        <v>1672.2849999999999</v>
      </c>
      <c r="C248" s="865">
        <v>195.02799999999999</v>
      </c>
      <c r="D248" s="865">
        <v>2485</v>
      </c>
      <c r="E248" s="865">
        <v>60.3</v>
      </c>
      <c r="F248" s="865">
        <v>0</v>
      </c>
      <c r="G248" s="865">
        <v>4412.6130000000003</v>
      </c>
      <c r="H248" s="865">
        <v>1794.8880000000001</v>
      </c>
      <c r="I248" s="865">
        <v>196.52600000000001</v>
      </c>
      <c r="J248" s="865">
        <v>2595.8000000000002</v>
      </c>
      <c r="K248" s="865">
        <v>61</v>
      </c>
      <c r="L248" s="865">
        <v>0</v>
      </c>
      <c r="M248" s="865">
        <v>4648.213999999999</v>
      </c>
      <c r="N248" s="820">
        <v>5.3392626999013676E-2</v>
      </c>
      <c r="O248" s="992"/>
      <c r="P248" s="993"/>
    </row>
    <row r="249" spans="1:16" ht="16">
      <c r="A249" s="172"/>
      <c r="B249" s="831"/>
      <c r="C249" s="831"/>
      <c r="D249" s="831"/>
      <c r="E249" s="831"/>
      <c r="F249" s="831"/>
      <c r="G249" s="832"/>
      <c r="H249" s="831"/>
      <c r="I249" s="831"/>
      <c r="J249" s="831"/>
      <c r="K249" s="831"/>
      <c r="L249" s="831"/>
      <c r="M249" s="832"/>
      <c r="N249" s="651"/>
      <c r="O249" s="756"/>
      <c r="P249" s="756"/>
    </row>
    <row r="250" spans="1:16" ht="16">
      <c r="A250" s="520" t="s">
        <v>476</v>
      </c>
      <c r="B250" s="185"/>
      <c r="C250" s="185"/>
      <c r="D250" s="185"/>
      <c r="E250" s="185"/>
      <c r="F250" s="185"/>
      <c r="G250" s="185"/>
      <c r="H250" s="185"/>
      <c r="I250" s="185"/>
      <c r="J250" s="185"/>
      <c r="K250" s="185"/>
      <c r="L250" s="185"/>
      <c r="M250" s="185"/>
      <c r="N250" s="482"/>
      <c r="O250" s="187"/>
      <c r="P250" s="187"/>
    </row>
    <row r="251" spans="1:16" ht="34">
      <c r="A251" s="141" t="s">
        <v>477</v>
      </c>
      <c r="B251" s="188">
        <v>0</v>
      </c>
      <c r="C251" s="188">
        <v>0</v>
      </c>
      <c r="D251" s="188">
        <v>0</v>
      </c>
      <c r="E251" s="188">
        <v>0</v>
      </c>
      <c r="F251" s="188">
        <v>0</v>
      </c>
      <c r="G251" s="189">
        <v>0</v>
      </c>
      <c r="H251" s="188">
        <v>0</v>
      </c>
      <c r="I251" s="188">
        <v>0</v>
      </c>
      <c r="J251" s="188">
        <v>0</v>
      </c>
      <c r="K251" s="188">
        <v>0</v>
      </c>
      <c r="L251" s="188">
        <v>0</v>
      </c>
      <c r="M251" s="189">
        <v>0</v>
      </c>
      <c r="N251" s="798" t="s">
        <v>155</v>
      </c>
      <c r="O251" s="205" t="s">
        <v>599</v>
      </c>
      <c r="P251" s="192" t="s">
        <v>1771</v>
      </c>
    </row>
    <row r="252" spans="1:16" ht="16">
      <c r="A252" s="521" t="s">
        <v>478</v>
      </c>
      <c r="B252" s="195">
        <v>0</v>
      </c>
      <c r="C252" s="195">
        <v>0</v>
      </c>
      <c r="D252" s="195">
        <v>0</v>
      </c>
      <c r="E252" s="195">
        <v>0</v>
      </c>
      <c r="F252" s="195">
        <v>0</v>
      </c>
      <c r="G252" s="195">
        <v>0</v>
      </c>
      <c r="H252" s="195">
        <v>0</v>
      </c>
      <c r="I252" s="195">
        <v>0</v>
      </c>
      <c r="J252" s="195">
        <v>0</v>
      </c>
      <c r="K252" s="195">
        <v>0</v>
      </c>
      <c r="L252" s="195">
        <v>0</v>
      </c>
      <c r="M252" s="195">
        <v>0</v>
      </c>
      <c r="N252" s="820" t="s">
        <v>155</v>
      </c>
      <c r="O252" s="197"/>
      <c r="P252" s="198"/>
    </row>
    <row r="253" spans="1:16" ht="16">
      <c r="A253" s="172"/>
      <c r="B253" s="831"/>
      <c r="C253" s="831"/>
      <c r="D253" s="831"/>
      <c r="E253" s="831"/>
      <c r="F253" s="831"/>
      <c r="G253" s="832"/>
      <c r="H253" s="831"/>
      <c r="I253" s="831"/>
      <c r="J253" s="831"/>
      <c r="K253" s="831"/>
      <c r="L253" s="831"/>
      <c r="M253" s="832"/>
      <c r="N253" s="651"/>
      <c r="O253" s="756"/>
      <c r="P253" s="756"/>
    </row>
    <row r="254" spans="1:16" ht="34">
      <c r="A254" s="903" t="s">
        <v>684</v>
      </c>
      <c r="B254" s="994"/>
      <c r="C254" s="994"/>
      <c r="D254" s="994"/>
      <c r="E254" s="994"/>
      <c r="F254" s="994"/>
      <c r="G254" s="994"/>
      <c r="H254" s="994"/>
      <c r="I254" s="994"/>
      <c r="J254" s="994"/>
      <c r="K254" s="994"/>
      <c r="L254" s="994"/>
      <c r="M254" s="994"/>
      <c r="N254" s="995"/>
      <c r="O254" s="996"/>
      <c r="P254" s="996"/>
    </row>
    <row r="255" spans="1:16" ht="34">
      <c r="A255" s="904" t="s">
        <v>1588</v>
      </c>
      <c r="B255" s="916">
        <v>0</v>
      </c>
      <c r="C255" s="916">
        <v>0</v>
      </c>
      <c r="D255" s="916">
        <v>23.927</v>
      </c>
      <c r="E255" s="916">
        <v>0</v>
      </c>
      <c r="F255" s="916">
        <v>0</v>
      </c>
      <c r="G255" s="575">
        <v>23.927</v>
      </c>
      <c r="H255" s="916">
        <v>0</v>
      </c>
      <c r="I255" s="916">
        <v>0</v>
      </c>
      <c r="J255" s="916">
        <v>23.927</v>
      </c>
      <c r="K255" s="916">
        <v>0</v>
      </c>
      <c r="L255" s="916">
        <v>0</v>
      </c>
      <c r="M255" s="575">
        <v>23.927</v>
      </c>
      <c r="N255" s="798">
        <v>0</v>
      </c>
      <c r="O255" s="58" t="s">
        <v>1772</v>
      </c>
      <c r="P255" s="192" t="s">
        <v>1596</v>
      </c>
    </row>
    <row r="256" spans="1:16" ht="17">
      <c r="A256" s="774" t="s">
        <v>1589</v>
      </c>
      <c r="B256" s="916">
        <v>19.2</v>
      </c>
      <c r="C256" s="916">
        <v>0</v>
      </c>
      <c r="D256" s="916">
        <v>0</v>
      </c>
      <c r="E256" s="916">
        <v>0</v>
      </c>
      <c r="F256" s="916">
        <v>0</v>
      </c>
      <c r="G256" s="575">
        <v>19.2</v>
      </c>
      <c r="H256" s="916">
        <v>19.2</v>
      </c>
      <c r="I256" s="916">
        <v>0</v>
      </c>
      <c r="J256" s="916">
        <v>0</v>
      </c>
      <c r="K256" s="916">
        <v>0</v>
      </c>
      <c r="L256" s="916">
        <v>0</v>
      </c>
      <c r="M256" s="575">
        <v>19.2</v>
      </c>
      <c r="N256" s="798">
        <v>0</v>
      </c>
      <c r="O256" s="58" t="s">
        <v>1773</v>
      </c>
      <c r="P256" s="192" t="s">
        <v>1596</v>
      </c>
    </row>
    <row r="257" spans="1:16" ht="51">
      <c r="A257" s="774" t="s">
        <v>1590</v>
      </c>
      <c r="B257" s="916">
        <v>0</v>
      </c>
      <c r="C257" s="916">
        <v>0</v>
      </c>
      <c r="D257" s="916">
        <v>15.327</v>
      </c>
      <c r="E257" s="916">
        <v>0</v>
      </c>
      <c r="F257" s="916">
        <v>0</v>
      </c>
      <c r="G257" s="575">
        <v>15.327</v>
      </c>
      <c r="H257" s="916">
        <v>0</v>
      </c>
      <c r="I257" s="916">
        <v>0</v>
      </c>
      <c r="J257" s="916">
        <v>15.327</v>
      </c>
      <c r="K257" s="916">
        <v>0</v>
      </c>
      <c r="L257" s="916">
        <v>0</v>
      </c>
      <c r="M257" s="575">
        <v>15.327</v>
      </c>
      <c r="N257" s="798">
        <v>0</v>
      </c>
      <c r="O257" s="58" t="s">
        <v>1774</v>
      </c>
      <c r="P257" s="192" t="s">
        <v>1596</v>
      </c>
    </row>
    <row r="258" spans="1:16" ht="34">
      <c r="A258" s="873" t="s">
        <v>1591</v>
      </c>
      <c r="B258" s="664">
        <v>19.2</v>
      </c>
      <c r="C258" s="664">
        <v>0</v>
      </c>
      <c r="D258" s="664">
        <v>39.253999999999998</v>
      </c>
      <c r="E258" s="664">
        <v>0</v>
      </c>
      <c r="F258" s="664">
        <v>0</v>
      </c>
      <c r="G258" s="664">
        <v>58.453999999999994</v>
      </c>
      <c r="H258" s="664">
        <v>19.2</v>
      </c>
      <c r="I258" s="664">
        <v>0</v>
      </c>
      <c r="J258" s="664">
        <v>39.253999999999998</v>
      </c>
      <c r="K258" s="664">
        <v>0</v>
      </c>
      <c r="L258" s="664">
        <v>0</v>
      </c>
      <c r="M258" s="664">
        <v>58.453999999999994</v>
      </c>
      <c r="N258" s="820">
        <v>0</v>
      </c>
      <c r="O258" s="609"/>
      <c r="P258" s="609"/>
    </row>
    <row r="259" spans="1:16">
      <c r="A259" s="519"/>
      <c r="B259" s="602"/>
      <c r="C259" s="602"/>
      <c r="D259" s="602"/>
      <c r="E259" s="602"/>
      <c r="F259" s="602"/>
      <c r="G259" s="867"/>
      <c r="H259" s="602"/>
      <c r="I259" s="602"/>
      <c r="J259" s="602"/>
      <c r="K259" s="602"/>
      <c r="L259" s="602"/>
      <c r="M259" s="867"/>
      <c r="N259" s="602"/>
      <c r="O259" s="602"/>
      <c r="P259" s="60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70"/>
  <sheetViews>
    <sheetView zoomScale="80" zoomScaleNormal="80" workbookViewId="0">
      <selection activeCell="O9" sqref="O9"/>
    </sheetView>
  </sheetViews>
  <sheetFormatPr baseColWidth="10" defaultColWidth="8.83203125" defaultRowHeight="15" outlineLevelCol="1"/>
  <cols>
    <col min="1" max="1" width="40.83203125" style="2" customWidth="1"/>
    <col min="2" max="14" width="17.83203125" customWidth="1" outlineLevel="1"/>
    <col min="15" max="16" width="75.83203125" customWidth="1" outlineLevel="1"/>
  </cols>
  <sheetData>
    <row r="1" spans="1:16" ht="16" thickBot="1"/>
    <row r="2" spans="1:16" ht="21">
      <c r="A2" s="491"/>
      <c r="B2" s="522"/>
      <c r="C2" s="523"/>
      <c r="D2" s="523"/>
      <c r="E2" s="523"/>
      <c r="F2" s="523"/>
      <c r="G2" s="524"/>
      <c r="H2" s="524"/>
      <c r="I2" s="524"/>
      <c r="J2" s="524"/>
      <c r="K2" s="524"/>
      <c r="L2" s="524"/>
      <c r="M2" s="524"/>
      <c r="N2" s="525"/>
      <c r="O2" s="526"/>
      <c r="P2" s="527"/>
    </row>
    <row r="3" spans="1:16" ht="136">
      <c r="A3" s="4" t="s">
        <v>929</v>
      </c>
      <c r="B3" s="42" t="s">
        <v>100</v>
      </c>
      <c r="C3" s="42" t="s">
        <v>101</v>
      </c>
      <c r="D3" s="42" t="s">
        <v>102</v>
      </c>
      <c r="E3" s="42" t="s">
        <v>103</v>
      </c>
      <c r="F3" s="42" t="s">
        <v>104</v>
      </c>
      <c r="G3" s="42" t="s">
        <v>105</v>
      </c>
      <c r="H3" s="42" t="s">
        <v>106</v>
      </c>
      <c r="I3" s="42" t="s">
        <v>107</v>
      </c>
      <c r="J3" s="42" t="s">
        <v>108</v>
      </c>
      <c r="K3" s="42" t="s">
        <v>109</v>
      </c>
      <c r="L3" s="42" t="s">
        <v>110</v>
      </c>
      <c r="M3" s="42" t="s">
        <v>111</v>
      </c>
      <c r="N3" s="43" t="s">
        <v>112</v>
      </c>
      <c r="O3" s="44" t="s">
        <v>113</v>
      </c>
      <c r="P3" s="178" t="s">
        <v>114</v>
      </c>
    </row>
    <row r="4" spans="1:16" ht="22" thickBot="1">
      <c r="A4" s="133"/>
      <c r="B4" s="179"/>
      <c r="C4" s="179"/>
      <c r="D4" s="179"/>
      <c r="E4" s="179"/>
      <c r="F4" s="179"/>
      <c r="G4" s="179"/>
      <c r="H4" s="620"/>
      <c r="I4" s="620"/>
      <c r="J4" s="620"/>
      <c r="K4" s="620"/>
      <c r="L4" s="620"/>
      <c r="M4" s="179"/>
      <c r="N4" s="528"/>
      <c r="O4" s="181"/>
      <c r="P4" s="181"/>
    </row>
    <row r="5" spans="1:16" ht="16">
      <c r="A5" s="770"/>
      <c r="B5" s="792"/>
      <c r="C5" s="792"/>
      <c r="D5" s="792"/>
      <c r="E5" s="792"/>
      <c r="F5" s="792"/>
      <c r="G5" s="792"/>
      <c r="H5" s="792"/>
      <c r="I5" s="792"/>
      <c r="J5" s="792"/>
      <c r="K5" s="792"/>
      <c r="L5" s="792"/>
      <c r="M5" s="792"/>
      <c r="N5" s="793"/>
      <c r="O5" s="794"/>
      <c r="P5" s="794"/>
    </row>
    <row r="6" spans="1:16" ht="34">
      <c r="A6" s="613" t="s">
        <v>1240</v>
      </c>
      <c r="B6" s="650"/>
      <c r="C6" s="650"/>
      <c r="D6" s="650"/>
      <c r="E6" s="650"/>
      <c r="F6" s="650"/>
      <c r="G6" s="650"/>
      <c r="H6" s="650"/>
      <c r="I6" s="650"/>
      <c r="J6" s="650"/>
      <c r="K6" s="650"/>
      <c r="L6" s="650"/>
      <c r="M6" s="650"/>
      <c r="N6" s="795"/>
      <c r="O6" s="650"/>
      <c r="P6" s="650"/>
    </row>
    <row r="7" spans="1:16" ht="16">
      <c r="A7" s="770"/>
      <c r="B7" s="792"/>
      <c r="C7" s="792"/>
      <c r="D7" s="792"/>
      <c r="E7" s="792"/>
      <c r="F7" s="792"/>
      <c r="G7" s="792"/>
      <c r="H7" s="792"/>
      <c r="I7" s="792"/>
      <c r="J7" s="792"/>
      <c r="K7" s="792"/>
      <c r="L7" s="792"/>
      <c r="M7" s="792"/>
      <c r="N7" s="793"/>
      <c r="O7" s="794"/>
      <c r="P7" s="794"/>
    </row>
    <row r="8" spans="1:16" ht="17">
      <c r="A8" s="495" t="s">
        <v>1241</v>
      </c>
      <c r="B8" s="533"/>
      <c r="C8" s="533"/>
      <c r="D8" s="533"/>
      <c r="E8" s="533"/>
      <c r="F8" s="533"/>
      <c r="G8" s="533"/>
      <c r="H8" s="533"/>
      <c r="I8" s="533"/>
      <c r="J8" s="533"/>
      <c r="K8" s="533"/>
      <c r="L8" s="533"/>
      <c r="M8" s="533"/>
      <c r="N8" s="441"/>
      <c r="O8" s="535"/>
      <c r="P8" s="535"/>
    </row>
    <row r="9" spans="1:16" ht="102">
      <c r="A9" s="771" t="s">
        <v>1241</v>
      </c>
      <c r="B9" s="796">
        <v>282</v>
      </c>
      <c r="C9" s="796">
        <v>0</v>
      </c>
      <c r="D9" s="796">
        <v>0</v>
      </c>
      <c r="E9" s="796">
        <v>0</v>
      </c>
      <c r="F9" s="796">
        <v>0</v>
      </c>
      <c r="G9" s="797">
        <v>282</v>
      </c>
      <c r="H9" s="796">
        <v>282</v>
      </c>
      <c r="I9" s="796">
        <v>0</v>
      </c>
      <c r="J9" s="796">
        <v>0</v>
      </c>
      <c r="K9" s="796">
        <v>0</v>
      </c>
      <c r="L9" s="796">
        <v>0</v>
      </c>
      <c r="M9" s="797">
        <v>282</v>
      </c>
      <c r="N9" s="798">
        <v>0</v>
      </c>
      <c r="O9" s="90" t="s">
        <v>1342</v>
      </c>
      <c r="P9" s="799" t="s">
        <v>1343</v>
      </c>
    </row>
    <row r="10" spans="1:16" ht="17">
      <c r="A10" s="499" t="s">
        <v>1242</v>
      </c>
      <c r="B10" s="248">
        <v>282</v>
      </c>
      <c r="C10" s="248">
        <v>0</v>
      </c>
      <c r="D10" s="248">
        <v>0</v>
      </c>
      <c r="E10" s="248">
        <v>0</v>
      </c>
      <c r="F10" s="248">
        <v>0</v>
      </c>
      <c r="G10" s="248">
        <v>282</v>
      </c>
      <c r="H10" s="248">
        <v>282</v>
      </c>
      <c r="I10" s="248">
        <v>0</v>
      </c>
      <c r="J10" s="248">
        <v>0</v>
      </c>
      <c r="K10" s="248">
        <v>0</v>
      </c>
      <c r="L10" s="248">
        <v>0</v>
      </c>
      <c r="M10" s="248">
        <v>282</v>
      </c>
      <c r="N10" s="439">
        <v>0</v>
      </c>
      <c r="O10" s="800"/>
      <c r="P10" s="801"/>
    </row>
    <row r="11" spans="1:16" ht="16">
      <c r="A11" s="770"/>
      <c r="B11" s="802"/>
      <c r="C11" s="802"/>
      <c r="D11" s="802"/>
      <c r="E11" s="802"/>
      <c r="F11" s="802"/>
      <c r="G11" s="802"/>
      <c r="H11" s="802"/>
      <c r="I11" s="802"/>
      <c r="J11" s="802"/>
      <c r="K11" s="802"/>
      <c r="L11" s="802"/>
      <c r="M11" s="802"/>
      <c r="N11" s="803"/>
      <c r="O11" s="756"/>
      <c r="P11" s="756"/>
    </row>
    <row r="12" spans="1:16" ht="17">
      <c r="A12" s="495" t="s">
        <v>1243</v>
      </c>
      <c r="B12" s="224"/>
      <c r="C12" s="224"/>
      <c r="D12" s="224"/>
      <c r="E12" s="224"/>
      <c r="F12" s="224"/>
      <c r="G12" s="224"/>
      <c r="H12" s="224"/>
      <c r="I12" s="224"/>
      <c r="J12" s="224"/>
      <c r="K12" s="224"/>
      <c r="L12" s="224"/>
      <c r="M12" s="224"/>
      <c r="N12" s="441"/>
      <c r="O12" s="804"/>
      <c r="P12" s="804"/>
    </row>
    <row r="13" spans="1:16" ht="102">
      <c r="A13" s="771" t="s">
        <v>1243</v>
      </c>
      <c r="B13" s="796">
        <v>142</v>
      </c>
      <c r="C13" s="796">
        <v>0</v>
      </c>
      <c r="D13" s="796">
        <v>0</v>
      </c>
      <c r="E13" s="796">
        <v>0</v>
      </c>
      <c r="F13" s="796">
        <v>0</v>
      </c>
      <c r="G13" s="797">
        <v>142</v>
      </c>
      <c r="H13" s="796">
        <v>142</v>
      </c>
      <c r="I13" s="796">
        <v>0</v>
      </c>
      <c r="J13" s="796">
        <v>0</v>
      </c>
      <c r="K13" s="796">
        <v>0</v>
      </c>
      <c r="L13" s="796">
        <v>0</v>
      </c>
      <c r="M13" s="797">
        <v>142</v>
      </c>
      <c r="N13" s="798">
        <v>0</v>
      </c>
      <c r="O13" s="90" t="s">
        <v>1344</v>
      </c>
      <c r="P13" s="799" t="s">
        <v>1343</v>
      </c>
    </row>
    <row r="14" spans="1:16" ht="17">
      <c r="A14" s="499" t="s">
        <v>1244</v>
      </c>
      <c r="B14" s="248">
        <v>142</v>
      </c>
      <c r="C14" s="248">
        <v>0</v>
      </c>
      <c r="D14" s="248">
        <v>0</v>
      </c>
      <c r="E14" s="248">
        <v>0</v>
      </c>
      <c r="F14" s="248">
        <v>0</v>
      </c>
      <c r="G14" s="248">
        <v>142</v>
      </c>
      <c r="H14" s="248">
        <v>142</v>
      </c>
      <c r="I14" s="248">
        <v>0</v>
      </c>
      <c r="J14" s="248">
        <v>0</v>
      </c>
      <c r="K14" s="248">
        <v>0</v>
      </c>
      <c r="L14" s="248">
        <v>0</v>
      </c>
      <c r="M14" s="248">
        <v>142</v>
      </c>
      <c r="N14" s="439">
        <v>0</v>
      </c>
      <c r="O14" s="800"/>
      <c r="P14" s="801"/>
    </row>
    <row r="15" spans="1:16" ht="16">
      <c r="A15" s="770"/>
      <c r="B15" s="802"/>
      <c r="C15" s="802"/>
      <c r="D15" s="802"/>
      <c r="E15" s="802"/>
      <c r="F15" s="802"/>
      <c r="G15" s="802"/>
      <c r="H15" s="802"/>
      <c r="I15" s="802"/>
      <c r="J15" s="802"/>
      <c r="K15" s="802"/>
      <c r="L15" s="802"/>
      <c r="M15" s="802"/>
      <c r="N15" s="803"/>
      <c r="O15" s="756"/>
      <c r="P15" s="756"/>
    </row>
    <row r="16" spans="1:16" ht="17">
      <c r="A16" s="495" t="s">
        <v>1245</v>
      </c>
      <c r="B16" s="224"/>
      <c r="C16" s="224"/>
      <c r="D16" s="224"/>
      <c r="E16" s="224"/>
      <c r="F16" s="224"/>
      <c r="G16" s="224"/>
      <c r="H16" s="224"/>
      <c r="I16" s="224"/>
      <c r="J16" s="224"/>
      <c r="K16" s="224"/>
      <c r="L16" s="224"/>
      <c r="M16" s="224"/>
      <c r="N16" s="441"/>
      <c r="O16" s="804"/>
      <c r="P16" s="804"/>
    </row>
    <row r="17" spans="1:16" ht="102">
      <c r="A17" s="771" t="s">
        <v>1245</v>
      </c>
      <c r="B17" s="796">
        <v>61</v>
      </c>
      <c r="C17" s="796">
        <v>0</v>
      </c>
      <c r="D17" s="796">
        <v>0</v>
      </c>
      <c r="E17" s="796">
        <v>0</v>
      </c>
      <c r="F17" s="796">
        <v>0</v>
      </c>
      <c r="G17" s="797">
        <v>61</v>
      </c>
      <c r="H17" s="796">
        <v>61</v>
      </c>
      <c r="I17" s="796">
        <v>0</v>
      </c>
      <c r="J17" s="796">
        <v>0</v>
      </c>
      <c r="K17" s="796">
        <v>0</v>
      </c>
      <c r="L17" s="796">
        <v>0</v>
      </c>
      <c r="M17" s="797">
        <v>61</v>
      </c>
      <c r="N17" s="798">
        <v>0</v>
      </c>
      <c r="O17" s="90" t="s">
        <v>1345</v>
      </c>
      <c r="P17" s="799" t="s">
        <v>1343</v>
      </c>
    </row>
    <row r="18" spans="1:16" ht="17">
      <c r="A18" s="499" t="s">
        <v>1246</v>
      </c>
      <c r="B18" s="248">
        <v>61</v>
      </c>
      <c r="C18" s="248">
        <v>0</v>
      </c>
      <c r="D18" s="248">
        <v>0</v>
      </c>
      <c r="E18" s="248">
        <v>0</v>
      </c>
      <c r="F18" s="248">
        <v>0</v>
      </c>
      <c r="G18" s="248">
        <v>61</v>
      </c>
      <c r="H18" s="248">
        <v>61</v>
      </c>
      <c r="I18" s="248">
        <v>0</v>
      </c>
      <c r="J18" s="248">
        <v>0</v>
      </c>
      <c r="K18" s="248">
        <v>0</v>
      </c>
      <c r="L18" s="248">
        <v>0</v>
      </c>
      <c r="M18" s="248">
        <v>61</v>
      </c>
      <c r="N18" s="439">
        <v>0</v>
      </c>
      <c r="O18" s="800"/>
      <c r="P18" s="801"/>
    </row>
    <row r="19" spans="1:16" ht="16">
      <c r="A19" s="770"/>
      <c r="B19" s="802"/>
      <c r="C19" s="802"/>
      <c r="D19" s="802"/>
      <c r="E19" s="802"/>
      <c r="F19" s="802"/>
      <c r="G19" s="802"/>
      <c r="H19" s="802"/>
      <c r="I19" s="802"/>
      <c r="J19" s="802"/>
      <c r="K19" s="802"/>
      <c r="L19" s="802"/>
      <c r="M19" s="802"/>
      <c r="N19" s="803"/>
      <c r="O19" s="756"/>
      <c r="P19" s="756"/>
    </row>
    <row r="20" spans="1:16" ht="17">
      <c r="A20" s="495" t="s">
        <v>1247</v>
      </c>
      <c r="B20" s="224"/>
      <c r="C20" s="224"/>
      <c r="D20" s="224"/>
      <c r="E20" s="224"/>
      <c r="F20" s="224"/>
      <c r="G20" s="224"/>
      <c r="H20" s="224"/>
      <c r="I20" s="224"/>
      <c r="J20" s="224"/>
      <c r="K20" s="224"/>
      <c r="L20" s="224"/>
      <c r="M20" s="224"/>
      <c r="N20" s="441"/>
      <c r="O20" s="804"/>
      <c r="P20" s="804"/>
    </row>
    <row r="21" spans="1:16" ht="51">
      <c r="A21" s="771" t="s">
        <v>1247</v>
      </c>
      <c r="B21" s="796">
        <v>25.7</v>
      </c>
      <c r="C21" s="796">
        <v>0</v>
      </c>
      <c r="D21" s="796">
        <v>0</v>
      </c>
      <c r="E21" s="796">
        <v>0</v>
      </c>
      <c r="F21" s="796">
        <v>0</v>
      </c>
      <c r="G21" s="797">
        <v>25.7</v>
      </c>
      <c r="H21" s="796">
        <v>0</v>
      </c>
      <c r="I21" s="796">
        <v>0</v>
      </c>
      <c r="J21" s="796">
        <v>0</v>
      </c>
      <c r="K21" s="796">
        <v>0</v>
      </c>
      <c r="L21" s="796">
        <v>0</v>
      </c>
      <c r="M21" s="797">
        <v>0</v>
      </c>
      <c r="N21" s="798">
        <v>-1</v>
      </c>
      <c r="O21" s="90" t="s">
        <v>1346</v>
      </c>
      <c r="P21" s="799" t="s">
        <v>1347</v>
      </c>
    </row>
    <row r="22" spans="1:16" ht="17">
      <c r="A22" s="499" t="s">
        <v>1248</v>
      </c>
      <c r="B22" s="248">
        <v>25.7</v>
      </c>
      <c r="C22" s="248">
        <v>0</v>
      </c>
      <c r="D22" s="248">
        <v>0</v>
      </c>
      <c r="E22" s="248">
        <v>0</v>
      </c>
      <c r="F22" s="248">
        <v>0</v>
      </c>
      <c r="G22" s="248">
        <v>25.7</v>
      </c>
      <c r="H22" s="248">
        <v>0</v>
      </c>
      <c r="I22" s="248">
        <v>0</v>
      </c>
      <c r="J22" s="248">
        <v>0</v>
      </c>
      <c r="K22" s="248">
        <v>0</v>
      </c>
      <c r="L22" s="248">
        <v>0</v>
      </c>
      <c r="M22" s="248">
        <v>0</v>
      </c>
      <c r="N22" s="439">
        <v>-1</v>
      </c>
      <c r="O22" s="800"/>
      <c r="P22" s="801"/>
    </row>
    <row r="23" spans="1:16" ht="16">
      <c r="A23" s="770"/>
      <c r="B23" s="805"/>
      <c r="C23" s="805"/>
      <c r="D23" s="805"/>
      <c r="E23" s="805"/>
      <c r="F23" s="805"/>
      <c r="G23" s="805"/>
      <c r="H23" s="805"/>
      <c r="I23" s="805"/>
      <c r="J23" s="805"/>
      <c r="K23" s="805"/>
      <c r="L23" s="805"/>
      <c r="M23" s="805"/>
      <c r="N23" s="806"/>
      <c r="O23" s="662"/>
      <c r="P23" s="807"/>
    </row>
    <row r="24" spans="1:16" ht="17">
      <c r="A24" s="680" t="s">
        <v>1249</v>
      </c>
      <c r="B24" s="624"/>
      <c r="C24" s="624"/>
      <c r="D24" s="624"/>
      <c r="E24" s="624"/>
      <c r="F24" s="624"/>
      <c r="G24" s="624"/>
      <c r="H24" s="624"/>
      <c r="I24" s="624"/>
      <c r="J24" s="624"/>
      <c r="K24" s="624"/>
      <c r="L24" s="624"/>
      <c r="M24" s="624"/>
      <c r="N24" s="624"/>
      <c r="O24" s="624"/>
      <c r="P24" s="624"/>
    </row>
    <row r="25" spans="1:16" ht="51">
      <c r="A25" s="771" t="s">
        <v>1250</v>
      </c>
      <c r="B25" s="796">
        <v>0</v>
      </c>
      <c r="C25" s="796">
        <v>0</v>
      </c>
      <c r="D25" s="796">
        <v>5</v>
      </c>
      <c r="E25" s="796">
        <v>0</v>
      </c>
      <c r="F25" s="796">
        <v>0</v>
      </c>
      <c r="G25" s="797">
        <v>5</v>
      </c>
      <c r="H25" s="796">
        <v>0</v>
      </c>
      <c r="I25" s="796">
        <v>0</v>
      </c>
      <c r="J25" s="796">
        <v>5</v>
      </c>
      <c r="K25" s="796">
        <v>0</v>
      </c>
      <c r="L25" s="796">
        <v>0</v>
      </c>
      <c r="M25" s="797">
        <v>5</v>
      </c>
      <c r="N25" s="798">
        <v>0</v>
      </c>
      <c r="O25" s="90" t="s">
        <v>1348</v>
      </c>
      <c r="P25" s="799" t="s">
        <v>1343</v>
      </c>
    </row>
    <row r="26" spans="1:16" ht="17">
      <c r="A26" s="772" t="s">
        <v>1251</v>
      </c>
      <c r="B26" s="228">
        <v>0</v>
      </c>
      <c r="C26" s="228">
        <v>0</v>
      </c>
      <c r="D26" s="228">
        <v>5</v>
      </c>
      <c r="E26" s="228">
        <v>0</v>
      </c>
      <c r="F26" s="228">
        <v>0</v>
      </c>
      <c r="G26" s="228">
        <v>5</v>
      </c>
      <c r="H26" s="228">
        <v>0</v>
      </c>
      <c r="I26" s="228">
        <v>0</v>
      </c>
      <c r="J26" s="228">
        <v>5</v>
      </c>
      <c r="K26" s="228">
        <v>0</v>
      </c>
      <c r="L26" s="228">
        <v>0</v>
      </c>
      <c r="M26" s="228">
        <v>5</v>
      </c>
      <c r="N26" s="439">
        <v>0</v>
      </c>
      <c r="O26" s="808"/>
      <c r="P26" s="809"/>
    </row>
    <row r="27" spans="1:16" ht="16">
      <c r="A27" s="773"/>
      <c r="B27" s="810"/>
      <c r="C27" s="810"/>
      <c r="D27" s="810"/>
      <c r="E27" s="810"/>
      <c r="F27" s="810"/>
      <c r="G27" s="810"/>
      <c r="H27" s="810"/>
      <c r="I27" s="810"/>
      <c r="J27" s="810"/>
      <c r="K27" s="810"/>
      <c r="L27" s="810"/>
      <c r="M27" s="810"/>
      <c r="N27" s="811"/>
      <c r="O27" s="812"/>
      <c r="P27" s="812"/>
    </row>
    <row r="28" spans="1:16" ht="17">
      <c r="A28" s="680" t="s">
        <v>1252</v>
      </c>
      <c r="B28" s="624"/>
      <c r="C28" s="624"/>
      <c r="D28" s="624"/>
      <c r="E28" s="624"/>
      <c r="F28" s="624"/>
      <c r="G28" s="624"/>
      <c r="H28" s="624"/>
      <c r="I28" s="624"/>
      <c r="J28" s="624"/>
      <c r="K28" s="624"/>
      <c r="L28" s="624"/>
      <c r="M28" s="624"/>
      <c r="N28" s="624"/>
      <c r="O28" s="624"/>
      <c r="P28" s="624"/>
    </row>
    <row r="29" spans="1:16" ht="51">
      <c r="A29" s="771" t="s">
        <v>1252</v>
      </c>
      <c r="B29" s="796">
        <v>1.5</v>
      </c>
      <c r="C29" s="796">
        <v>0</v>
      </c>
      <c r="D29" s="796">
        <v>0</v>
      </c>
      <c r="E29" s="796">
        <v>0</v>
      </c>
      <c r="F29" s="796">
        <v>0</v>
      </c>
      <c r="G29" s="797">
        <v>1.5</v>
      </c>
      <c r="H29" s="796">
        <v>1</v>
      </c>
      <c r="I29" s="796">
        <v>0</v>
      </c>
      <c r="J29" s="796">
        <v>0</v>
      </c>
      <c r="K29" s="796">
        <v>0</v>
      </c>
      <c r="L29" s="796">
        <v>0</v>
      </c>
      <c r="M29" s="797">
        <v>1</v>
      </c>
      <c r="N29" s="798">
        <v>-0.33333333333333331</v>
      </c>
      <c r="O29" s="90" t="s">
        <v>1349</v>
      </c>
      <c r="P29" s="799" t="s">
        <v>1350</v>
      </c>
    </row>
    <row r="30" spans="1:16" ht="17">
      <c r="A30" s="772" t="s">
        <v>1253</v>
      </c>
      <c r="B30" s="228">
        <v>1.5</v>
      </c>
      <c r="C30" s="228">
        <v>0</v>
      </c>
      <c r="D30" s="228">
        <v>0</v>
      </c>
      <c r="E30" s="228">
        <v>0</v>
      </c>
      <c r="F30" s="228">
        <v>0</v>
      </c>
      <c r="G30" s="228">
        <v>1.5</v>
      </c>
      <c r="H30" s="228">
        <v>1</v>
      </c>
      <c r="I30" s="228">
        <v>0</v>
      </c>
      <c r="J30" s="228">
        <v>0</v>
      </c>
      <c r="K30" s="228">
        <v>0</v>
      </c>
      <c r="L30" s="228">
        <v>0</v>
      </c>
      <c r="M30" s="228">
        <v>1</v>
      </c>
      <c r="N30" s="439">
        <v>-0.33333333333333331</v>
      </c>
      <c r="O30" s="808"/>
      <c r="P30" s="809"/>
    </row>
    <row r="31" spans="1:16" ht="16">
      <c r="A31" s="770"/>
      <c r="B31" s="802"/>
      <c r="C31" s="802"/>
      <c r="D31" s="802"/>
      <c r="E31" s="802"/>
      <c r="F31" s="802"/>
      <c r="G31" s="802"/>
      <c r="H31" s="802"/>
      <c r="I31" s="802"/>
      <c r="J31" s="802"/>
      <c r="K31" s="802"/>
      <c r="L31" s="802"/>
      <c r="M31" s="802"/>
      <c r="N31" s="803"/>
      <c r="O31" s="756"/>
      <c r="P31" s="756"/>
    </row>
    <row r="32" spans="1:16" ht="17">
      <c r="A32" s="495" t="s">
        <v>1254</v>
      </c>
      <c r="B32" s="224"/>
      <c r="C32" s="224"/>
      <c r="D32" s="224"/>
      <c r="E32" s="224"/>
      <c r="F32" s="224"/>
      <c r="G32" s="224"/>
      <c r="H32" s="224"/>
      <c r="I32" s="224"/>
      <c r="J32" s="224"/>
      <c r="K32" s="224"/>
      <c r="L32" s="224"/>
      <c r="M32" s="224"/>
      <c r="N32" s="441"/>
      <c r="O32" s="804"/>
      <c r="P32" s="804"/>
    </row>
    <row r="33" spans="1:16" ht="68">
      <c r="A33" s="771" t="s">
        <v>1255</v>
      </c>
      <c r="B33" s="796">
        <v>10</v>
      </c>
      <c r="C33" s="796">
        <v>0</v>
      </c>
      <c r="D33" s="796">
        <v>0</v>
      </c>
      <c r="E33" s="796">
        <v>0</v>
      </c>
      <c r="F33" s="796">
        <v>0</v>
      </c>
      <c r="G33" s="797">
        <v>10</v>
      </c>
      <c r="H33" s="796">
        <v>9.6999999999999993</v>
      </c>
      <c r="I33" s="796">
        <v>0</v>
      </c>
      <c r="J33" s="796">
        <v>0</v>
      </c>
      <c r="K33" s="796">
        <v>0</v>
      </c>
      <c r="L33" s="796">
        <v>0</v>
      </c>
      <c r="M33" s="797">
        <v>9.6999999999999993</v>
      </c>
      <c r="N33" s="798">
        <v>-3.0000000000000072E-2</v>
      </c>
      <c r="O33" s="90" t="s">
        <v>1351</v>
      </c>
      <c r="P33" s="799" t="s">
        <v>1352</v>
      </c>
    </row>
    <row r="34" spans="1:16" ht="85">
      <c r="A34" s="774" t="s">
        <v>1256</v>
      </c>
      <c r="B34" s="813">
        <v>0</v>
      </c>
      <c r="C34" s="813">
        <v>0</v>
      </c>
      <c r="D34" s="813">
        <v>16</v>
      </c>
      <c r="E34" s="813">
        <v>0</v>
      </c>
      <c r="F34" s="813">
        <v>0</v>
      </c>
      <c r="G34" s="814">
        <v>16</v>
      </c>
      <c r="H34" s="796">
        <v>0</v>
      </c>
      <c r="I34" s="796">
        <v>0</v>
      </c>
      <c r="J34" s="796">
        <v>3.4</v>
      </c>
      <c r="K34" s="796">
        <v>0</v>
      </c>
      <c r="L34" s="796">
        <v>0</v>
      </c>
      <c r="M34" s="814">
        <v>3.4</v>
      </c>
      <c r="N34" s="798">
        <v>-0.78749999999999998</v>
      </c>
      <c r="O34" s="205" t="s">
        <v>1353</v>
      </c>
      <c r="P34" s="192" t="s">
        <v>1354</v>
      </c>
    </row>
    <row r="35" spans="1:16" ht="34">
      <c r="A35" s="774" t="s">
        <v>1257</v>
      </c>
      <c r="B35" s="813">
        <v>0</v>
      </c>
      <c r="C35" s="813">
        <v>0</v>
      </c>
      <c r="D35" s="813">
        <v>0</v>
      </c>
      <c r="E35" s="813">
        <v>15</v>
      </c>
      <c r="F35" s="813">
        <v>0</v>
      </c>
      <c r="G35" s="814">
        <v>15</v>
      </c>
      <c r="H35" s="796">
        <v>0</v>
      </c>
      <c r="I35" s="796">
        <v>0</v>
      </c>
      <c r="J35" s="796">
        <v>0</v>
      </c>
      <c r="K35" s="796">
        <v>0</v>
      </c>
      <c r="L35" s="796">
        <v>0</v>
      </c>
      <c r="M35" s="814">
        <v>0</v>
      </c>
      <c r="N35" s="798">
        <v>-1</v>
      </c>
      <c r="O35" s="205" t="s">
        <v>337</v>
      </c>
      <c r="P35" s="192" t="s">
        <v>337</v>
      </c>
    </row>
    <row r="36" spans="1:16" ht="34">
      <c r="A36" s="774" t="s">
        <v>1258</v>
      </c>
      <c r="B36" s="813">
        <v>0</v>
      </c>
      <c r="C36" s="813">
        <v>0</v>
      </c>
      <c r="D36" s="813">
        <v>0</v>
      </c>
      <c r="E36" s="813">
        <v>-15</v>
      </c>
      <c r="F36" s="813">
        <v>0</v>
      </c>
      <c r="G36" s="814">
        <v>-15</v>
      </c>
      <c r="H36" s="796">
        <v>0</v>
      </c>
      <c r="I36" s="796">
        <v>0</v>
      </c>
      <c r="J36" s="796">
        <v>0</v>
      </c>
      <c r="K36" s="796">
        <v>0</v>
      </c>
      <c r="L36" s="796">
        <v>0</v>
      </c>
      <c r="M36" s="814">
        <v>0</v>
      </c>
      <c r="N36" s="815" t="s">
        <v>155</v>
      </c>
      <c r="O36" s="205" t="s">
        <v>337</v>
      </c>
      <c r="P36" s="192" t="s">
        <v>337</v>
      </c>
    </row>
    <row r="37" spans="1:16" ht="17">
      <c r="A37" s="499" t="s">
        <v>1259</v>
      </c>
      <c r="B37" s="248">
        <v>10</v>
      </c>
      <c r="C37" s="248">
        <v>0</v>
      </c>
      <c r="D37" s="248">
        <v>16</v>
      </c>
      <c r="E37" s="248">
        <v>0</v>
      </c>
      <c r="F37" s="248">
        <v>0</v>
      </c>
      <c r="G37" s="248">
        <v>26</v>
      </c>
      <c r="H37" s="248">
        <v>9.6999999999999993</v>
      </c>
      <c r="I37" s="248">
        <v>0</v>
      </c>
      <c r="J37" s="248">
        <v>3.4</v>
      </c>
      <c r="K37" s="248">
        <v>0</v>
      </c>
      <c r="L37" s="248">
        <v>0</v>
      </c>
      <c r="M37" s="248">
        <v>13.1</v>
      </c>
      <c r="N37" s="439">
        <v>-0.49615384615384617</v>
      </c>
      <c r="O37" s="800"/>
      <c r="P37" s="801"/>
    </row>
    <row r="38" spans="1:16" ht="16">
      <c r="A38" s="770"/>
      <c r="B38" s="805"/>
      <c r="C38" s="805"/>
      <c r="D38" s="805"/>
      <c r="E38" s="805"/>
      <c r="F38" s="805"/>
      <c r="G38" s="805"/>
      <c r="H38" s="805"/>
      <c r="I38" s="805"/>
      <c r="J38" s="805"/>
      <c r="K38" s="805"/>
      <c r="L38" s="805"/>
      <c r="M38" s="805"/>
      <c r="N38" s="806"/>
      <c r="O38" s="756"/>
      <c r="P38" s="756"/>
    </row>
    <row r="39" spans="1:16" ht="17">
      <c r="A39" s="606" t="s">
        <v>1260</v>
      </c>
      <c r="B39" s="638"/>
      <c r="C39" s="638"/>
      <c r="D39" s="638"/>
      <c r="E39" s="638"/>
      <c r="F39" s="638"/>
      <c r="G39" s="638"/>
      <c r="H39" s="638"/>
      <c r="I39" s="638"/>
      <c r="J39" s="638"/>
      <c r="K39" s="638"/>
      <c r="L39" s="638"/>
      <c r="M39" s="638"/>
      <c r="N39" s="638"/>
      <c r="O39" s="638"/>
      <c r="P39" s="638"/>
    </row>
    <row r="40" spans="1:16" ht="51">
      <c r="A40" s="771" t="s">
        <v>1260</v>
      </c>
      <c r="B40" s="796">
        <v>65.5</v>
      </c>
      <c r="C40" s="796">
        <v>0</v>
      </c>
      <c r="D40" s="796">
        <v>0</v>
      </c>
      <c r="E40" s="796">
        <v>0</v>
      </c>
      <c r="F40" s="796">
        <v>0</v>
      </c>
      <c r="G40" s="797">
        <v>65.5</v>
      </c>
      <c r="H40" s="796">
        <v>65.5</v>
      </c>
      <c r="I40" s="796">
        <v>0</v>
      </c>
      <c r="J40" s="796">
        <v>0</v>
      </c>
      <c r="K40" s="796">
        <v>0</v>
      </c>
      <c r="L40" s="796">
        <v>0</v>
      </c>
      <c r="M40" s="797">
        <v>65.5</v>
      </c>
      <c r="N40" s="798">
        <v>0</v>
      </c>
      <c r="O40" s="90" t="s">
        <v>1355</v>
      </c>
      <c r="P40" s="799" t="s">
        <v>1343</v>
      </c>
    </row>
    <row r="41" spans="1:16" ht="34">
      <c r="A41" s="499" t="s">
        <v>1261</v>
      </c>
      <c r="B41" s="248">
        <v>65.5</v>
      </c>
      <c r="C41" s="248">
        <v>0</v>
      </c>
      <c r="D41" s="248">
        <v>0</v>
      </c>
      <c r="E41" s="248">
        <v>0</v>
      </c>
      <c r="F41" s="248">
        <v>0</v>
      </c>
      <c r="G41" s="248">
        <v>65.5</v>
      </c>
      <c r="H41" s="248">
        <v>65.5</v>
      </c>
      <c r="I41" s="248">
        <v>0</v>
      </c>
      <c r="J41" s="248">
        <v>0</v>
      </c>
      <c r="K41" s="248">
        <v>0</v>
      </c>
      <c r="L41" s="248">
        <v>0</v>
      </c>
      <c r="M41" s="248">
        <v>65.5</v>
      </c>
      <c r="N41" s="439">
        <v>0</v>
      </c>
      <c r="O41" s="800"/>
      <c r="P41" s="801"/>
    </row>
    <row r="42" spans="1:16" ht="16">
      <c r="A42" s="770"/>
      <c r="B42" s="805"/>
      <c r="C42" s="805"/>
      <c r="D42" s="805"/>
      <c r="E42" s="805"/>
      <c r="F42" s="805"/>
      <c r="G42" s="805"/>
      <c r="H42" s="805"/>
      <c r="I42" s="805"/>
      <c r="J42" s="805"/>
      <c r="K42" s="805"/>
      <c r="L42" s="805"/>
      <c r="M42" s="805"/>
      <c r="N42" s="806"/>
      <c r="O42" s="756"/>
      <c r="P42" s="756"/>
    </row>
    <row r="43" spans="1:16" ht="17">
      <c r="A43" s="495" t="s">
        <v>1262</v>
      </c>
      <c r="B43" s="224"/>
      <c r="C43" s="224"/>
      <c r="D43" s="224"/>
      <c r="E43" s="224"/>
      <c r="F43" s="224"/>
      <c r="G43" s="224"/>
      <c r="H43" s="224"/>
      <c r="I43" s="224"/>
      <c r="J43" s="224"/>
      <c r="K43" s="224"/>
      <c r="L43" s="224"/>
      <c r="M43" s="224"/>
      <c r="N43" s="441"/>
      <c r="O43" s="804"/>
      <c r="P43" s="804"/>
    </row>
    <row r="44" spans="1:16" ht="34">
      <c r="A44" s="771" t="s">
        <v>1263</v>
      </c>
      <c r="B44" s="796">
        <v>26.5</v>
      </c>
      <c r="C44" s="796">
        <v>0</v>
      </c>
      <c r="D44" s="796">
        <v>0</v>
      </c>
      <c r="E44" s="796">
        <v>0</v>
      </c>
      <c r="F44" s="796">
        <v>0</v>
      </c>
      <c r="G44" s="797">
        <v>26.5</v>
      </c>
      <c r="H44" s="796">
        <v>26.5</v>
      </c>
      <c r="I44" s="796">
        <v>0</v>
      </c>
      <c r="J44" s="796">
        <v>0</v>
      </c>
      <c r="K44" s="796">
        <v>0</v>
      </c>
      <c r="L44" s="796">
        <v>0</v>
      </c>
      <c r="M44" s="797">
        <v>26.5</v>
      </c>
      <c r="N44" s="798">
        <v>0</v>
      </c>
      <c r="O44" s="90" t="s">
        <v>1356</v>
      </c>
      <c r="P44" s="816" t="s">
        <v>1343</v>
      </c>
    </row>
    <row r="45" spans="1:16" ht="34">
      <c r="A45" s="774" t="s">
        <v>1264</v>
      </c>
      <c r="B45" s="813">
        <v>0</v>
      </c>
      <c r="C45" s="813">
        <v>0</v>
      </c>
      <c r="D45" s="813">
        <v>9.3000000000000007</v>
      </c>
      <c r="E45" s="813">
        <v>0</v>
      </c>
      <c r="F45" s="813">
        <v>0</v>
      </c>
      <c r="G45" s="814">
        <v>9.3000000000000007</v>
      </c>
      <c r="H45" s="796">
        <v>0</v>
      </c>
      <c r="I45" s="796">
        <v>0</v>
      </c>
      <c r="J45" s="796">
        <v>9.3000000000000007</v>
      </c>
      <c r="K45" s="796">
        <v>0</v>
      </c>
      <c r="L45" s="796">
        <v>0</v>
      </c>
      <c r="M45" s="814">
        <v>9.3000000000000007</v>
      </c>
      <c r="N45" s="798">
        <v>0</v>
      </c>
      <c r="O45" s="205" t="s">
        <v>1357</v>
      </c>
      <c r="P45" s="817" t="s">
        <v>1352</v>
      </c>
    </row>
    <row r="46" spans="1:16" ht="17">
      <c r="A46" s="499" t="s">
        <v>1265</v>
      </c>
      <c r="B46" s="248">
        <v>26.5</v>
      </c>
      <c r="C46" s="248">
        <v>0</v>
      </c>
      <c r="D46" s="248">
        <v>9.3000000000000007</v>
      </c>
      <c r="E46" s="248">
        <v>0</v>
      </c>
      <c r="F46" s="248">
        <v>0</v>
      </c>
      <c r="G46" s="248">
        <v>35.799999999999997</v>
      </c>
      <c r="H46" s="248">
        <v>26.5</v>
      </c>
      <c r="I46" s="248">
        <v>0</v>
      </c>
      <c r="J46" s="248">
        <v>9.3000000000000007</v>
      </c>
      <c r="K46" s="248">
        <v>0</v>
      </c>
      <c r="L46" s="248">
        <v>0</v>
      </c>
      <c r="M46" s="248">
        <v>35.799999999999997</v>
      </c>
      <c r="N46" s="439">
        <v>0</v>
      </c>
      <c r="O46" s="541"/>
      <c r="P46" s="542"/>
    </row>
    <row r="47" spans="1:16" ht="16">
      <c r="A47" s="770"/>
      <c r="B47" s="805"/>
      <c r="C47" s="805"/>
      <c r="D47" s="805"/>
      <c r="E47" s="805"/>
      <c r="F47" s="805"/>
      <c r="G47" s="805"/>
      <c r="H47" s="805"/>
      <c r="I47" s="805"/>
      <c r="J47" s="805"/>
      <c r="K47" s="805"/>
      <c r="L47" s="805"/>
      <c r="M47" s="805"/>
      <c r="N47" s="806"/>
      <c r="O47" s="794"/>
      <c r="P47" s="794"/>
    </row>
    <row r="48" spans="1:16" ht="17">
      <c r="A48" s="495" t="s">
        <v>1266</v>
      </c>
      <c r="B48" s="224"/>
      <c r="C48" s="224"/>
      <c r="D48" s="224"/>
      <c r="E48" s="224"/>
      <c r="F48" s="224"/>
      <c r="G48" s="224"/>
      <c r="H48" s="224"/>
      <c r="I48" s="224"/>
      <c r="J48" s="224"/>
      <c r="K48" s="224"/>
      <c r="L48" s="224"/>
      <c r="M48" s="224"/>
      <c r="N48" s="441"/>
      <c r="O48" s="535"/>
      <c r="P48" s="535"/>
    </row>
    <row r="49" spans="1:16" ht="68">
      <c r="A49" s="771" t="s">
        <v>1267</v>
      </c>
      <c r="B49" s="796">
        <v>0.03</v>
      </c>
      <c r="C49" s="796">
        <v>0</v>
      </c>
      <c r="D49" s="796">
        <v>0</v>
      </c>
      <c r="E49" s="796">
        <v>0</v>
      </c>
      <c r="F49" s="796">
        <v>0</v>
      </c>
      <c r="G49" s="797">
        <v>0.03</v>
      </c>
      <c r="H49" s="796">
        <v>0.03</v>
      </c>
      <c r="I49" s="796">
        <v>0</v>
      </c>
      <c r="J49" s="796">
        <v>0</v>
      </c>
      <c r="K49" s="796">
        <v>0</v>
      </c>
      <c r="L49" s="796">
        <v>0</v>
      </c>
      <c r="M49" s="797">
        <v>0.03</v>
      </c>
      <c r="N49" s="798">
        <v>0</v>
      </c>
      <c r="O49" s="90" t="s">
        <v>1358</v>
      </c>
      <c r="P49" s="799" t="s">
        <v>1343</v>
      </c>
    </row>
    <row r="50" spans="1:16" ht="68">
      <c r="A50" s="774" t="s">
        <v>1268</v>
      </c>
      <c r="B50" s="813">
        <v>0.01</v>
      </c>
      <c r="C50" s="813">
        <v>0</v>
      </c>
      <c r="D50" s="813">
        <v>0</v>
      </c>
      <c r="E50" s="813">
        <v>0</v>
      </c>
      <c r="F50" s="813">
        <v>0</v>
      </c>
      <c r="G50" s="814">
        <v>0.01</v>
      </c>
      <c r="H50" s="796">
        <v>0.01</v>
      </c>
      <c r="I50" s="796">
        <v>0</v>
      </c>
      <c r="J50" s="796">
        <v>0</v>
      </c>
      <c r="K50" s="796">
        <v>0</v>
      </c>
      <c r="L50" s="796">
        <v>0</v>
      </c>
      <c r="M50" s="814">
        <v>0.01</v>
      </c>
      <c r="N50" s="798">
        <v>0</v>
      </c>
      <c r="O50" s="205" t="s">
        <v>1359</v>
      </c>
      <c r="P50" s="192" t="s">
        <v>1343</v>
      </c>
    </row>
    <row r="51" spans="1:16" ht="68">
      <c r="A51" s="774" t="s">
        <v>1269</v>
      </c>
      <c r="B51" s="813">
        <v>0.06</v>
      </c>
      <c r="C51" s="813">
        <v>0</v>
      </c>
      <c r="D51" s="813">
        <v>0</v>
      </c>
      <c r="E51" s="813">
        <v>0</v>
      </c>
      <c r="F51" s="813">
        <v>0</v>
      </c>
      <c r="G51" s="814">
        <v>0.06</v>
      </c>
      <c r="H51" s="796">
        <v>0.06</v>
      </c>
      <c r="I51" s="796">
        <v>0</v>
      </c>
      <c r="J51" s="796">
        <v>0</v>
      </c>
      <c r="K51" s="796">
        <v>0</v>
      </c>
      <c r="L51" s="796">
        <v>0</v>
      </c>
      <c r="M51" s="814">
        <v>0.06</v>
      </c>
      <c r="N51" s="798">
        <v>0</v>
      </c>
      <c r="O51" s="205" t="s">
        <v>1360</v>
      </c>
      <c r="P51" s="192" t="s">
        <v>1343</v>
      </c>
    </row>
    <row r="52" spans="1:16" ht="17">
      <c r="A52" s="499" t="s">
        <v>1270</v>
      </c>
      <c r="B52" s="248">
        <v>0.1</v>
      </c>
      <c r="C52" s="248">
        <v>0</v>
      </c>
      <c r="D52" s="248">
        <v>0</v>
      </c>
      <c r="E52" s="248">
        <v>0</v>
      </c>
      <c r="F52" s="248">
        <v>0</v>
      </c>
      <c r="G52" s="248">
        <v>0.1</v>
      </c>
      <c r="H52" s="248">
        <v>0.1</v>
      </c>
      <c r="I52" s="248">
        <v>0</v>
      </c>
      <c r="J52" s="248">
        <v>0</v>
      </c>
      <c r="K52" s="248">
        <v>0</v>
      </c>
      <c r="L52" s="248">
        <v>0</v>
      </c>
      <c r="M52" s="248">
        <v>0.1</v>
      </c>
      <c r="N52" s="439">
        <v>0</v>
      </c>
      <c r="O52" s="800"/>
      <c r="P52" s="801"/>
    </row>
    <row r="53" spans="1:16" ht="16">
      <c r="A53" s="770"/>
      <c r="B53" s="805"/>
      <c r="C53" s="805"/>
      <c r="D53" s="805"/>
      <c r="E53" s="805"/>
      <c r="F53" s="805"/>
      <c r="G53" s="805"/>
      <c r="H53" s="805"/>
      <c r="I53" s="805"/>
      <c r="J53" s="805"/>
      <c r="K53" s="805"/>
      <c r="L53" s="805"/>
      <c r="M53" s="805"/>
      <c r="N53" s="806"/>
      <c r="O53" s="756"/>
      <c r="P53" s="756"/>
    </row>
    <row r="54" spans="1:16" ht="34">
      <c r="A54" s="495" t="s">
        <v>1271</v>
      </c>
      <c r="B54" s="224"/>
      <c r="C54" s="224"/>
      <c r="D54" s="224"/>
      <c r="E54" s="224"/>
      <c r="F54" s="224"/>
      <c r="G54" s="224"/>
      <c r="H54" s="224"/>
      <c r="I54" s="224"/>
      <c r="J54" s="224"/>
      <c r="K54" s="224"/>
      <c r="L54" s="224"/>
      <c r="M54" s="224"/>
      <c r="N54" s="441"/>
      <c r="O54" s="804"/>
      <c r="P54" s="804"/>
    </row>
    <row r="55" spans="1:16" ht="34">
      <c r="A55" s="771" t="s">
        <v>1272</v>
      </c>
      <c r="B55" s="796">
        <v>0</v>
      </c>
      <c r="C55" s="796">
        <v>0</v>
      </c>
      <c r="D55" s="796">
        <v>0</v>
      </c>
      <c r="E55" s="796">
        <v>0</v>
      </c>
      <c r="F55" s="796">
        <v>0</v>
      </c>
      <c r="G55" s="797">
        <v>0</v>
      </c>
      <c r="H55" s="796">
        <v>0.7</v>
      </c>
      <c r="I55" s="796">
        <v>0</v>
      </c>
      <c r="J55" s="796">
        <v>0</v>
      </c>
      <c r="K55" s="796">
        <v>0</v>
      </c>
      <c r="L55" s="796">
        <v>0</v>
      </c>
      <c r="M55" s="797">
        <v>0.7</v>
      </c>
      <c r="N55" s="798" t="s">
        <v>155</v>
      </c>
      <c r="O55" s="90" t="s">
        <v>1361</v>
      </c>
      <c r="P55" s="799" t="s">
        <v>1352</v>
      </c>
    </row>
    <row r="56" spans="1:16" ht="34">
      <c r="A56" s="499" t="s">
        <v>1273</v>
      </c>
      <c r="B56" s="248">
        <v>0</v>
      </c>
      <c r="C56" s="248">
        <v>0</v>
      </c>
      <c r="D56" s="248">
        <v>0</v>
      </c>
      <c r="E56" s="248">
        <v>0</v>
      </c>
      <c r="F56" s="248">
        <v>0</v>
      </c>
      <c r="G56" s="248">
        <v>0</v>
      </c>
      <c r="H56" s="248">
        <v>0.7</v>
      </c>
      <c r="I56" s="248">
        <v>0</v>
      </c>
      <c r="J56" s="248">
        <v>0</v>
      </c>
      <c r="K56" s="248">
        <v>0</v>
      </c>
      <c r="L56" s="248">
        <v>0</v>
      </c>
      <c r="M56" s="248">
        <v>0.7</v>
      </c>
      <c r="N56" s="439" t="s">
        <v>155</v>
      </c>
      <c r="O56" s="800"/>
      <c r="P56" s="801"/>
    </row>
    <row r="57" spans="1:16" ht="16">
      <c r="A57" s="770"/>
      <c r="B57" s="805"/>
      <c r="C57" s="805"/>
      <c r="D57" s="805"/>
      <c r="E57" s="805"/>
      <c r="F57" s="805"/>
      <c r="G57" s="805"/>
      <c r="H57" s="805"/>
      <c r="I57" s="805"/>
      <c r="J57" s="805"/>
      <c r="K57" s="805"/>
      <c r="L57" s="805"/>
      <c r="M57" s="805"/>
      <c r="N57" s="806"/>
      <c r="O57" s="756"/>
      <c r="P57" s="756"/>
    </row>
    <row r="58" spans="1:16" ht="16">
      <c r="A58" s="770"/>
      <c r="B58" s="805"/>
      <c r="C58" s="805"/>
      <c r="D58" s="805"/>
      <c r="E58" s="805"/>
      <c r="F58" s="805"/>
      <c r="G58" s="805"/>
      <c r="H58" s="805"/>
      <c r="I58" s="805"/>
      <c r="J58" s="805"/>
      <c r="K58" s="805"/>
      <c r="L58" s="805"/>
      <c r="M58" s="805"/>
      <c r="N58" s="806"/>
      <c r="O58" s="756"/>
      <c r="P58" s="756"/>
    </row>
    <row r="59" spans="1:16" ht="17">
      <c r="A59" s="495" t="s">
        <v>1274</v>
      </c>
      <c r="B59" s="224"/>
      <c r="C59" s="224"/>
      <c r="D59" s="224"/>
      <c r="E59" s="224"/>
      <c r="F59" s="224"/>
      <c r="G59" s="224"/>
      <c r="H59" s="224"/>
      <c r="I59" s="224"/>
      <c r="J59" s="224"/>
      <c r="K59" s="224"/>
      <c r="L59" s="224"/>
      <c r="M59" s="224"/>
      <c r="N59" s="441"/>
      <c r="O59" s="804"/>
      <c r="P59" s="804"/>
    </row>
    <row r="60" spans="1:16" ht="34">
      <c r="A60" s="771" t="s">
        <v>1275</v>
      </c>
      <c r="B60" s="796">
        <v>10</v>
      </c>
      <c r="C60" s="796">
        <v>0</v>
      </c>
      <c r="D60" s="796">
        <v>0</v>
      </c>
      <c r="E60" s="796">
        <v>0</v>
      </c>
      <c r="F60" s="796">
        <v>0</v>
      </c>
      <c r="G60" s="797">
        <v>10</v>
      </c>
      <c r="H60" s="796">
        <v>20</v>
      </c>
      <c r="I60" s="796">
        <v>0</v>
      </c>
      <c r="J60" s="796">
        <v>0</v>
      </c>
      <c r="K60" s="796">
        <v>0</v>
      </c>
      <c r="L60" s="796">
        <v>0</v>
      </c>
      <c r="M60" s="797">
        <v>20</v>
      </c>
      <c r="N60" s="798">
        <v>1</v>
      </c>
      <c r="O60" s="90" t="s">
        <v>1362</v>
      </c>
      <c r="P60" s="799" t="s">
        <v>1363</v>
      </c>
    </row>
    <row r="61" spans="1:16" ht="17">
      <c r="A61" s="771" t="s">
        <v>1276</v>
      </c>
      <c r="B61" s="796">
        <v>0</v>
      </c>
      <c r="C61" s="796">
        <v>0</v>
      </c>
      <c r="D61" s="796">
        <v>10</v>
      </c>
      <c r="E61" s="796">
        <v>0</v>
      </c>
      <c r="F61" s="796">
        <v>0</v>
      </c>
      <c r="G61" s="797">
        <v>10</v>
      </c>
      <c r="H61" s="796">
        <v>0</v>
      </c>
      <c r="I61" s="796">
        <v>0</v>
      </c>
      <c r="J61" s="796">
        <v>10.8</v>
      </c>
      <c r="K61" s="796">
        <v>0</v>
      </c>
      <c r="L61" s="796">
        <v>0</v>
      </c>
      <c r="M61" s="797">
        <v>10.8</v>
      </c>
      <c r="N61" s="798">
        <v>8.0000000000000071E-2</v>
      </c>
      <c r="O61" s="90" t="s">
        <v>1364</v>
      </c>
      <c r="P61" s="799" t="s">
        <v>1352</v>
      </c>
    </row>
    <row r="62" spans="1:16" ht="34">
      <c r="A62" s="771" t="s">
        <v>1277</v>
      </c>
      <c r="B62" s="796">
        <v>3</v>
      </c>
      <c r="C62" s="796">
        <v>0</v>
      </c>
      <c r="D62" s="796">
        <v>0</v>
      </c>
      <c r="E62" s="796">
        <v>0</v>
      </c>
      <c r="F62" s="796">
        <v>0</v>
      </c>
      <c r="G62" s="797">
        <v>3</v>
      </c>
      <c r="H62" s="796">
        <v>8.1999999999999993</v>
      </c>
      <c r="I62" s="796">
        <v>0</v>
      </c>
      <c r="J62" s="796">
        <v>0</v>
      </c>
      <c r="K62" s="796">
        <v>0</v>
      </c>
      <c r="L62" s="796">
        <v>0</v>
      </c>
      <c r="M62" s="797">
        <v>8.1999999999999993</v>
      </c>
      <c r="N62" s="798">
        <v>1.7333333333333332</v>
      </c>
      <c r="O62" s="90" t="s">
        <v>1365</v>
      </c>
      <c r="P62" s="799" t="s">
        <v>1366</v>
      </c>
    </row>
    <row r="63" spans="1:16" ht="17">
      <c r="A63" s="499" t="s">
        <v>1278</v>
      </c>
      <c r="B63" s="248">
        <v>13</v>
      </c>
      <c r="C63" s="248">
        <v>0</v>
      </c>
      <c r="D63" s="248">
        <v>10</v>
      </c>
      <c r="E63" s="248">
        <v>0</v>
      </c>
      <c r="F63" s="248">
        <v>0</v>
      </c>
      <c r="G63" s="248">
        <v>23</v>
      </c>
      <c r="H63" s="248">
        <v>28.2</v>
      </c>
      <c r="I63" s="248">
        <v>0</v>
      </c>
      <c r="J63" s="248">
        <v>10.8</v>
      </c>
      <c r="K63" s="248">
        <v>0</v>
      </c>
      <c r="L63" s="248">
        <v>0</v>
      </c>
      <c r="M63" s="248">
        <v>39</v>
      </c>
      <c r="N63" s="439">
        <v>0.69565217391304346</v>
      </c>
      <c r="O63" s="800"/>
      <c r="P63" s="801"/>
    </row>
    <row r="64" spans="1:16" ht="16">
      <c r="A64" s="770"/>
      <c r="B64" s="818"/>
      <c r="C64" s="818"/>
      <c r="D64" s="818"/>
      <c r="E64" s="818"/>
      <c r="F64" s="818"/>
      <c r="G64" s="818"/>
      <c r="H64" s="818"/>
      <c r="I64" s="818"/>
      <c r="J64" s="818"/>
      <c r="K64" s="818"/>
      <c r="L64" s="818"/>
      <c r="M64" s="818"/>
      <c r="N64" s="803"/>
      <c r="O64" s="756"/>
      <c r="P64" s="756"/>
    </row>
    <row r="65" spans="1:16" ht="17">
      <c r="A65" s="495" t="s">
        <v>1279</v>
      </c>
      <c r="B65" s="224"/>
      <c r="C65" s="224"/>
      <c r="D65" s="224"/>
      <c r="E65" s="224"/>
      <c r="F65" s="224"/>
      <c r="G65" s="224"/>
      <c r="H65" s="224"/>
      <c r="I65" s="224"/>
      <c r="J65" s="224"/>
      <c r="K65" s="224"/>
      <c r="L65" s="224"/>
      <c r="M65" s="224"/>
      <c r="N65" s="441"/>
      <c r="O65" s="804"/>
      <c r="P65" s="804"/>
    </row>
    <row r="66" spans="1:16" ht="34">
      <c r="A66" s="771" t="s">
        <v>1280</v>
      </c>
      <c r="B66" s="796">
        <v>0</v>
      </c>
      <c r="C66" s="796">
        <v>0</v>
      </c>
      <c r="D66" s="796">
        <v>-0.9</v>
      </c>
      <c r="E66" s="796">
        <v>0</v>
      </c>
      <c r="F66" s="796">
        <v>0</v>
      </c>
      <c r="G66" s="797">
        <v>-0.9</v>
      </c>
      <c r="H66" s="796">
        <v>0</v>
      </c>
      <c r="I66" s="796">
        <v>0</v>
      </c>
      <c r="J66" s="796">
        <v>-0.3</v>
      </c>
      <c r="K66" s="796">
        <v>0</v>
      </c>
      <c r="L66" s="796">
        <v>0</v>
      </c>
      <c r="M66" s="797">
        <v>-0.3</v>
      </c>
      <c r="N66" s="798">
        <v>-0.66666666666666674</v>
      </c>
      <c r="O66" s="90" t="s">
        <v>1367</v>
      </c>
      <c r="P66" s="799" t="s">
        <v>1368</v>
      </c>
    </row>
    <row r="67" spans="1:16" ht="34">
      <c r="A67" s="774" t="s">
        <v>1281</v>
      </c>
      <c r="B67" s="813">
        <v>0</v>
      </c>
      <c r="C67" s="813">
        <v>0</v>
      </c>
      <c r="D67" s="813">
        <v>1.9</v>
      </c>
      <c r="E67" s="813">
        <v>0</v>
      </c>
      <c r="F67" s="813">
        <v>0</v>
      </c>
      <c r="G67" s="814">
        <v>1.9</v>
      </c>
      <c r="H67" s="796">
        <v>0</v>
      </c>
      <c r="I67" s="796">
        <v>0</v>
      </c>
      <c r="J67" s="796">
        <v>2.4</v>
      </c>
      <c r="K67" s="796">
        <v>0</v>
      </c>
      <c r="L67" s="796">
        <v>0</v>
      </c>
      <c r="M67" s="814">
        <v>2.4</v>
      </c>
      <c r="N67" s="798">
        <v>0.26315789473684209</v>
      </c>
      <c r="O67" s="205" t="s">
        <v>1369</v>
      </c>
      <c r="P67" s="192" t="s">
        <v>1352</v>
      </c>
    </row>
    <row r="68" spans="1:16" ht="34">
      <c r="A68" s="774" t="s">
        <v>1281</v>
      </c>
      <c r="B68" s="813">
        <v>-1.4999999999999999E-2</v>
      </c>
      <c r="C68" s="813">
        <v>0</v>
      </c>
      <c r="D68" s="813">
        <v>0</v>
      </c>
      <c r="E68" s="813">
        <v>0</v>
      </c>
      <c r="F68" s="813">
        <v>0</v>
      </c>
      <c r="G68" s="814">
        <v>-1.4999999999999999E-2</v>
      </c>
      <c r="H68" s="796">
        <v>-1.4999999999999999E-2</v>
      </c>
      <c r="I68" s="796">
        <v>0</v>
      </c>
      <c r="J68" s="796">
        <v>0</v>
      </c>
      <c r="K68" s="796">
        <v>0</v>
      </c>
      <c r="L68" s="796">
        <v>0</v>
      </c>
      <c r="M68" s="814">
        <v>-1.4999999999999999E-2</v>
      </c>
      <c r="N68" s="798">
        <v>0</v>
      </c>
      <c r="O68" s="205" t="s">
        <v>1369</v>
      </c>
      <c r="P68" s="192" t="s">
        <v>1343</v>
      </c>
    </row>
    <row r="69" spans="1:16" ht="34">
      <c r="A69" s="774" t="s">
        <v>1281</v>
      </c>
      <c r="B69" s="813">
        <v>1.6E-2</v>
      </c>
      <c r="C69" s="813">
        <v>0</v>
      </c>
      <c r="D69" s="813">
        <v>0</v>
      </c>
      <c r="E69" s="813">
        <v>0</v>
      </c>
      <c r="F69" s="813">
        <v>0</v>
      </c>
      <c r="G69" s="814">
        <v>1.6E-2</v>
      </c>
      <c r="H69" s="796">
        <v>1.6E-2</v>
      </c>
      <c r="I69" s="796">
        <v>0</v>
      </c>
      <c r="J69" s="796">
        <v>0</v>
      </c>
      <c r="K69" s="796">
        <v>0</v>
      </c>
      <c r="L69" s="796">
        <v>0</v>
      </c>
      <c r="M69" s="814">
        <v>1.6E-2</v>
      </c>
      <c r="N69" s="798">
        <v>0</v>
      </c>
      <c r="O69" s="205" t="s">
        <v>1369</v>
      </c>
      <c r="P69" s="192" t="s">
        <v>1343</v>
      </c>
    </row>
    <row r="70" spans="1:16" ht="34">
      <c r="A70" s="774" t="s">
        <v>1282</v>
      </c>
      <c r="B70" s="813">
        <v>-0.24</v>
      </c>
      <c r="C70" s="813">
        <v>0</v>
      </c>
      <c r="D70" s="813">
        <v>0</v>
      </c>
      <c r="E70" s="813">
        <v>0</v>
      </c>
      <c r="F70" s="813">
        <v>0</v>
      </c>
      <c r="G70" s="814">
        <v>-0.24</v>
      </c>
      <c r="H70" s="796">
        <v>-0.20100000000000001</v>
      </c>
      <c r="I70" s="796">
        <v>0</v>
      </c>
      <c r="J70" s="796">
        <v>0</v>
      </c>
      <c r="K70" s="796">
        <v>0</v>
      </c>
      <c r="L70" s="796">
        <v>0</v>
      </c>
      <c r="M70" s="814">
        <v>-0.20100000000000001</v>
      </c>
      <c r="N70" s="798">
        <v>-0.16249999999999992</v>
      </c>
      <c r="O70" s="205" t="s">
        <v>1370</v>
      </c>
      <c r="P70" s="192" t="s">
        <v>1352</v>
      </c>
    </row>
    <row r="71" spans="1:16" ht="17">
      <c r="A71" s="499" t="s">
        <v>1283</v>
      </c>
      <c r="B71" s="248">
        <v>-0.23899999999999999</v>
      </c>
      <c r="C71" s="248">
        <v>0</v>
      </c>
      <c r="D71" s="248">
        <v>0.99999999999999989</v>
      </c>
      <c r="E71" s="248">
        <v>0</v>
      </c>
      <c r="F71" s="248">
        <v>0</v>
      </c>
      <c r="G71" s="248">
        <v>0.7609999999999999</v>
      </c>
      <c r="H71" s="248">
        <v>-0.2</v>
      </c>
      <c r="I71" s="248">
        <v>0</v>
      </c>
      <c r="J71" s="248">
        <v>2.1</v>
      </c>
      <c r="K71" s="248">
        <v>0</v>
      </c>
      <c r="L71" s="248">
        <v>0</v>
      </c>
      <c r="M71" s="248">
        <v>1.9</v>
      </c>
      <c r="N71" s="439">
        <v>1.4967148488830488</v>
      </c>
      <c r="O71" s="800"/>
      <c r="P71" s="801"/>
    </row>
    <row r="72" spans="1:16" ht="16">
      <c r="A72" s="770"/>
      <c r="B72" s="805"/>
      <c r="C72" s="805"/>
      <c r="D72" s="805"/>
      <c r="E72" s="805"/>
      <c r="F72" s="805"/>
      <c r="G72" s="805"/>
      <c r="H72" s="805"/>
      <c r="I72" s="805"/>
      <c r="J72" s="805"/>
      <c r="K72" s="805"/>
      <c r="L72" s="805"/>
      <c r="M72" s="805"/>
      <c r="N72" s="806"/>
      <c r="O72" s="756"/>
      <c r="P72" s="756"/>
    </row>
    <row r="73" spans="1:16" ht="17">
      <c r="A73" s="495" t="s">
        <v>1284</v>
      </c>
      <c r="B73" s="224"/>
      <c r="C73" s="224"/>
      <c r="D73" s="224"/>
      <c r="E73" s="224"/>
      <c r="F73" s="224"/>
      <c r="G73" s="224"/>
      <c r="H73" s="224"/>
      <c r="I73" s="224"/>
      <c r="J73" s="224"/>
      <c r="K73" s="224"/>
      <c r="L73" s="224"/>
      <c r="M73" s="224"/>
      <c r="N73" s="441"/>
      <c r="O73" s="804"/>
      <c r="P73" s="804"/>
    </row>
    <row r="74" spans="1:16" ht="68">
      <c r="A74" s="771" t="s">
        <v>673</v>
      </c>
      <c r="B74" s="796">
        <v>0</v>
      </c>
      <c r="C74" s="796">
        <v>0</v>
      </c>
      <c r="D74" s="796">
        <v>12</v>
      </c>
      <c r="E74" s="796">
        <v>0</v>
      </c>
      <c r="F74" s="796">
        <v>0</v>
      </c>
      <c r="G74" s="797">
        <v>12</v>
      </c>
      <c r="H74" s="796">
        <v>0</v>
      </c>
      <c r="I74" s="796">
        <v>0</v>
      </c>
      <c r="J74" s="796">
        <v>9.5</v>
      </c>
      <c r="K74" s="796">
        <v>0</v>
      </c>
      <c r="L74" s="796">
        <v>0</v>
      </c>
      <c r="M74" s="797">
        <v>9.5</v>
      </c>
      <c r="N74" s="798">
        <v>-0.20833333333333334</v>
      </c>
      <c r="O74" s="90" t="s">
        <v>1371</v>
      </c>
      <c r="P74" s="799" t="s">
        <v>1372</v>
      </c>
    </row>
    <row r="75" spans="1:16" ht="51">
      <c r="A75" s="774" t="s">
        <v>672</v>
      </c>
      <c r="B75" s="813">
        <v>109.688</v>
      </c>
      <c r="C75" s="813">
        <v>0</v>
      </c>
      <c r="D75" s="813">
        <v>0</v>
      </c>
      <c r="E75" s="813">
        <v>0</v>
      </c>
      <c r="F75" s="813">
        <v>0</v>
      </c>
      <c r="G75" s="814">
        <v>109.688</v>
      </c>
      <c r="H75" s="796">
        <v>114.86599999999999</v>
      </c>
      <c r="I75" s="796">
        <v>0</v>
      </c>
      <c r="J75" s="796">
        <v>0</v>
      </c>
      <c r="K75" s="796">
        <v>0</v>
      </c>
      <c r="L75" s="796">
        <v>0</v>
      </c>
      <c r="M75" s="814">
        <v>114.86599999999999</v>
      </c>
      <c r="N75" s="798">
        <v>4.7206622419954623E-2</v>
      </c>
      <c r="O75" s="205" t="s">
        <v>1373</v>
      </c>
      <c r="P75" s="192" t="s">
        <v>1374</v>
      </c>
    </row>
    <row r="76" spans="1:16" ht="34">
      <c r="A76" s="774" t="s">
        <v>979</v>
      </c>
      <c r="B76" s="813">
        <v>0</v>
      </c>
      <c r="C76" s="813">
        <v>4.9349999999999996</v>
      </c>
      <c r="D76" s="813">
        <v>0</v>
      </c>
      <c r="E76" s="813">
        <v>0</v>
      </c>
      <c r="F76" s="813">
        <v>0</v>
      </c>
      <c r="G76" s="814">
        <v>4.9349999999999996</v>
      </c>
      <c r="H76" s="796">
        <v>0</v>
      </c>
      <c r="I76" s="796">
        <v>5</v>
      </c>
      <c r="J76" s="796">
        <v>0</v>
      </c>
      <c r="K76" s="796">
        <v>0</v>
      </c>
      <c r="L76" s="796">
        <v>0</v>
      </c>
      <c r="M76" s="814">
        <v>5</v>
      </c>
      <c r="N76" s="798">
        <v>1.3171225937183464E-2</v>
      </c>
      <c r="O76" s="205" t="s">
        <v>1375</v>
      </c>
      <c r="P76" s="192" t="s">
        <v>1352</v>
      </c>
    </row>
    <row r="77" spans="1:16" ht="34">
      <c r="A77" s="774" t="s">
        <v>1285</v>
      </c>
      <c r="B77" s="813">
        <v>-4.2880000000000003</v>
      </c>
      <c r="C77" s="813">
        <v>0</v>
      </c>
      <c r="D77" s="813">
        <v>0</v>
      </c>
      <c r="E77" s="813">
        <v>0</v>
      </c>
      <c r="F77" s="813">
        <v>0</v>
      </c>
      <c r="G77" s="814">
        <v>-4.2880000000000003</v>
      </c>
      <c r="H77" s="796">
        <v>-4.2880000000000003</v>
      </c>
      <c r="I77" s="796">
        <v>0</v>
      </c>
      <c r="J77" s="796">
        <v>0</v>
      </c>
      <c r="K77" s="796">
        <v>0</v>
      </c>
      <c r="L77" s="796">
        <v>0</v>
      </c>
      <c r="M77" s="814">
        <v>-4.2880000000000003</v>
      </c>
      <c r="N77" s="798">
        <v>0</v>
      </c>
      <c r="O77" s="205" t="s">
        <v>1376</v>
      </c>
      <c r="P77" s="192" t="s">
        <v>1343</v>
      </c>
    </row>
    <row r="78" spans="1:16" ht="17">
      <c r="A78" s="774" t="s">
        <v>1286</v>
      </c>
      <c r="B78" s="813">
        <v>0</v>
      </c>
      <c r="C78" s="813">
        <v>0</v>
      </c>
      <c r="D78" s="813">
        <v>0</v>
      </c>
      <c r="E78" s="813">
        <v>0</v>
      </c>
      <c r="F78" s="813">
        <v>0</v>
      </c>
      <c r="G78" s="814">
        <v>0</v>
      </c>
      <c r="H78" s="796">
        <v>0</v>
      </c>
      <c r="I78" s="796">
        <v>0</v>
      </c>
      <c r="J78" s="796">
        <v>0</v>
      </c>
      <c r="K78" s="796">
        <v>0</v>
      </c>
      <c r="L78" s="796">
        <v>0</v>
      </c>
      <c r="M78" s="814">
        <v>0</v>
      </c>
      <c r="N78" s="798" t="s">
        <v>155</v>
      </c>
      <c r="O78" s="205" t="s">
        <v>337</v>
      </c>
      <c r="P78" s="192" t="s">
        <v>337</v>
      </c>
    </row>
    <row r="79" spans="1:16" ht="17">
      <c r="A79" s="499" t="s">
        <v>1287</v>
      </c>
      <c r="B79" s="248">
        <v>105.4</v>
      </c>
      <c r="C79" s="248">
        <v>4.9349999999999996</v>
      </c>
      <c r="D79" s="248">
        <v>12</v>
      </c>
      <c r="E79" s="248">
        <v>0</v>
      </c>
      <c r="F79" s="248">
        <v>0</v>
      </c>
      <c r="G79" s="248">
        <v>122.33500000000001</v>
      </c>
      <c r="H79" s="248">
        <v>110.57799999999999</v>
      </c>
      <c r="I79" s="248">
        <v>5</v>
      </c>
      <c r="J79" s="248">
        <v>9.5</v>
      </c>
      <c r="K79" s="248">
        <v>0</v>
      </c>
      <c r="L79" s="248">
        <v>0</v>
      </c>
      <c r="M79" s="248">
        <v>125.07799999999999</v>
      </c>
      <c r="N79" s="439">
        <v>2.242203784689566E-2</v>
      </c>
      <c r="O79" s="800"/>
      <c r="P79" s="801"/>
    </row>
    <row r="80" spans="1:16" ht="16">
      <c r="A80" s="770"/>
      <c r="B80" s="818"/>
      <c r="C80" s="818"/>
      <c r="D80" s="818"/>
      <c r="E80" s="818"/>
      <c r="F80" s="818"/>
      <c r="G80" s="818"/>
      <c r="H80" s="818"/>
      <c r="I80" s="818"/>
      <c r="J80" s="818"/>
      <c r="K80" s="818"/>
      <c r="L80" s="818"/>
      <c r="M80" s="818"/>
      <c r="N80" s="803"/>
      <c r="O80" s="756"/>
      <c r="P80" s="756"/>
    </row>
    <row r="81" spans="1:16" ht="17">
      <c r="A81" s="495" t="s">
        <v>1288</v>
      </c>
      <c r="B81" s="224"/>
      <c r="C81" s="224"/>
      <c r="D81" s="224"/>
      <c r="E81" s="224"/>
      <c r="F81" s="224"/>
      <c r="G81" s="224"/>
      <c r="H81" s="224"/>
      <c r="I81" s="224"/>
      <c r="J81" s="224"/>
      <c r="K81" s="224"/>
      <c r="L81" s="224"/>
      <c r="M81" s="224"/>
      <c r="N81" s="441"/>
      <c r="O81" s="804"/>
      <c r="P81" s="804"/>
    </row>
    <row r="82" spans="1:16" ht="17">
      <c r="A82" s="771" t="s">
        <v>1289</v>
      </c>
      <c r="B82" s="796">
        <v>0</v>
      </c>
      <c r="C82" s="796">
        <v>0</v>
      </c>
      <c r="D82" s="796">
        <v>0</v>
      </c>
      <c r="E82" s="796">
        <v>0</v>
      </c>
      <c r="F82" s="796">
        <v>0</v>
      </c>
      <c r="G82" s="797">
        <v>0</v>
      </c>
      <c r="H82" s="796">
        <v>0</v>
      </c>
      <c r="I82" s="796">
        <v>0</v>
      </c>
      <c r="J82" s="796">
        <v>0</v>
      </c>
      <c r="K82" s="796">
        <v>0</v>
      </c>
      <c r="L82" s="796">
        <v>0</v>
      </c>
      <c r="M82" s="797">
        <v>0</v>
      </c>
      <c r="N82" s="798" t="s">
        <v>155</v>
      </c>
      <c r="O82" s="90" t="s">
        <v>337</v>
      </c>
      <c r="P82" s="799" t="s">
        <v>337</v>
      </c>
    </row>
    <row r="83" spans="1:16" ht="51">
      <c r="A83" s="774" t="s">
        <v>1290</v>
      </c>
      <c r="B83" s="813">
        <v>-2.5</v>
      </c>
      <c r="C83" s="813">
        <v>0</v>
      </c>
      <c r="D83" s="813">
        <v>0</v>
      </c>
      <c r="E83" s="813">
        <v>0</v>
      </c>
      <c r="F83" s="813">
        <v>0</v>
      </c>
      <c r="G83" s="814">
        <v>-2.5</v>
      </c>
      <c r="H83" s="796">
        <v>0</v>
      </c>
      <c r="I83" s="796">
        <v>0</v>
      </c>
      <c r="J83" s="796">
        <v>0</v>
      </c>
      <c r="K83" s="796">
        <v>0</v>
      </c>
      <c r="L83" s="796">
        <v>0</v>
      </c>
      <c r="M83" s="814">
        <v>0</v>
      </c>
      <c r="N83" s="798">
        <v>-1</v>
      </c>
      <c r="O83" s="205" t="s">
        <v>1377</v>
      </c>
      <c r="P83" s="192" t="s">
        <v>1378</v>
      </c>
    </row>
    <row r="84" spans="1:16" ht="17">
      <c r="A84" s="499" t="s">
        <v>1291</v>
      </c>
      <c r="B84" s="248">
        <v>-2.5</v>
      </c>
      <c r="C84" s="248">
        <v>0</v>
      </c>
      <c r="D84" s="248">
        <v>0</v>
      </c>
      <c r="E84" s="248">
        <v>0</v>
      </c>
      <c r="F84" s="248">
        <v>0</v>
      </c>
      <c r="G84" s="248">
        <v>-2.5</v>
      </c>
      <c r="H84" s="248">
        <v>0</v>
      </c>
      <c r="I84" s="248">
        <v>0</v>
      </c>
      <c r="J84" s="248">
        <v>0</v>
      </c>
      <c r="K84" s="248">
        <v>0</v>
      </c>
      <c r="L84" s="248">
        <v>0</v>
      </c>
      <c r="M84" s="248">
        <v>0</v>
      </c>
      <c r="N84" s="439">
        <v>-1</v>
      </c>
      <c r="O84" s="541"/>
      <c r="P84" s="542"/>
    </row>
    <row r="85" spans="1:16" ht="16">
      <c r="A85" s="770"/>
      <c r="B85" s="805"/>
      <c r="C85" s="805"/>
      <c r="D85" s="805"/>
      <c r="E85" s="805"/>
      <c r="F85" s="805"/>
      <c r="G85" s="805"/>
      <c r="H85" s="805"/>
      <c r="I85" s="805"/>
      <c r="J85" s="805"/>
      <c r="K85" s="805"/>
      <c r="L85" s="805"/>
      <c r="M85" s="805"/>
      <c r="N85" s="805"/>
      <c r="O85" s="662"/>
      <c r="P85" s="807"/>
    </row>
    <row r="86" spans="1:16" ht="34">
      <c r="A86" s="775" t="s">
        <v>1292</v>
      </c>
      <c r="B86" s="819">
        <v>729.96100000000001</v>
      </c>
      <c r="C86" s="819">
        <v>4.9349999999999996</v>
      </c>
      <c r="D86" s="819">
        <v>53.3</v>
      </c>
      <c r="E86" s="819">
        <v>0</v>
      </c>
      <c r="F86" s="819">
        <v>0</v>
      </c>
      <c r="G86" s="819">
        <v>788.19599999999991</v>
      </c>
      <c r="H86" s="819">
        <v>727.07799999999997</v>
      </c>
      <c r="I86" s="819">
        <v>5</v>
      </c>
      <c r="J86" s="819">
        <v>40.1</v>
      </c>
      <c r="K86" s="819">
        <v>0</v>
      </c>
      <c r="L86" s="819">
        <v>0</v>
      </c>
      <c r="M86" s="819">
        <v>772.17800000000011</v>
      </c>
      <c r="N86" s="820">
        <v>-2.0322356368212734E-2</v>
      </c>
      <c r="O86" s="821"/>
      <c r="P86" s="822"/>
    </row>
    <row r="87" spans="1:16" ht="16">
      <c r="A87" s="776"/>
      <c r="B87" s="823"/>
      <c r="C87" s="823"/>
      <c r="D87" s="823"/>
      <c r="E87" s="823"/>
      <c r="F87" s="823"/>
      <c r="G87" s="823"/>
      <c r="H87" s="823"/>
      <c r="I87" s="823"/>
      <c r="J87" s="823"/>
      <c r="K87" s="823"/>
      <c r="L87" s="823"/>
      <c r="M87" s="823"/>
      <c r="N87" s="824"/>
      <c r="O87" s="825"/>
      <c r="P87" s="825"/>
    </row>
    <row r="88" spans="1:16" ht="17">
      <c r="A88" s="777" t="s">
        <v>1293</v>
      </c>
      <c r="B88" s="826"/>
      <c r="C88" s="826"/>
      <c r="D88" s="826"/>
      <c r="E88" s="826"/>
      <c r="F88" s="826"/>
      <c r="G88" s="826"/>
      <c r="H88" s="826"/>
      <c r="I88" s="826"/>
      <c r="J88" s="826"/>
      <c r="K88" s="826"/>
      <c r="L88" s="826"/>
      <c r="M88" s="826"/>
      <c r="N88" s="459"/>
      <c r="O88" s="827"/>
      <c r="P88" s="827"/>
    </row>
    <row r="89" spans="1:16" ht="16">
      <c r="A89" s="778"/>
      <c r="B89" s="828"/>
      <c r="C89" s="828"/>
      <c r="D89" s="828"/>
      <c r="E89" s="828"/>
      <c r="F89" s="828"/>
      <c r="G89" s="828"/>
      <c r="H89" s="828"/>
      <c r="I89" s="828"/>
      <c r="J89" s="828"/>
      <c r="K89" s="828"/>
      <c r="L89" s="828"/>
      <c r="M89" s="828"/>
      <c r="N89" s="803"/>
      <c r="O89" s="794"/>
      <c r="P89" s="794"/>
    </row>
    <row r="90" spans="1:16" ht="17">
      <c r="A90" s="495" t="s">
        <v>1294</v>
      </c>
      <c r="B90" s="224"/>
      <c r="C90" s="224"/>
      <c r="D90" s="224"/>
      <c r="E90" s="224"/>
      <c r="F90" s="224"/>
      <c r="G90" s="224"/>
      <c r="H90" s="224"/>
      <c r="I90" s="224"/>
      <c r="J90" s="224"/>
      <c r="K90" s="224"/>
      <c r="L90" s="224"/>
      <c r="M90" s="224"/>
      <c r="N90" s="441"/>
      <c r="O90" s="535"/>
      <c r="P90" s="535"/>
    </row>
    <row r="91" spans="1:16" ht="17">
      <c r="A91" s="771" t="s">
        <v>1295</v>
      </c>
      <c r="B91" s="796">
        <v>0</v>
      </c>
      <c r="C91" s="796">
        <v>6.5000000000000002E-2</v>
      </c>
      <c r="D91" s="796">
        <v>0</v>
      </c>
      <c r="E91" s="796">
        <v>0</v>
      </c>
      <c r="F91" s="796">
        <v>0</v>
      </c>
      <c r="G91" s="797">
        <v>6.5000000000000002E-2</v>
      </c>
      <c r="H91" s="796">
        <v>0</v>
      </c>
      <c r="I91" s="796">
        <v>6.5000000000000002E-2</v>
      </c>
      <c r="J91" s="796">
        <v>0</v>
      </c>
      <c r="K91" s="796">
        <v>0</v>
      </c>
      <c r="L91" s="796">
        <v>0</v>
      </c>
      <c r="M91" s="797">
        <v>6.5000000000000002E-2</v>
      </c>
      <c r="N91" s="798">
        <v>0</v>
      </c>
      <c r="O91" s="90" t="s">
        <v>1379</v>
      </c>
      <c r="P91" s="799" t="s">
        <v>1343</v>
      </c>
    </row>
    <row r="92" spans="1:16" ht="85">
      <c r="A92" s="774" t="s">
        <v>1296</v>
      </c>
      <c r="B92" s="813">
        <v>3.9</v>
      </c>
      <c r="C92" s="813">
        <v>0</v>
      </c>
      <c r="D92" s="813">
        <v>0</v>
      </c>
      <c r="E92" s="813">
        <v>0</v>
      </c>
      <c r="F92" s="813">
        <v>0</v>
      </c>
      <c r="G92" s="814">
        <v>3.9</v>
      </c>
      <c r="H92" s="796">
        <v>4.17</v>
      </c>
      <c r="I92" s="796">
        <v>0</v>
      </c>
      <c r="J92" s="796">
        <v>0</v>
      </c>
      <c r="K92" s="796">
        <v>0</v>
      </c>
      <c r="L92" s="796">
        <v>0</v>
      </c>
      <c r="M92" s="814">
        <v>4.17</v>
      </c>
      <c r="N92" s="798">
        <v>6.9230769230769235E-2</v>
      </c>
      <c r="O92" s="205" t="s">
        <v>1380</v>
      </c>
      <c r="P92" s="192" t="s">
        <v>1352</v>
      </c>
    </row>
    <row r="93" spans="1:16" ht="17">
      <c r="A93" s="499" t="s">
        <v>1297</v>
      </c>
      <c r="B93" s="248">
        <v>3.9</v>
      </c>
      <c r="C93" s="248">
        <v>6.5000000000000002E-2</v>
      </c>
      <c r="D93" s="248">
        <v>0</v>
      </c>
      <c r="E93" s="248">
        <v>0</v>
      </c>
      <c r="F93" s="248">
        <v>0</v>
      </c>
      <c r="G93" s="248">
        <v>3.9649999999999999</v>
      </c>
      <c r="H93" s="248">
        <v>4.17</v>
      </c>
      <c r="I93" s="248">
        <v>6.5000000000000002E-2</v>
      </c>
      <c r="J93" s="248">
        <v>0</v>
      </c>
      <c r="K93" s="248">
        <v>0</v>
      </c>
      <c r="L93" s="248">
        <v>0</v>
      </c>
      <c r="M93" s="248">
        <v>4.2350000000000003</v>
      </c>
      <c r="N93" s="439">
        <v>6.8095838587641982E-2</v>
      </c>
      <c r="O93" s="541"/>
      <c r="P93" s="542"/>
    </row>
    <row r="94" spans="1:16" ht="16">
      <c r="A94" s="770"/>
      <c r="B94" s="829"/>
      <c r="C94" s="829"/>
      <c r="D94" s="829"/>
      <c r="E94" s="829"/>
      <c r="F94" s="829"/>
      <c r="G94" s="829"/>
      <c r="H94" s="829"/>
      <c r="I94" s="829"/>
      <c r="J94" s="829"/>
      <c r="K94" s="829"/>
      <c r="L94" s="829"/>
      <c r="M94" s="829"/>
      <c r="N94" s="806"/>
      <c r="O94" s="662"/>
      <c r="P94" s="662"/>
    </row>
    <row r="95" spans="1:16" ht="17">
      <c r="A95" s="680" t="s">
        <v>1298</v>
      </c>
      <c r="B95" s="224"/>
      <c r="C95" s="224"/>
      <c r="D95" s="224"/>
      <c r="E95" s="224"/>
      <c r="F95" s="224"/>
      <c r="G95" s="224"/>
      <c r="H95" s="224"/>
      <c r="I95" s="224"/>
      <c r="J95" s="224"/>
      <c r="K95" s="224"/>
      <c r="L95" s="224"/>
      <c r="M95" s="224"/>
      <c r="N95" s="441"/>
      <c r="O95" s="535"/>
      <c r="P95" s="535"/>
    </row>
    <row r="96" spans="1:16" ht="34">
      <c r="A96" s="771" t="s">
        <v>1299</v>
      </c>
      <c r="B96" s="796">
        <v>0.88700000000000001</v>
      </c>
      <c r="C96" s="796">
        <v>0</v>
      </c>
      <c r="D96" s="796">
        <v>0</v>
      </c>
      <c r="E96" s="796">
        <v>0</v>
      </c>
      <c r="F96" s="796">
        <v>0</v>
      </c>
      <c r="G96" s="797">
        <v>0.88700000000000001</v>
      </c>
      <c r="H96" s="796">
        <v>0.88700000000000001</v>
      </c>
      <c r="I96" s="796">
        <v>0</v>
      </c>
      <c r="J96" s="796">
        <v>0</v>
      </c>
      <c r="K96" s="796">
        <v>0</v>
      </c>
      <c r="L96" s="796">
        <v>0</v>
      </c>
      <c r="M96" s="797">
        <v>0.88700000000000001</v>
      </c>
      <c r="N96" s="798">
        <v>0</v>
      </c>
      <c r="O96" s="90" t="s">
        <v>1381</v>
      </c>
      <c r="P96" s="799" t="s">
        <v>1382</v>
      </c>
    </row>
    <row r="97" spans="1:16" ht="51">
      <c r="A97" s="774" t="s">
        <v>1300</v>
      </c>
      <c r="B97" s="813">
        <v>0.53</v>
      </c>
      <c r="C97" s="813">
        <v>0</v>
      </c>
      <c r="D97" s="813">
        <v>0</v>
      </c>
      <c r="E97" s="813">
        <v>0</v>
      </c>
      <c r="F97" s="813">
        <v>0</v>
      </c>
      <c r="G97" s="814">
        <v>0.53</v>
      </c>
      <c r="H97" s="796">
        <v>0.6</v>
      </c>
      <c r="I97" s="796">
        <v>0</v>
      </c>
      <c r="J97" s="796">
        <v>0</v>
      </c>
      <c r="K97" s="796">
        <v>0</v>
      </c>
      <c r="L97" s="796">
        <v>0</v>
      </c>
      <c r="M97" s="814">
        <v>0.6</v>
      </c>
      <c r="N97" s="798">
        <v>0.13207547169811309</v>
      </c>
      <c r="O97" s="205" t="s">
        <v>1383</v>
      </c>
      <c r="P97" s="192" t="s">
        <v>1352</v>
      </c>
    </row>
    <row r="98" spans="1:16" ht="17">
      <c r="A98" s="683" t="s">
        <v>1301</v>
      </c>
      <c r="B98" s="248">
        <v>1.417</v>
      </c>
      <c r="C98" s="248">
        <v>0</v>
      </c>
      <c r="D98" s="248">
        <v>0</v>
      </c>
      <c r="E98" s="248">
        <v>0</v>
      </c>
      <c r="F98" s="248">
        <v>0</v>
      </c>
      <c r="G98" s="248">
        <v>1.417</v>
      </c>
      <c r="H98" s="248">
        <v>1.4870000000000001</v>
      </c>
      <c r="I98" s="248">
        <v>0</v>
      </c>
      <c r="J98" s="248">
        <v>0</v>
      </c>
      <c r="K98" s="248">
        <v>0</v>
      </c>
      <c r="L98" s="248">
        <v>0</v>
      </c>
      <c r="M98" s="248">
        <v>1.4870000000000001</v>
      </c>
      <c r="N98" s="439">
        <v>4.9400141143260454E-2</v>
      </c>
      <c r="O98" s="541"/>
      <c r="P98" s="542"/>
    </row>
    <row r="99" spans="1:16" ht="16">
      <c r="A99" s="770"/>
      <c r="B99" s="805"/>
      <c r="C99" s="805"/>
      <c r="D99" s="805"/>
      <c r="E99" s="805"/>
      <c r="F99" s="805"/>
      <c r="G99" s="805"/>
      <c r="H99" s="805"/>
      <c r="I99" s="805"/>
      <c r="J99" s="805"/>
      <c r="K99" s="805"/>
      <c r="L99" s="805"/>
      <c r="M99" s="805"/>
      <c r="N99" s="803"/>
      <c r="O99" s="830"/>
      <c r="P99" s="662"/>
    </row>
    <row r="100" spans="1:16" ht="34">
      <c r="A100" s="606" t="s">
        <v>1302</v>
      </c>
      <c r="B100" s="624"/>
      <c r="C100" s="624"/>
      <c r="D100" s="624"/>
      <c r="E100" s="624"/>
      <c r="F100" s="624"/>
      <c r="G100" s="624"/>
      <c r="H100" s="624"/>
      <c r="I100" s="624"/>
      <c r="J100" s="624"/>
      <c r="K100" s="624"/>
      <c r="L100" s="624"/>
      <c r="M100" s="624"/>
      <c r="N100" s="624"/>
      <c r="O100" s="624"/>
      <c r="P100" s="624"/>
    </row>
    <row r="101" spans="1:16" ht="51">
      <c r="A101" s="771" t="s">
        <v>1303</v>
      </c>
      <c r="B101" s="796">
        <v>2.1760000000000002</v>
      </c>
      <c r="C101" s="796">
        <v>0</v>
      </c>
      <c r="D101" s="796">
        <v>0</v>
      </c>
      <c r="E101" s="796">
        <v>0</v>
      </c>
      <c r="F101" s="796">
        <v>0</v>
      </c>
      <c r="G101" s="797">
        <v>2.1760000000000002</v>
      </c>
      <c r="H101" s="796">
        <v>2.2000000000000002</v>
      </c>
      <c r="I101" s="796">
        <v>0</v>
      </c>
      <c r="J101" s="796">
        <v>0</v>
      </c>
      <c r="K101" s="796">
        <v>0</v>
      </c>
      <c r="L101" s="796">
        <v>0</v>
      </c>
      <c r="M101" s="797">
        <v>2.2000000000000002</v>
      </c>
      <c r="N101" s="798">
        <v>1.1029411764705892E-2</v>
      </c>
      <c r="O101" s="90" t="s">
        <v>1384</v>
      </c>
      <c r="P101" s="799" t="s">
        <v>1352</v>
      </c>
    </row>
    <row r="102" spans="1:16" ht="34">
      <c r="A102" s="774" t="s">
        <v>1304</v>
      </c>
      <c r="B102" s="813">
        <v>0</v>
      </c>
      <c r="C102" s="813">
        <v>0</v>
      </c>
      <c r="D102" s="813">
        <v>0</v>
      </c>
      <c r="E102" s="813">
        <v>0</v>
      </c>
      <c r="F102" s="813">
        <v>0</v>
      </c>
      <c r="G102" s="814">
        <v>0</v>
      </c>
      <c r="H102" s="796">
        <v>0</v>
      </c>
      <c r="I102" s="796">
        <v>0</v>
      </c>
      <c r="J102" s="796">
        <v>0</v>
      </c>
      <c r="K102" s="796">
        <v>0</v>
      </c>
      <c r="L102" s="796">
        <v>0</v>
      </c>
      <c r="M102" s="814">
        <v>0</v>
      </c>
      <c r="N102" s="798" t="s">
        <v>155</v>
      </c>
      <c r="O102" s="205" t="s">
        <v>1385</v>
      </c>
      <c r="P102" s="192" t="s">
        <v>337</v>
      </c>
    </row>
    <row r="103" spans="1:16" ht="34">
      <c r="A103" s="499" t="s">
        <v>1305</v>
      </c>
      <c r="B103" s="248">
        <v>2.1760000000000002</v>
      </c>
      <c r="C103" s="248">
        <v>0</v>
      </c>
      <c r="D103" s="248">
        <v>0</v>
      </c>
      <c r="E103" s="248">
        <v>0</v>
      </c>
      <c r="F103" s="248">
        <v>0</v>
      </c>
      <c r="G103" s="248">
        <v>2.1760000000000002</v>
      </c>
      <c r="H103" s="248">
        <v>2.2000000000000002</v>
      </c>
      <c r="I103" s="248">
        <v>0</v>
      </c>
      <c r="J103" s="248">
        <v>0</v>
      </c>
      <c r="K103" s="248">
        <v>0</v>
      </c>
      <c r="L103" s="248">
        <v>0</v>
      </c>
      <c r="M103" s="248">
        <v>2.2000000000000002</v>
      </c>
      <c r="N103" s="439">
        <v>1.1029411764705892E-2</v>
      </c>
      <c r="O103" s="541"/>
      <c r="P103" s="542"/>
    </row>
    <row r="104" spans="1:16" ht="16">
      <c r="A104" s="770"/>
      <c r="B104" s="829"/>
      <c r="C104" s="829"/>
      <c r="D104" s="829"/>
      <c r="E104" s="829"/>
      <c r="F104" s="829"/>
      <c r="G104" s="829"/>
      <c r="H104" s="829"/>
      <c r="I104" s="829"/>
      <c r="J104" s="829"/>
      <c r="K104" s="829"/>
      <c r="L104" s="829"/>
      <c r="M104" s="829"/>
      <c r="N104" s="806"/>
      <c r="O104" s="662"/>
      <c r="P104" s="662"/>
    </row>
    <row r="105" spans="1:16" ht="17">
      <c r="A105" s="495" t="s">
        <v>1306</v>
      </c>
      <c r="B105" s="224"/>
      <c r="C105" s="224"/>
      <c r="D105" s="224"/>
      <c r="E105" s="224"/>
      <c r="F105" s="224"/>
      <c r="G105" s="224"/>
      <c r="H105" s="224"/>
      <c r="I105" s="224"/>
      <c r="J105" s="224"/>
      <c r="K105" s="224"/>
      <c r="L105" s="224"/>
      <c r="M105" s="224"/>
      <c r="N105" s="441"/>
      <c r="O105" s="535"/>
      <c r="P105" s="535"/>
    </row>
    <row r="106" spans="1:16" ht="85">
      <c r="A106" s="771" t="s">
        <v>1306</v>
      </c>
      <c r="B106" s="796">
        <v>4.8789999999999996</v>
      </c>
      <c r="C106" s="796">
        <v>0</v>
      </c>
      <c r="D106" s="796">
        <v>0</v>
      </c>
      <c r="E106" s="796">
        <v>0</v>
      </c>
      <c r="F106" s="796">
        <v>0</v>
      </c>
      <c r="G106" s="797">
        <v>4.8789999999999996</v>
      </c>
      <c r="H106" s="796">
        <v>4.9249999999999998</v>
      </c>
      <c r="I106" s="796">
        <v>0</v>
      </c>
      <c r="J106" s="796">
        <v>0</v>
      </c>
      <c r="K106" s="796">
        <v>0</v>
      </c>
      <c r="L106" s="796">
        <v>0</v>
      </c>
      <c r="M106" s="797">
        <v>4.9249999999999998</v>
      </c>
      <c r="N106" s="798">
        <v>9.4281615085058963E-3</v>
      </c>
      <c r="O106" s="90" t="s">
        <v>1386</v>
      </c>
      <c r="P106" s="799" t="s">
        <v>1352</v>
      </c>
    </row>
    <row r="107" spans="1:16" ht="17">
      <c r="A107" s="499" t="s">
        <v>1307</v>
      </c>
      <c r="B107" s="248">
        <v>4.8789999999999996</v>
      </c>
      <c r="C107" s="248">
        <v>0</v>
      </c>
      <c r="D107" s="248">
        <v>0</v>
      </c>
      <c r="E107" s="248">
        <v>0</v>
      </c>
      <c r="F107" s="248">
        <v>0</v>
      </c>
      <c r="G107" s="248">
        <v>4.8789999999999996</v>
      </c>
      <c r="H107" s="248">
        <v>4.9249999999999998</v>
      </c>
      <c r="I107" s="248">
        <v>0</v>
      </c>
      <c r="J107" s="248">
        <v>0</v>
      </c>
      <c r="K107" s="248">
        <v>0</v>
      </c>
      <c r="L107" s="248">
        <v>0</v>
      </c>
      <c r="M107" s="248">
        <v>4.9249999999999998</v>
      </c>
      <c r="N107" s="439">
        <v>9.4281615085058963E-3</v>
      </c>
      <c r="O107" s="541"/>
      <c r="P107" s="542"/>
    </row>
    <row r="108" spans="1:16" ht="16">
      <c r="A108" s="779"/>
      <c r="B108" s="829"/>
      <c r="C108" s="829"/>
      <c r="D108" s="829"/>
      <c r="E108" s="829"/>
      <c r="F108" s="829"/>
      <c r="G108" s="829"/>
      <c r="H108" s="829"/>
      <c r="I108" s="829"/>
      <c r="J108" s="829"/>
      <c r="K108" s="829"/>
      <c r="L108" s="829"/>
      <c r="M108" s="829"/>
      <c r="N108" s="824"/>
      <c r="O108" s="662"/>
      <c r="P108" s="662"/>
    </row>
    <row r="109" spans="1:16" ht="17">
      <c r="A109" s="495" t="s">
        <v>1308</v>
      </c>
      <c r="B109" s="224"/>
      <c r="C109" s="224"/>
      <c r="D109" s="224"/>
      <c r="E109" s="224"/>
      <c r="F109" s="224"/>
      <c r="G109" s="224"/>
      <c r="H109" s="224"/>
      <c r="I109" s="224"/>
      <c r="J109" s="224"/>
      <c r="K109" s="224"/>
      <c r="L109" s="224"/>
      <c r="M109" s="224"/>
      <c r="N109" s="441"/>
      <c r="O109" s="535"/>
      <c r="P109" s="535"/>
    </row>
    <row r="110" spans="1:16" ht="34">
      <c r="A110" s="771" t="s">
        <v>1309</v>
      </c>
      <c r="B110" s="796">
        <v>5.6000000000000001E-2</v>
      </c>
      <c r="C110" s="796">
        <v>0</v>
      </c>
      <c r="D110" s="796">
        <v>0</v>
      </c>
      <c r="E110" s="796">
        <v>0</v>
      </c>
      <c r="F110" s="796">
        <v>0</v>
      </c>
      <c r="G110" s="797">
        <v>5.6000000000000001E-2</v>
      </c>
      <c r="H110" s="796">
        <v>0.06</v>
      </c>
      <c r="I110" s="796">
        <v>0</v>
      </c>
      <c r="J110" s="796">
        <v>0</v>
      </c>
      <c r="K110" s="796">
        <v>0</v>
      </c>
      <c r="L110" s="796">
        <v>0</v>
      </c>
      <c r="M110" s="797">
        <v>0.06</v>
      </c>
      <c r="N110" s="798">
        <v>7.1428571428571369E-2</v>
      </c>
      <c r="O110" s="90" t="s">
        <v>1387</v>
      </c>
      <c r="P110" s="799" t="s">
        <v>1352</v>
      </c>
    </row>
    <row r="111" spans="1:16" ht="17">
      <c r="A111" s="774" t="s">
        <v>1310</v>
      </c>
      <c r="B111" s="813">
        <v>0</v>
      </c>
      <c r="C111" s="813">
        <v>0</v>
      </c>
      <c r="D111" s="813">
        <v>0</v>
      </c>
      <c r="E111" s="813">
        <v>0</v>
      </c>
      <c r="F111" s="813">
        <v>0</v>
      </c>
      <c r="G111" s="814">
        <v>0</v>
      </c>
      <c r="H111" s="796">
        <v>0</v>
      </c>
      <c r="I111" s="796">
        <v>0</v>
      </c>
      <c r="J111" s="796">
        <v>0</v>
      </c>
      <c r="K111" s="796">
        <v>0</v>
      </c>
      <c r="L111" s="796">
        <v>0</v>
      </c>
      <c r="M111" s="814">
        <v>0</v>
      </c>
      <c r="N111" s="798" t="s">
        <v>155</v>
      </c>
      <c r="O111" s="205" t="s">
        <v>337</v>
      </c>
      <c r="P111" s="192" t="s">
        <v>337</v>
      </c>
    </row>
    <row r="112" spans="1:16" ht="17">
      <c r="A112" s="774" t="s">
        <v>1311</v>
      </c>
      <c r="B112" s="813">
        <v>0.76100000000000001</v>
      </c>
      <c r="C112" s="813">
        <v>0</v>
      </c>
      <c r="D112" s="813">
        <v>0</v>
      </c>
      <c r="E112" s="813">
        <v>0</v>
      </c>
      <c r="F112" s="813">
        <v>0</v>
      </c>
      <c r="G112" s="814">
        <v>0.76100000000000001</v>
      </c>
      <c r="H112" s="796">
        <v>0.76200000000000001</v>
      </c>
      <c r="I112" s="796">
        <v>0</v>
      </c>
      <c r="J112" s="796">
        <v>0</v>
      </c>
      <c r="K112" s="796">
        <v>0</v>
      </c>
      <c r="L112" s="796">
        <v>0</v>
      </c>
      <c r="M112" s="814">
        <v>0.76200000000000001</v>
      </c>
      <c r="N112" s="798">
        <v>1.314060446780553E-3</v>
      </c>
      <c r="O112" s="205" t="s">
        <v>1388</v>
      </c>
      <c r="P112" s="192" t="s">
        <v>1352</v>
      </c>
    </row>
    <row r="113" spans="1:16" ht="68">
      <c r="A113" s="774" t="s">
        <v>1312</v>
      </c>
      <c r="B113" s="813">
        <v>18.812999999999999</v>
      </c>
      <c r="C113" s="813">
        <v>0</v>
      </c>
      <c r="D113" s="813">
        <v>0</v>
      </c>
      <c r="E113" s="813">
        <v>0</v>
      </c>
      <c r="F113" s="813">
        <v>0</v>
      </c>
      <c r="G113" s="814">
        <v>18.812999999999999</v>
      </c>
      <c r="H113" s="796">
        <v>24.75</v>
      </c>
      <c r="I113" s="796">
        <v>0</v>
      </c>
      <c r="J113" s="796">
        <v>0</v>
      </c>
      <c r="K113" s="796">
        <v>0</v>
      </c>
      <c r="L113" s="796">
        <v>0</v>
      </c>
      <c r="M113" s="814">
        <v>24.75</v>
      </c>
      <c r="N113" s="798">
        <v>0.31557965236804347</v>
      </c>
      <c r="O113" s="205" t="s">
        <v>1389</v>
      </c>
      <c r="P113" s="192" t="s">
        <v>1390</v>
      </c>
    </row>
    <row r="114" spans="1:16" ht="17">
      <c r="A114" s="499" t="s">
        <v>1313</v>
      </c>
      <c r="B114" s="248">
        <v>19.63</v>
      </c>
      <c r="C114" s="248">
        <v>0</v>
      </c>
      <c r="D114" s="248">
        <v>0</v>
      </c>
      <c r="E114" s="248">
        <v>0</v>
      </c>
      <c r="F114" s="248">
        <v>0</v>
      </c>
      <c r="G114" s="248">
        <v>19.63</v>
      </c>
      <c r="H114" s="248">
        <v>25.571999999999999</v>
      </c>
      <c r="I114" s="248">
        <v>0</v>
      </c>
      <c r="J114" s="248">
        <v>0</v>
      </c>
      <c r="K114" s="248">
        <v>0</v>
      </c>
      <c r="L114" s="248">
        <v>0</v>
      </c>
      <c r="M114" s="248">
        <v>25.571999999999999</v>
      </c>
      <c r="N114" s="439">
        <v>0.30269994905756498</v>
      </c>
      <c r="O114" s="541"/>
      <c r="P114" s="542"/>
    </row>
    <row r="115" spans="1:16" ht="16">
      <c r="A115" s="770"/>
      <c r="B115" s="829"/>
      <c r="C115" s="829"/>
      <c r="D115" s="829"/>
      <c r="E115" s="829"/>
      <c r="F115" s="829"/>
      <c r="G115" s="829"/>
      <c r="H115" s="829"/>
      <c r="I115" s="829"/>
      <c r="J115" s="829"/>
      <c r="K115" s="829"/>
      <c r="L115" s="829"/>
      <c r="M115" s="829"/>
      <c r="N115" s="806"/>
      <c r="O115" s="662"/>
      <c r="P115" s="662"/>
    </row>
    <row r="116" spans="1:16" ht="17">
      <c r="A116" s="495" t="s">
        <v>1314</v>
      </c>
      <c r="B116" s="224"/>
      <c r="C116" s="224"/>
      <c r="D116" s="224"/>
      <c r="E116" s="224"/>
      <c r="F116" s="224"/>
      <c r="G116" s="224"/>
      <c r="H116" s="224"/>
      <c r="I116" s="224"/>
      <c r="J116" s="224"/>
      <c r="K116" s="224"/>
      <c r="L116" s="224"/>
      <c r="M116" s="224"/>
      <c r="N116" s="441"/>
      <c r="O116" s="804"/>
      <c r="P116" s="804"/>
    </row>
    <row r="117" spans="1:16" ht="68">
      <c r="A117" s="771" t="s">
        <v>1314</v>
      </c>
      <c r="B117" s="796">
        <v>7.8</v>
      </c>
      <c r="C117" s="796">
        <v>0</v>
      </c>
      <c r="D117" s="796">
        <v>3.8</v>
      </c>
      <c r="E117" s="796">
        <v>0</v>
      </c>
      <c r="F117" s="796">
        <v>0</v>
      </c>
      <c r="G117" s="797">
        <v>11.6</v>
      </c>
      <c r="H117" s="796">
        <v>11.6</v>
      </c>
      <c r="I117" s="796">
        <v>0</v>
      </c>
      <c r="J117" s="796">
        <v>0</v>
      </c>
      <c r="K117" s="796">
        <v>0</v>
      </c>
      <c r="L117" s="796">
        <v>0</v>
      </c>
      <c r="M117" s="797">
        <v>11.6</v>
      </c>
      <c r="N117" s="798">
        <v>0</v>
      </c>
      <c r="O117" s="90" t="s">
        <v>1391</v>
      </c>
      <c r="P117" s="799" t="s">
        <v>1392</v>
      </c>
    </row>
    <row r="118" spans="1:16" ht="17">
      <c r="A118" s="499" t="s">
        <v>1315</v>
      </c>
      <c r="B118" s="248">
        <v>7.8</v>
      </c>
      <c r="C118" s="248">
        <v>0</v>
      </c>
      <c r="D118" s="248">
        <v>3.8</v>
      </c>
      <c r="E118" s="248">
        <v>0</v>
      </c>
      <c r="F118" s="248">
        <v>0</v>
      </c>
      <c r="G118" s="248">
        <v>11.6</v>
      </c>
      <c r="H118" s="248">
        <v>11.6</v>
      </c>
      <c r="I118" s="248">
        <v>0</v>
      </c>
      <c r="J118" s="248">
        <v>0</v>
      </c>
      <c r="K118" s="248">
        <v>0</v>
      </c>
      <c r="L118" s="248">
        <v>0</v>
      </c>
      <c r="M118" s="248">
        <v>11.6</v>
      </c>
      <c r="N118" s="439">
        <v>0</v>
      </c>
      <c r="O118" s="800"/>
      <c r="P118" s="801"/>
    </row>
    <row r="119" spans="1:16" ht="16">
      <c r="A119" s="770"/>
      <c r="B119" s="829"/>
      <c r="C119" s="829"/>
      <c r="D119" s="829"/>
      <c r="E119" s="829"/>
      <c r="F119" s="829"/>
      <c r="G119" s="829"/>
      <c r="H119" s="829"/>
      <c r="I119" s="829"/>
      <c r="J119" s="829"/>
      <c r="K119" s="829"/>
      <c r="L119" s="829"/>
      <c r="M119" s="829"/>
      <c r="N119" s="806"/>
      <c r="O119" s="662"/>
      <c r="P119" s="662"/>
    </row>
    <row r="120" spans="1:16" ht="17">
      <c r="A120" s="495" t="s">
        <v>1316</v>
      </c>
      <c r="B120" s="224"/>
      <c r="C120" s="224"/>
      <c r="D120" s="224"/>
      <c r="E120" s="224"/>
      <c r="F120" s="224"/>
      <c r="G120" s="224"/>
      <c r="H120" s="224"/>
      <c r="I120" s="224"/>
      <c r="J120" s="224"/>
      <c r="K120" s="224"/>
      <c r="L120" s="224"/>
      <c r="M120" s="224"/>
      <c r="N120" s="441"/>
      <c r="O120" s="535"/>
      <c r="P120" s="535"/>
    </row>
    <row r="121" spans="1:16" ht="17">
      <c r="A121" s="771" t="s">
        <v>1317</v>
      </c>
      <c r="B121" s="796">
        <v>0</v>
      </c>
      <c r="C121" s="796">
        <v>0</v>
      </c>
      <c r="D121" s="796">
        <v>0</v>
      </c>
      <c r="E121" s="796">
        <v>0</v>
      </c>
      <c r="F121" s="796">
        <v>0</v>
      </c>
      <c r="G121" s="797">
        <v>0</v>
      </c>
      <c r="H121" s="796">
        <v>0</v>
      </c>
      <c r="I121" s="796">
        <v>0</v>
      </c>
      <c r="J121" s="796">
        <v>0</v>
      </c>
      <c r="K121" s="796">
        <v>0</v>
      </c>
      <c r="L121" s="796">
        <v>0</v>
      </c>
      <c r="M121" s="797">
        <v>0</v>
      </c>
      <c r="N121" s="798" t="s">
        <v>155</v>
      </c>
      <c r="O121" s="90" t="s">
        <v>337</v>
      </c>
      <c r="P121" s="799" t="s">
        <v>337</v>
      </c>
    </row>
    <row r="122" spans="1:16" ht="17">
      <c r="A122" s="774" t="s">
        <v>1318</v>
      </c>
      <c r="B122" s="813">
        <v>10.518000000000001</v>
      </c>
      <c r="C122" s="813">
        <v>0</v>
      </c>
      <c r="D122" s="813">
        <v>0</v>
      </c>
      <c r="E122" s="813">
        <v>0</v>
      </c>
      <c r="F122" s="813">
        <v>0</v>
      </c>
      <c r="G122" s="814">
        <v>10.518000000000001</v>
      </c>
      <c r="H122" s="796">
        <v>8.4</v>
      </c>
      <c r="I122" s="796">
        <v>0</v>
      </c>
      <c r="J122" s="796">
        <v>0</v>
      </c>
      <c r="K122" s="796">
        <v>0</v>
      </c>
      <c r="L122" s="796">
        <v>0</v>
      </c>
      <c r="M122" s="814">
        <v>8.4</v>
      </c>
      <c r="N122" s="798">
        <v>-0.20136908157444383</v>
      </c>
      <c r="O122" s="205" t="s">
        <v>1393</v>
      </c>
      <c r="P122" s="192" t="s">
        <v>1394</v>
      </c>
    </row>
    <row r="123" spans="1:16" ht="17">
      <c r="A123" s="499" t="s">
        <v>1319</v>
      </c>
      <c r="B123" s="248">
        <v>10.518000000000001</v>
      </c>
      <c r="C123" s="248">
        <v>0</v>
      </c>
      <c r="D123" s="248">
        <v>0</v>
      </c>
      <c r="E123" s="248">
        <v>0</v>
      </c>
      <c r="F123" s="248">
        <v>0</v>
      </c>
      <c r="G123" s="248">
        <v>10.518000000000001</v>
      </c>
      <c r="H123" s="248">
        <v>8.4</v>
      </c>
      <c r="I123" s="248">
        <v>0</v>
      </c>
      <c r="J123" s="248">
        <v>0</v>
      </c>
      <c r="K123" s="248">
        <v>0</v>
      </c>
      <c r="L123" s="248">
        <v>0</v>
      </c>
      <c r="M123" s="248">
        <v>8.4</v>
      </c>
      <c r="N123" s="439">
        <v>-0.20136908157444383</v>
      </c>
      <c r="O123" s="541"/>
      <c r="P123" s="542"/>
    </row>
    <row r="124" spans="1:16" ht="16">
      <c r="A124" s="779"/>
      <c r="B124" s="829"/>
      <c r="C124" s="829"/>
      <c r="D124" s="829"/>
      <c r="E124" s="829"/>
      <c r="F124" s="829"/>
      <c r="G124" s="829"/>
      <c r="H124" s="829"/>
      <c r="I124" s="829"/>
      <c r="J124" s="829"/>
      <c r="K124" s="829"/>
      <c r="L124" s="829"/>
      <c r="M124" s="829"/>
      <c r="N124" s="824"/>
      <c r="O124" s="662"/>
      <c r="P124" s="662"/>
    </row>
    <row r="125" spans="1:16" ht="17">
      <c r="A125" s="780" t="s">
        <v>1320</v>
      </c>
      <c r="B125" s="819">
        <v>50.32</v>
      </c>
      <c r="C125" s="819">
        <v>6.5000000000000002E-2</v>
      </c>
      <c r="D125" s="819">
        <v>3.8</v>
      </c>
      <c r="E125" s="819">
        <v>0</v>
      </c>
      <c r="F125" s="819">
        <v>0</v>
      </c>
      <c r="G125" s="819">
        <v>54.185000000000002</v>
      </c>
      <c r="H125" s="819">
        <v>58.354000000000006</v>
      </c>
      <c r="I125" s="819">
        <v>6.5000000000000002E-2</v>
      </c>
      <c r="J125" s="819">
        <v>0</v>
      </c>
      <c r="K125" s="819">
        <v>0</v>
      </c>
      <c r="L125" s="819">
        <v>0</v>
      </c>
      <c r="M125" s="819">
        <v>58.419000000000004</v>
      </c>
      <c r="N125" s="820">
        <v>7.8139706560856351E-2</v>
      </c>
      <c r="O125" s="821"/>
      <c r="P125" s="822"/>
    </row>
    <row r="126" spans="1:16" ht="16">
      <c r="A126" s="172"/>
      <c r="B126" s="831"/>
      <c r="C126" s="831"/>
      <c r="D126" s="831"/>
      <c r="E126" s="831"/>
      <c r="F126" s="831"/>
      <c r="G126" s="832"/>
      <c r="H126" s="832"/>
      <c r="I126" s="832"/>
      <c r="J126" s="832"/>
      <c r="K126" s="832"/>
      <c r="L126" s="832"/>
      <c r="M126" s="832"/>
      <c r="N126" s="833"/>
      <c r="O126" s="834"/>
      <c r="P126" s="835"/>
    </row>
    <row r="127" spans="1:16" ht="17">
      <c r="A127" s="777" t="s">
        <v>1321</v>
      </c>
      <c r="B127" s="826"/>
      <c r="C127" s="826"/>
      <c r="D127" s="826"/>
      <c r="E127" s="826"/>
      <c r="F127" s="826"/>
      <c r="G127" s="826"/>
      <c r="H127" s="826"/>
      <c r="I127" s="826"/>
      <c r="J127" s="826"/>
      <c r="K127" s="826"/>
      <c r="L127" s="826"/>
      <c r="M127" s="826"/>
      <c r="N127" s="459"/>
      <c r="O127" s="827"/>
      <c r="P127" s="827"/>
    </row>
    <row r="128" spans="1:16" ht="16">
      <c r="A128" s="172"/>
      <c r="B128" s="831"/>
      <c r="C128" s="831"/>
      <c r="D128" s="831"/>
      <c r="E128" s="831"/>
      <c r="F128" s="831"/>
      <c r="G128" s="832"/>
      <c r="H128" s="832"/>
      <c r="I128" s="832"/>
      <c r="J128" s="832"/>
      <c r="K128" s="832"/>
      <c r="L128" s="832"/>
      <c r="M128" s="832"/>
      <c r="N128" s="833"/>
      <c r="O128" s="834"/>
      <c r="P128" s="835"/>
    </row>
    <row r="129" spans="1:16" ht="17">
      <c r="A129" s="495" t="s">
        <v>1322</v>
      </c>
      <c r="B129" s="224"/>
      <c r="C129" s="224"/>
      <c r="D129" s="224"/>
      <c r="E129" s="224"/>
      <c r="F129" s="224"/>
      <c r="G129" s="224"/>
      <c r="H129" s="224"/>
      <c r="I129" s="224"/>
      <c r="J129" s="224"/>
      <c r="K129" s="224"/>
      <c r="L129" s="224"/>
      <c r="M129" s="224"/>
      <c r="N129" s="441"/>
      <c r="O129" s="535"/>
      <c r="P129" s="535"/>
    </row>
    <row r="130" spans="1:16" ht="51">
      <c r="A130" s="771" t="s">
        <v>1322</v>
      </c>
      <c r="B130" s="796">
        <v>14.5</v>
      </c>
      <c r="C130" s="796">
        <v>0</v>
      </c>
      <c r="D130" s="796">
        <v>0</v>
      </c>
      <c r="E130" s="796">
        <v>0</v>
      </c>
      <c r="F130" s="796">
        <v>0</v>
      </c>
      <c r="G130" s="797">
        <v>14.5</v>
      </c>
      <c r="H130" s="796">
        <v>4.5</v>
      </c>
      <c r="I130" s="796">
        <v>0</v>
      </c>
      <c r="J130" s="796">
        <v>10</v>
      </c>
      <c r="K130" s="796">
        <v>0</v>
      </c>
      <c r="L130" s="796">
        <v>0</v>
      </c>
      <c r="M130" s="797">
        <v>14.5</v>
      </c>
      <c r="N130" s="798">
        <v>0</v>
      </c>
      <c r="O130" s="90" t="s">
        <v>1395</v>
      </c>
      <c r="P130" s="799" t="s">
        <v>1396</v>
      </c>
    </row>
    <row r="131" spans="1:16" ht="17">
      <c r="A131" s="499" t="s">
        <v>1323</v>
      </c>
      <c r="B131" s="248">
        <v>14.5</v>
      </c>
      <c r="C131" s="248">
        <v>0</v>
      </c>
      <c r="D131" s="248">
        <v>0</v>
      </c>
      <c r="E131" s="248">
        <v>0</v>
      </c>
      <c r="F131" s="248">
        <v>0</v>
      </c>
      <c r="G131" s="248">
        <v>14.5</v>
      </c>
      <c r="H131" s="248">
        <v>4.5</v>
      </c>
      <c r="I131" s="248">
        <v>0</v>
      </c>
      <c r="J131" s="248">
        <v>10</v>
      </c>
      <c r="K131" s="248">
        <v>0</v>
      </c>
      <c r="L131" s="248">
        <v>0</v>
      </c>
      <c r="M131" s="248">
        <v>14.5</v>
      </c>
      <c r="N131" s="439">
        <v>0</v>
      </c>
      <c r="O131" s="541"/>
      <c r="P131" s="542"/>
    </row>
    <row r="132" spans="1:16" ht="16">
      <c r="A132" s="172"/>
      <c r="B132" s="831"/>
      <c r="C132" s="831"/>
      <c r="D132" s="831"/>
      <c r="E132" s="831"/>
      <c r="F132" s="831"/>
      <c r="G132" s="832"/>
      <c r="H132" s="832"/>
      <c r="I132" s="832"/>
      <c r="J132" s="832"/>
      <c r="K132" s="832"/>
      <c r="L132" s="832"/>
      <c r="M132" s="832"/>
      <c r="N132" s="833"/>
      <c r="O132" s="834"/>
      <c r="P132" s="835"/>
    </row>
    <row r="133" spans="1:16" ht="17">
      <c r="A133" s="495" t="s">
        <v>1324</v>
      </c>
      <c r="B133" s="224"/>
      <c r="C133" s="224"/>
      <c r="D133" s="224"/>
      <c r="E133" s="224"/>
      <c r="F133" s="224"/>
      <c r="G133" s="224"/>
      <c r="H133" s="224"/>
      <c r="I133" s="224"/>
      <c r="J133" s="224"/>
      <c r="K133" s="224"/>
      <c r="L133" s="224"/>
      <c r="M133" s="224"/>
      <c r="N133" s="441"/>
      <c r="O133" s="535"/>
      <c r="P133" s="535"/>
    </row>
    <row r="134" spans="1:16" ht="102">
      <c r="A134" s="771" t="s">
        <v>1325</v>
      </c>
      <c r="B134" s="796">
        <v>4.5</v>
      </c>
      <c r="C134" s="796">
        <v>0</v>
      </c>
      <c r="D134" s="796">
        <v>0</v>
      </c>
      <c r="E134" s="796">
        <v>0</v>
      </c>
      <c r="F134" s="796">
        <v>0</v>
      </c>
      <c r="G134" s="797">
        <v>4.5</v>
      </c>
      <c r="H134" s="796">
        <v>2</v>
      </c>
      <c r="I134" s="796">
        <v>0</v>
      </c>
      <c r="J134" s="796">
        <v>0</v>
      </c>
      <c r="K134" s="796">
        <v>0</v>
      </c>
      <c r="L134" s="796">
        <v>0</v>
      </c>
      <c r="M134" s="797">
        <v>2</v>
      </c>
      <c r="N134" s="798">
        <v>-0.55555555555555558</v>
      </c>
      <c r="O134" s="90" t="s">
        <v>1397</v>
      </c>
      <c r="P134" s="799" t="s">
        <v>1398</v>
      </c>
    </row>
    <row r="135" spans="1:16" ht="17">
      <c r="A135" s="774" t="s">
        <v>1326</v>
      </c>
      <c r="B135" s="813">
        <v>0</v>
      </c>
      <c r="C135" s="813">
        <v>0</v>
      </c>
      <c r="D135" s="813">
        <v>9.6</v>
      </c>
      <c r="E135" s="813">
        <v>0</v>
      </c>
      <c r="F135" s="813">
        <v>0</v>
      </c>
      <c r="G135" s="814">
        <v>9.6</v>
      </c>
      <c r="H135" s="796">
        <v>0</v>
      </c>
      <c r="I135" s="796">
        <v>0</v>
      </c>
      <c r="J135" s="796">
        <v>3.2</v>
      </c>
      <c r="K135" s="796">
        <v>0</v>
      </c>
      <c r="L135" s="796">
        <v>0</v>
      </c>
      <c r="M135" s="814">
        <v>3.2</v>
      </c>
      <c r="N135" s="798">
        <v>-0.66666666666666663</v>
      </c>
      <c r="O135" s="205" t="s">
        <v>1399</v>
      </c>
      <c r="P135" s="192" t="s">
        <v>1398</v>
      </c>
    </row>
    <row r="136" spans="1:16" ht="17">
      <c r="A136" s="499" t="s">
        <v>1327</v>
      </c>
      <c r="B136" s="248">
        <v>4.5</v>
      </c>
      <c r="C136" s="248">
        <v>0</v>
      </c>
      <c r="D136" s="248">
        <v>9.6</v>
      </c>
      <c r="E136" s="248">
        <v>0</v>
      </c>
      <c r="F136" s="248">
        <v>0</v>
      </c>
      <c r="G136" s="248">
        <v>14.1</v>
      </c>
      <c r="H136" s="248">
        <v>2</v>
      </c>
      <c r="I136" s="248">
        <v>0</v>
      </c>
      <c r="J136" s="248">
        <v>3.2</v>
      </c>
      <c r="K136" s="248">
        <v>0</v>
      </c>
      <c r="L136" s="248">
        <v>0</v>
      </c>
      <c r="M136" s="248">
        <v>5.2</v>
      </c>
      <c r="N136" s="439">
        <v>-0.63120567375886516</v>
      </c>
      <c r="O136" s="541"/>
      <c r="P136" s="542"/>
    </row>
    <row r="137" spans="1:16" ht="16">
      <c r="A137" s="770"/>
      <c r="B137" s="836"/>
      <c r="C137" s="836"/>
      <c r="D137" s="836"/>
      <c r="E137" s="836"/>
      <c r="F137" s="836"/>
      <c r="G137" s="836"/>
      <c r="H137" s="836"/>
      <c r="I137" s="836"/>
      <c r="J137" s="836"/>
      <c r="K137" s="836"/>
      <c r="L137" s="836"/>
      <c r="M137" s="836"/>
      <c r="N137" s="806"/>
      <c r="O137" s="662"/>
      <c r="P137" s="662"/>
    </row>
    <row r="138" spans="1:16" ht="17">
      <c r="A138" s="495" t="s">
        <v>1328</v>
      </c>
      <c r="B138" s="224"/>
      <c r="C138" s="224"/>
      <c r="D138" s="224"/>
      <c r="E138" s="224"/>
      <c r="F138" s="224"/>
      <c r="G138" s="224"/>
      <c r="H138" s="224"/>
      <c r="I138" s="224"/>
      <c r="J138" s="224"/>
      <c r="K138" s="224"/>
      <c r="L138" s="224"/>
      <c r="M138" s="224"/>
      <c r="N138" s="441"/>
      <c r="O138" s="535"/>
      <c r="P138" s="535"/>
    </row>
    <row r="139" spans="1:16" ht="17">
      <c r="A139" s="771" t="s">
        <v>1328</v>
      </c>
      <c r="B139" s="796">
        <v>0</v>
      </c>
      <c r="C139" s="796">
        <v>0</v>
      </c>
      <c r="D139" s="796">
        <v>1</v>
      </c>
      <c r="E139" s="796">
        <v>0</v>
      </c>
      <c r="F139" s="796">
        <v>0</v>
      </c>
      <c r="G139" s="797">
        <v>1</v>
      </c>
      <c r="H139" s="796">
        <v>0</v>
      </c>
      <c r="I139" s="796">
        <v>0</v>
      </c>
      <c r="J139" s="796">
        <v>1</v>
      </c>
      <c r="K139" s="796">
        <v>0</v>
      </c>
      <c r="L139" s="796">
        <v>0</v>
      </c>
      <c r="M139" s="797">
        <v>1</v>
      </c>
      <c r="N139" s="798">
        <v>0</v>
      </c>
      <c r="O139" s="90" t="s">
        <v>1400</v>
      </c>
      <c r="P139" s="799" t="s">
        <v>1343</v>
      </c>
    </row>
    <row r="140" spans="1:16" ht="17">
      <c r="A140" s="499" t="s">
        <v>1329</v>
      </c>
      <c r="B140" s="248">
        <v>0</v>
      </c>
      <c r="C140" s="248">
        <v>0</v>
      </c>
      <c r="D140" s="248">
        <v>1</v>
      </c>
      <c r="E140" s="248">
        <v>0</v>
      </c>
      <c r="F140" s="248">
        <v>0</v>
      </c>
      <c r="G140" s="248">
        <v>1</v>
      </c>
      <c r="H140" s="248">
        <v>0</v>
      </c>
      <c r="I140" s="248">
        <v>0</v>
      </c>
      <c r="J140" s="248">
        <v>1</v>
      </c>
      <c r="K140" s="248">
        <v>0</v>
      </c>
      <c r="L140" s="248">
        <v>0</v>
      </c>
      <c r="M140" s="248">
        <v>1</v>
      </c>
      <c r="N140" s="439">
        <v>0</v>
      </c>
      <c r="O140" s="541"/>
      <c r="P140" s="542"/>
    </row>
    <row r="141" spans="1:16" ht="16">
      <c r="A141" s="770"/>
      <c r="B141" s="836"/>
      <c r="C141" s="836"/>
      <c r="D141" s="836"/>
      <c r="E141" s="836"/>
      <c r="F141" s="836"/>
      <c r="G141" s="836"/>
      <c r="H141" s="836"/>
      <c r="I141" s="836"/>
      <c r="J141" s="836"/>
      <c r="K141" s="836"/>
      <c r="L141" s="836"/>
      <c r="M141" s="836"/>
      <c r="N141" s="662"/>
      <c r="O141" s="662"/>
      <c r="P141" s="662"/>
    </row>
    <row r="142" spans="1:16" ht="17">
      <c r="A142" s="495" t="s">
        <v>1330</v>
      </c>
      <c r="B142" s="224"/>
      <c r="C142" s="224"/>
      <c r="D142" s="224"/>
      <c r="E142" s="224"/>
      <c r="F142" s="224"/>
      <c r="G142" s="224"/>
      <c r="H142" s="224"/>
      <c r="I142" s="224"/>
      <c r="J142" s="224"/>
      <c r="K142" s="224"/>
      <c r="L142" s="224"/>
      <c r="M142" s="224"/>
      <c r="N142" s="441"/>
      <c r="O142" s="535"/>
      <c r="P142" s="535"/>
    </row>
    <row r="143" spans="1:16" ht="51">
      <c r="A143" s="771" t="s">
        <v>1330</v>
      </c>
      <c r="B143" s="796">
        <v>-3</v>
      </c>
      <c r="C143" s="796">
        <v>0</v>
      </c>
      <c r="D143" s="796">
        <v>-6.2</v>
      </c>
      <c r="E143" s="796">
        <v>0</v>
      </c>
      <c r="F143" s="796">
        <v>0</v>
      </c>
      <c r="G143" s="797">
        <v>-9.1999999999999993</v>
      </c>
      <c r="H143" s="796">
        <v>-1.5</v>
      </c>
      <c r="I143" s="796">
        <v>0</v>
      </c>
      <c r="J143" s="796">
        <v>-2.1</v>
      </c>
      <c r="K143" s="796">
        <v>0</v>
      </c>
      <c r="L143" s="796">
        <v>0</v>
      </c>
      <c r="M143" s="797">
        <v>-3.6</v>
      </c>
      <c r="N143" s="798">
        <v>-0.60869565217391308</v>
      </c>
      <c r="O143" s="90" t="s">
        <v>1401</v>
      </c>
      <c r="P143" s="799" t="s">
        <v>1402</v>
      </c>
    </row>
    <row r="144" spans="1:16" ht="17">
      <c r="A144" s="499" t="s">
        <v>1331</v>
      </c>
      <c r="B144" s="248">
        <v>-3</v>
      </c>
      <c r="C144" s="248">
        <v>0</v>
      </c>
      <c r="D144" s="248">
        <v>-6.2</v>
      </c>
      <c r="E144" s="248">
        <v>0</v>
      </c>
      <c r="F144" s="248">
        <v>0</v>
      </c>
      <c r="G144" s="248">
        <v>-9.1999999999999993</v>
      </c>
      <c r="H144" s="248">
        <v>-1.5</v>
      </c>
      <c r="I144" s="248">
        <v>0</v>
      </c>
      <c r="J144" s="248">
        <v>-2.1</v>
      </c>
      <c r="K144" s="248">
        <v>0</v>
      </c>
      <c r="L144" s="248">
        <v>0</v>
      </c>
      <c r="M144" s="248">
        <v>-3.6</v>
      </c>
      <c r="N144" s="439">
        <v>-0.60869565217391308</v>
      </c>
      <c r="O144" s="541"/>
      <c r="P144" s="542"/>
    </row>
    <row r="145" spans="1:16" ht="16">
      <c r="A145" s="770"/>
      <c r="B145" s="837"/>
      <c r="C145" s="837"/>
      <c r="D145" s="837"/>
      <c r="E145" s="837"/>
      <c r="F145" s="837"/>
      <c r="G145" s="836"/>
      <c r="H145" s="836"/>
      <c r="I145" s="836"/>
      <c r="J145" s="836"/>
      <c r="K145" s="836"/>
      <c r="L145" s="836"/>
      <c r="M145" s="836"/>
      <c r="N145" s="838"/>
      <c r="O145" s="662"/>
      <c r="P145" s="662"/>
    </row>
    <row r="146" spans="1:16" ht="17">
      <c r="A146" s="781" t="s">
        <v>1332</v>
      </c>
      <c r="B146" s="839">
        <v>16</v>
      </c>
      <c r="C146" s="839">
        <v>0</v>
      </c>
      <c r="D146" s="839">
        <v>4.3999999999999995</v>
      </c>
      <c r="E146" s="839">
        <v>0</v>
      </c>
      <c r="F146" s="839">
        <v>0</v>
      </c>
      <c r="G146" s="839">
        <v>20.399999999999999</v>
      </c>
      <c r="H146" s="839">
        <v>5</v>
      </c>
      <c r="I146" s="839">
        <v>0</v>
      </c>
      <c r="J146" s="839">
        <v>12.1</v>
      </c>
      <c r="K146" s="839">
        <v>0</v>
      </c>
      <c r="L146" s="839">
        <v>0</v>
      </c>
      <c r="M146" s="839">
        <v>17.100000000000001</v>
      </c>
      <c r="N146" s="820">
        <v>-0.16176470588235281</v>
      </c>
      <c r="O146" s="840"/>
      <c r="P146" s="841"/>
    </row>
    <row r="148" spans="1:16" ht="17">
      <c r="A148" s="782" t="s">
        <v>1333</v>
      </c>
      <c r="B148" s="826"/>
      <c r="C148" s="826"/>
      <c r="D148" s="826"/>
      <c r="E148" s="826"/>
      <c r="F148" s="826"/>
      <c r="G148" s="826"/>
      <c r="H148" s="826"/>
      <c r="I148" s="826"/>
      <c r="J148" s="826"/>
      <c r="K148" s="826"/>
      <c r="L148" s="826"/>
      <c r="M148" s="826"/>
      <c r="N148" s="842"/>
      <c r="O148" s="843"/>
      <c r="P148" s="843"/>
    </row>
    <row r="149" spans="1:16" ht="136">
      <c r="A149" s="783" t="s">
        <v>1334</v>
      </c>
      <c r="B149" s="796">
        <v>80.567999999999998</v>
      </c>
      <c r="C149" s="796">
        <v>5.0609999999999999</v>
      </c>
      <c r="D149" s="796">
        <v>9.1</v>
      </c>
      <c r="E149" s="796">
        <v>0</v>
      </c>
      <c r="F149" s="796">
        <v>0</v>
      </c>
      <c r="G149" s="797">
        <v>94.728999999999985</v>
      </c>
      <c r="H149" s="796">
        <v>94.93</v>
      </c>
      <c r="I149" s="796">
        <v>5.726</v>
      </c>
      <c r="J149" s="796">
        <v>8</v>
      </c>
      <c r="K149" s="796">
        <v>0</v>
      </c>
      <c r="L149" s="796">
        <v>0</v>
      </c>
      <c r="M149" s="797">
        <v>108.65600000000001</v>
      </c>
      <c r="N149" s="798">
        <v>0.14701939216079576</v>
      </c>
      <c r="O149" s="844" t="s">
        <v>1403</v>
      </c>
      <c r="P149" s="845" t="s">
        <v>337</v>
      </c>
    </row>
    <row r="150" spans="1:16" ht="17">
      <c r="A150" s="784" t="s">
        <v>1335</v>
      </c>
      <c r="B150" s="839">
        <v>80.567999999999998</v>
      </c>
      <c r="C150" s="839">
        <v>5.0609999999999999</v>
      </c>
      <c r="D150" s="839">
        <v>9.1</v>
      </c>
      <c r="E150" s="839">
        <v>0</v>
      </c>
      <c r="F150" s="839">
        <v>0</v>
      </c>
      <c r="G150" s="839">
        <v>94.728999999999985</v>
      </c>
      <c r="H150" s="839">
        <v>94.93</v>
      </c>
      <c r="I150" s="839">
        <v>5.726</v>
      </c>
      <c r="J150" s="839">
        <v>8</v>
      </c>
      <c r="K150" s="839">
        <v>0</v>
      </c>
      <c r="L150" s="839">
        <v>0</v>
      </c>
      <c r="M150" s="839">
        <v>108.65600000000001</v>
      </c>
      <c r="N150" s="820">
        <v>0.14701939216079576</v>
      </c>
      <c r="O150" s="846"/>
      <c r="P150" s="847"/>
    </row>
    <row r="151" spans="1:16" ht="16">
      <c r="A151" s="785"/>
      <c r="B151" s="848"/>
      <c r="C151" s="848"/>
      <c r="D151" s="848"/>
      <c r="E151" s="848"/>
      <c r="F151" s="848"/>
      <c r="G151" s="849"/>
      <c r="H151" s="849"/>
      <c r="I151" s="849"/>
      <c r="J151" s="849"/>
      <c r="K151" s="849"/>
      <c r="L151" s="849"/>
      <c r="M151" s="849"/>
      <c r="N151" s="850"/>
      <c r="O151" s="851"/>
      <c r="P151" s="852"/>
    </row>
    <row r="152" spans="1:16" ht="17">
      <c r="A152" s="786" t="s">
        <v>1336</v>
      </c>
      <c r="B152" s="235"/>
      <c r="C152" s="235"/>
      <c r="D152" s="235"/>
      <c r="E152" s="235"/>
      <c r="F152" s="235"/>
      <c r="G152" s="235"/>
      <c r="H152" s="235"/>
      <c r="I152" s="235"/>
      <c r="J152" s="235"/>
      <c r="K152" s="235"/>
      <c r="L152" s="235"/>
      <c r="M152" s="235"/>
      <c r="N152" s="853"/>
      <c r="O152" s="854"/>
      <c r="P152" s="854"/>
    </row>
    <row r="153" spans="1:16" ht="68">
      <c r="A153" s="787" t="s">
        <v>1337</v>
      </c>
      <c r="B153" s="855">
        <v>2</v>
      </c>
      <c r="C153" s="855">
        <v>0</v>
      </c>
      <c r="D153" s="855">
        <v>1</v>
      </c>
      <c r="E153" s="855">
        <v>0</v>
      </c>
      <c r="F153" s="855">
        <v>0</v>
      </c>
      <c r="G153" s="856">
        <v>3</v>
      </c>
      <c r="H153" s="796">
        <v>2</v>
      </c>
      <c r="I153" s="796">
        <v>0</v>
      </c>
      <c r="J153" s="796">
        <v>1</v>
      </c>
      <c r="K153" s="796">
        <v>0</v>
      </c>
      <c r="L153" s="796">
        <v>0</v>
      </c>
      <c r="M153" s="856">
        <v>3</v>
      </c>
      <c r="N153" s="798">
        <v>0</v>
      </c>
      <c r="O153" s="857" t="s">
        <v>1404</v>
      </c>
      <c r="P153" s="799" t="s">
        <v>1343</v>
      </c>
    </row>
    <row r="154" spans="1:16" ht="34">
      <c r="A154" s="787" t="s">
        <v>1338</v>
      </c>
      <c r="B154" s="855">
        <v>0</v>
      </c>
      <c r="C154" s="855">
        <v>0</v>
      </c>
      <c r="D154" s="855">
        <v>0.3</v>
      </c>
      <c r="E154" s="855">
        <v>0</v>
      </c>
      <c r="F154" s="855">
        <v>0</v>
      </c>
      <c r="G154" s="856">
        <v>0.3</v>
      </c>
      <c r="H154" s="796">
        <v>0</v>
      </c>
      <c r="I154" s="796">
        <v>0</v>
      </c>
      <c r="J154" s="796">
        <v>0</v>
      </c>
      <c r="K154" s="796">
        <v>0</v>
      </c>
      <c r="L154" s="796">
        <v>0</v>
      </c>
      <c r="M154" s="856">
        <v>0</v>
      </c>
      <c r="N154" s="798">
        <v>-1</v>
      </c>
      <c r="O154" s="857" t="s">
        <v>1405</v>
      </c>
      <c r="P154" s="799" t="s">
        <v>1406</v>
      </c>
    </row>
    <row r="155" spans="1:16" ht="34">
      <c r="A155" s="787" t="s">
        <v>1339</v>
      </c>
      <c r="B155" s="855">
        <v>1</v>
      </c>
      <c r="C155" s="855">
        <v>0</v>
      </c>
      <c r="D155" s="855">
        <v>4</v>
      </c>
      <c r="E155" s="855">
        <v>0</v>
      </c>
      <c r="F155" s="855">
        <v>0</v>
      </c>
      <c r="G155" s="856">
        <v>5</v>
      </c>
      <c r="H155" s="796">
        <v>1.5</v>
      </c>
      <c r="I155" s="796">
        <v>0</v>
      </c>
      <c r="J155" s="796">
        <v>4</v>
      </c>
      <c r="K155" s="796">
        <v>0</v>
      </c>
      <c r="L155" s="796">
        <v>0</v>
      </c>
      <c r="M155" s="856">
        <v>5.5</v>
      </c>
      <c r="N155" s="798">
        <v>0.1</v>
      </c>
      <c r="O155" s="857" t="s">
        <v>1407</v>
      </c>
      <c r="P155" s="799" t="s">
        <v>1352</v>
      </c>
    </row>
    <row r="156" spans="1:16" ht="17">
      <c r="A156" s="788" t="s">
        <v>1340</v>
      </c>
      <c r="B156" s="664">
        <v>3</v>
      </c>
      <c r="C156" s="664">
        <v>0</v>
      </c>
      <c r="D156" s="664">
        <v>5.3</v>
      </c>
      <c r="E156" s="664">
        <v>0</v>
      </c>
      <c r="F156" s="664">
        <v>0</v>
      </c>
      <c r="G156" s="664">
        <v>8.3000000000000007</v>
      </c>
      <c r="H156" s="664">
        <v>3.5</v>
      </c>
      <c r="I156" s="664">
        <v>0</v>
      </c>
      <c r="J156" s="664">
        <v>5</v>
      </c>
      <c r="K156" s="664">
        <v>0</v>
      </c>
      <c r="L156" s="664">
        <v>0</v>
      </c>
      <c r="M156" s="664">
        <v>8.5</v>
      </c>
      <c r="N156" s="820">
        <v>2.4096385542168586E-2</v>
      </c>
      <c r="O156" s="858"/>
      <c r="P156" s="859"/>
    </row>
    <row r="157" spans="1:16" ht="16">
      <c r="A157" s="789"/>
      <c r="B157" s="860"/>
      <c r="C157" s="860"/>
      <c r="D157" s="860"/>
      <c r="E157" s="860"/>
      <c r="F157" s="860"/>
      <c r="G157" s="860"/>
      <c r="H157" s="860"/>
      <c r="I157" s="860"/>
      <c r="J157" s="860"/>
      <c r="K157" s="860"/>
      <c r="L157" s="860"/>
      <c r="M157" s="860"/>
      <c r="N157" s="360"/>
      <c r="O157" s="861"/>
      <c r="P157" s="861"/>
    </row>
    <row r="158" spans="1:16" ht="17">
      <c r="A158" s="162" t="s">
        <v>272</v>
      </c>
      <c r="B158" s="247"/>
      <c r="C158" s="247"/>
      <c r="D158" s="247"/>
      <c r="E158" s="247"/>
      <c r="F158" s="247"/>
      <c r="G158" s="248"/>
      <c r="H158" s="663"/>
      <c r="I158" s="663"/>
      <c r="J158" s="663"/>
      <c r="K158" s="663"/>
      <c r="L158" s="663"/>
      <c r="M158" s="248"/>
      <c r="N158" s="360"/>
      <c r="O158" s="861"/>
      <c r="P158" s="861"/>
    </row>
    <row r="159" spans="1:16" ht="18">
      <c r="A159" s="790"/>
      <c r="B159" s="862"/>
      <c r="C159" s="862"/>
      <c r="D159" s="862"/>
      <c r="E159" s="862"/>
      <c r="F159" s="862"/>
      <c r="G159" s="862"/>
      <c r="H159" s="862"/>
      <c r="I159" s="862"/>
      <c r="J159" s="862"/>
      <c r="K159" s="862"/>
      <c r="L159" s="862"/>
      <c r="M159" s="862"/>
      <c r="N159" s="863"/>
      <c r="O159" s="864"/>
      <c r="P159" s="864"/>
    </row>
    <row r="160" spans="1:16" ht="17">
      <c r="A160" s="791" t="s">
        <v>1341</v>
      </c>
      <c r="B160" s="865">
        <v>879.84900000000005</v>
      </c>
      <c r="C160" s="865">
        <v>10.061</v>
      </c>
      <c r="D160" s="865">
        <v>75.899999999999991</v>
      </c>
      <c r="E160" s="865">
        <v>0</v>
      </c>
      <c r="F160" s="865">
        <v>0</v>
      </c>
      <c r="G160" s="865">
        <v>965.81</v>
      </c>
      <c r="H160" s="865">
        <v>888.86199999999997</v>
      </c>
      <c r="I160" s="865">
        <v>10.791</v>
      </c>
      <c r="J160" s="865">
        <v>65.2</v>
      </c>
      <c r="K160" s="865">
        <v>0</v>
      </c>
      <c r="L160" s="865">
        <v>0</v>
      </c>
      <c r="M160" s="865">
        <v>964.85300000000007</v>
      </c>
      <c r="N160" s="820">
        <v>-9.908781230261439E-4</v>
      </c>
      <c r="O160" s="866"/>
      <c r="P160" s="866"/>
    </row>
    <row r="161" spans="1:16">
      <c r="A161" s="519"/>
      <c r="B161" s="602"/>
      <c r="C161" s="602"/>
      <c r="D161" s="602"/>
      <c r="E161" s="602"/>
      <c r="F161" s="602"/>
      <c r="G161" s="867"/>
      <c r="H161" s="867"/>
      <c r="I161" s="867"/>
      <c r="J161" s="867"/>
      <c r="K161" s="867"/>
      <c r="L161" s="867"/>
      <c r="M161" s="867"/>
      <c r="N161" s="868"/>
      <c r="O161" s="602"/>
      <c r="P161" s="602"/>
    </row>
    <row r="162" spans="1:16" ht="16">
      <c r="A162" s="520" t="s">
        <v>476</v>
      </c>
      <c r="B162" s="185"/>
      <c r="C162" s="185"/>
      <c r="D162" s="185"/>
      <c r="E162" s="185"/>
      <c r="F162" s="185"/>
      <c r="G162" s="185"/>
      <c r="H162" s="185"/>
      <c r="I162" s="185"/>
      <c r="J162" s="185"/>
      <c r="K162" s="185"/>
      <c r="L162" s="185"/>
      <c r="M162" s="185"/>
      <c r="N162" s="482"/>
      <c r="O162" s="187"/>
      <c r="P162" s="187"/>
    </row>
    <row r="163" spans="1:16" ht="17">
      <c r="A163" s="141" t="s">
        <v>477</v>
      </c>
      <c r="B163" s="188">
        <v>0</v>
      </c>
      <c r="C163" s="188">
        <v>0</v>
      </c>
      <c r="D163" s="188">
        <v>0</v>
      </c>
      <c r="E163" s="188">
        <v>0</v>
      </c>
      <c r="F163" s="188">
        <v>0</v>
      </c>
      <c r="G163" s="189">
        <v>0</v>
      </c>
      <c r="H163" s="796"/>
      <c r="I163" s="796"/>
      <c r="J163" s="796"/>
      <c r="K163" s="796"/>
      <c r="L163" s="796"/>
      <c r="M163" s="189">
        <v>0</v>
      </c>
      <c r="N163" s="486" t="s">
        <v>155</v>
      </c>
      <c r="O163" s="205" t="s">
        <v>337</v>
      </c>
      <c r="P163" s="192" t="s">
        <v>337</v>
      </c>
    </row>
    <row r="164" spans="1:16" ht="16">
      <c r="A164" s="521" t="s">
        <v>478</v>
      </c>
      <c r="B164" s="195">
        <v>0</v>
      </c>
      <c r="C164" s="195">
        <v>0</v>
      </c>
      <c r="D164" s="195">
        <v>0</v>
      </c>
      <c r="E164" s="195">
        <v>0</v>
      </c>
      <c r="F164" s="195">
        <v>0</v>
      </c>
      <c r="G164" s="195">
        <v>0</v>
      </c>
      <c r="H164" s="195">
        <v>0</v>
      </c>
      <c r="I164" s="195">
        <v>0</v>
      </c>
      <c r="J164" s="195">
        <v>0</v>
      </c>
      <c r="K164" s="195">
        <v>0</v>
      </c>
      <c r="L164" s="195">
        <v>0</v>
      </c>
      <c r="M164" s="195">
        <v>0</v>
      </c>
      <c r="N164" s="820" t="s">
        <v>155</v>
      </c>
      <c r="O164" s="197"/>
      <c r="P164" s="198"/>
    </row>
    <row r="165" spans="1:16">
      <c r="M165">
        <f>SUM(M164)</f>
        <v>0</v>
      </c>
    </row>
    <row r="170" spans="1:16">
      <c r="G170" s="666"/>
      <c r="H170" s="666"/>
      <c r="I170" s="666"/>
      <c r="J170" s="666"/>
      <c r="K170" s="666"/>
      <c r="L170" s="666"/>
      <c r="M170" s="66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09"/>
  <sheetViews>
    <sheetView topLeftCell="A94" zoomScale="80" zoomScaleNormal="80" workbookViewId="0">
      <selection activeCell="H128" sqref="H128"/>
    </sheetView>
  </sheetViews>
  <sheetFormatPr baseColWidth="10" defaultColWidth="8.83203125" defaultRowHeight="15" outlineLevelCol="1"/>
  <cols>
    <col min="1" max="1" width="40.6640625" style="2" customWidth="1"/>
    <col min="2" max="14" width="17.6640625" customWidth="1" outlineLevel="1"/>
    <col min="15" max="16" width="75.6640625" customWidth="1" outlineLevel="1"/>
  </cols>
  <sheetData>
    <row r="1" spans="1:16" ht="16" thickBot="1"/>
    <row r="2" spans="1:16" ht="21">
      <c r="A2" s="491"/>
      <c r="B2" s="522"/>
      <c r="C2" s="523"/>
      <c r="D2" s="523"/>
      <c r="E2" s="523"/>
      <c r="F2" s="523"/>
      <c r="G2" s="524"/>
      <c r="H2" s="522"/>
      <c r="I2" s="523"/>
      <c r="J2" s="523"/>
      <c r="K2" s="523"/>
      <c r="L2" s="523"/>
      <c r="M2" s="524"/>
      <c r="N2" s="525"/>
      <c r="O2" s="526"/>
      <c r="P2" s="527"/>
    </row>
    <row r="3" spans="1:16" ht="136">
      <c r="A3" s="4" t="s">
        <v>754</v>
      </c>
      <c r="B3" s="42" t="s">
        <v>100</v>
      </c>
      <c r="C3" s="42" t="s">
        <v>101</v>
      </c>
      <c r="D3" s="42" t="s">
        <v>102</v>
      </c>
      <c r="E3" s="42" t="s">
        <v>103</v>
      </c>
      <c r="F3" s="42" t="s">
        <v>104</v>
      </c>
      <c r="G3" s="42" t="s">
        <v>105</v>
      </c>
      <c r="H3" s="42" t="s">
        <v>106</v>
      </c>
      <c r="I3" s="42" t="s">
        <v>107</v>
      </c>
      <c r="J3" s="42" t="s">
        <v>108</v>
      </c>
      <c r="K3" s="42" t="s">
        <v>109</v>
      </c>
      <c r="L3" s="42" t="s">
        <v>110</v>
      </c>
      <c r="M3" s="42" t="s">
        <v>111</v>
      </c>
      <c r="N3" s="619" t="s">
        <v>112</v>
      </c>
      <c r="O3" s="44" t="s">
        <v>113</v>
      </c>
      <c r="P3" s="178" t="s">
        <v>114</v>
      </c>
    </row>
    <row r="4" spans="1:16" ht="22" thickBot="1">
      <c r="A4" s="133"/>
      <c r="B4" s="179"/>
      <c r="C4" s="179"/>
      <c r="D4" s="179"/>
      <c r="E4" s="179"/>
      <c r="F4" s="179"/>
      <c r="G4" s="179"/>
      <c r="H4" s="179"/>
      <c r="I4" s="179"/>
      <c r="J4" s="179"/>
      <c r="K4" s="179"/>
      <c r="L4" s="179"/>
      <c r="M4" s="620"/>
      <c r="N4" s="528"/>
      <c r="O4" s="181"/>
      <c r="P4" s="181"/>
    </row>
    <row r="5" spans="1:16" ht="16">
      <c r="A5" s="603"/>
      <c r="B5" s="621"/>
      <c r="C5" s="621"/>
      <c r="D5" s="621"/>
      <c r="E5" s="621"/>
      <c r="F5" s="621"/>
      <c r="G5" s="621"/>
      <c r="H5" s="621"/>
      <c r="I5" s="621"/>
      <c r="J5" s="621"/>
      <c r="K5" s="621"/>
      <c r="L5" s="621"/>
      <c r="M5" s="621"/>
      <c r="N5" s="621"/>
      <c r="O5" s="621"/>
      <c r="P5" s="621"/>
    </row>
    <row r="6" spans="1:16" ht="17">
      <c r="A6" s="604" t="s">
        <v>755</v>
      </c>
      <c r="B6" s="622"/>
      <c r="C6" s="622"/>
      <c r="D6" s="622"/>
      <c r="E6" s="622"/>
      <c r="F6" s="622"/>
      <c r="G6" s="622"/>
      <c r="H6" s="622"/>
      <c r="I6" s="622"/>
      <c r="J6" s="622"/>
      <c r="K6" s="622"/>
      <c r="L6" s="622"/>
      <c r="M6" s="622"/>
      <c r="N6" s="622"/>
      <c r="O6" s="622"/>
      <c r="P6" s="622"/>
    </row>
    <row r="7" spans="1:16">
      <c r="A7" s="605"/>
      <c r="B7" s="623"/>
      <c r="C7" s="623"/>
      <c r="D7" s="623"/>
      <c r="E7" s="623"/>
      <c r="F7" s="623"/>
      <c r="G7" s="623"/>
      <c r="H7" s="623"/>
      <c r="I7" s="623"/>
      <c r="J7" s="623"/>
      <c r="K7" s="623"/>
      <c r="L7" s="623"/>
      <c r="M7" s="623"/>
      <c r="N7" s="623"/>
      <c r="O7" s="623"/>
      <c r="P7" s="623"/>
    </row>
    <row r="8" spans="1:16" ht="17">
      <c r="A8" s="606" t="s">
        <v>756</v>
      </c>
      <c r="B8" s="624"/>
      <c r="C8" s="624"/>
      <c r="D8" s="624"/>
      <c r="E8" s="624"/>
      <c r="F8" s="624"/>
      <c r="G8" s="624"/>
      <c r="H8" s="624"/>
      <c r="I8" s="624"/>
      <c r="J8" s="624"/>
      <c r="K8" s="624"/>
      <c r="L8" s="624"/>
      <c r="M8" s="624"/>
      <c r="N8" s="624"/>
      <c r="O8" s="624"/>
      <c r="P8" s="624"/>
    </row>
    <row r="9" spans="1:16" ht="17">
      <c r="A9" s="607" t="s">
        <v>756</v>
      </c>
      <c r="B9" s="574">
        <v>0.4</v>
      </c>
      <c r="C9" s="539">
        <v>0</v>
      </c>
      <c r="D9" s="539">
        <v>0</v>
      </c>
      <c r="E9" s="539">
        <v>0</v>
      </c>
      <c r="F9" s="574">
        <v>0</v>
      </c>
      <c r="G9" s="575">
        <v>0.4</v>
      </c>
      <c r="H9" s="574">
        <v>0.4</v>
      </c>
      <c r="I9" s="574">
        <v>0</v>
      </c>
      <c r="J9" s="574">
        <v>0</v>
      </c>
      <c r="K9" s="574">
        <v>0</v>
      </c>
      <c r="L9" s="574">
        <v>0</v>
      </c>
      <c r="M9" s="625">
        <v>0.4</v>
      </c>
      <c r="N9" s="626">
        <v>0</v>
      </c>
      <c r="O9" s="576" t="s">
        <v>826</v>
      </c>
      <c r="P9" s="577" t="s">
        <v>293</v>
      </c>
    </row>
    <row r="10" spans="1:16" ht="17">
      <c r="A10" s="608" t="s">
        <v>757</v>
      </c>
      <c r="B10" s="228">
        <v>0.4</v>
      </c>
      <c r="C10" s="228">
        <v>0</v>
      </c>
      <c r="D10" s="228">
        <v>0</v>
      </c>
      <c r="E10" s="228">
        <v>0</v>
      </c>
      <c r="F10" s="228">
        <v>0</v>
      </c>
      <c r="G10" s="228">
        <v>0.4</v>
      </c>
      <c r="H10" s="228">
        <v>0.4</v>
      </c>
      <c r="I10" s="228">
        <v>0</v>
      </c>
      <c r="J10" s="228">
        <v>0</v>
      </c>
      <c r="K10" s="228">
        <v>0</v>
      </c>
      <c r="L10" s="228">
        <v>0</v>
      </c>
      <c r="M10" s="228">
        <v>0.4</v>
      </c>
      <c r="N10" s="627">
        <v>0</v>
      </c>
      <c r="O10" s="628"/>
      <c r="P10" s="629"/>
    </row>
    <row r="11" spans="1:16" ht="16">
      <c r="A11" s="609"/>
      <c r="B11" s="630"/>
      <c r="C11" s="630"/>
      <c r="D11" s="630"/>
      <c r="E11" s="630"/>
      <c r="F11" s="630"/>
      <c r="G11" s="630"/>
      <c r="H11" s="630"/>
      <c r="I11" s="630"/>
      <c r="J11" s="630"/>
      <c r="K11" s="630"/>
      <c r="L11" s="630"/>
      <c r="M11" s="630"/>
      <c r="N11" s="631"/>
      <c r="O11" s="632"/>
      <c r="P11" s="632"/>
    </row>
    <row r="12" spans="1:16" ht="17">
      <c r="A12" s="606" t="s">
        <v>758</v>
      </c>
      <c r="B12" s="624"/>
      <c r="C12" s="624"/>
      <c r="D12" s="624"/>
      <c r="E12" s="624"/>
      <c r="F12" s="624"/>
      <c r="G12" s="624"/>
      <c r="H12" s="624"/>
      <c r="I12" s="624"/>
      <c r="J12" s="624"/>
      <c r="K12" s="624"/>
      <c r="L12" s="624"/>
      <c r="M12" s="624"/>
      <c r="N12" s="624"/>
      <c r="O12" s="624"/>
      <c r="P12" s="624"/>
    </row>
    <row r="13" spans="1:16" ht="51">
      <c r="A13" s="156" t="s">
        <v>759</v>
      </c>
      <c r="B13" s="193">
        <v>1.49</v>
      </c>
      <c r="C13" s="193">
        <v>0</v>
      </c>
      <c r="D13" s="193">
        <v>0</v>
      </c>
      <c r="E13" s="193">
        <v>0</v>
      </c>
      <c r="F13" s="193">
        <v>0</v>
      </c>
      <c r="G13" s="194">
        <v>1.49</v>
      </c>
      <c r="H13" s="574">
        <v>1.49</v>
      </c>
      <c r="I13" s="574">
        <v>0</v>
      </c>
      <c r="J13" s="574">
        <v>0</v>
      </c>
      <c r="K13" s="574">
        <v>0</v>
      </c>
      <c r="L13" s="574">
        <v>0</v>
      </c>
      <c r="M13" s="625">
        <v>1.49</v>
      </c>
      <c r="N13" s="626">
        <v>0</v>
      </c>
      <c r="O13" s="156" t="s">
        <v>827</v>
      </c>
      <c r="P13" s="157" t="s">
        <v>293</v>
      </c>
    </row>
    <row r="14" spans="1:16" ht="17">
      <c r="A14" s="608" t="s">
        <v>760</v>
      </c>
      <c r="B14" s="228">
        <v>1.49</v>
      </c>
      <c r="C14" s="228">
        <v>0</v>
      </c>
      <c r="D14" s="228">
        <v>0</v>
      </c>
      <c r="E14" s="228">
        <v>0</v>
      </c>
      <c r="F14" s="228">
        <v>0</v>
      </c>
      <c r="G14" s="228">
        <v>1.49</v>
      </c>
      <c r="H14" s="228">
        <v>1.49</v>
      </c>
      <c r="I14" s="228">
        <v>0</v>
      </c>
      <c r="J14" s="228">
        <v>0</v>
      </c>
      <c r="K14" s="228">
        <v>0</v>
      </c>
      <c r="L14" s="228">
        <v>0</v>
      </c>
      <c r="M14" s="228">
        <v>1.49</v>
      </c>
      <c r="N14" s="627">
        <v>0</v>
      </c>
      <c r="O14" s="628"/>
      <c r="P14" s="629"/>
    </row>
    <row r="15" spans="1:16" ht="16">
      <c r="A15" s="609"/>
      <c r="B15" s="630"/>
      <c r="C15" s="630"/>
      <c r="D15" s="630"/>
      <c r="E15" s="630"/>
      <c r="F15" s="630"/>
      <c r="G15" s="630"/>
      <c r="H15" s="630"/>
      <c r="I15" s="630"/>
      <c r="J15" s="630"/>
      <c r="K15" s="630"/>
      <c r="L15" s="630"/>
      <c r="M15" s="630"/>
      <c r="N15" s="631"/>
      <c r="O15" s="632"/>
      <c r="P15" s="632"/>
    </row>
    <row r="16" spans="1:16" ht="17">
      <c r="A16" s="606" t="s">
        <v>761</v>
      </c>
      <c r="B16" s="624"/>
      <c r="C16" s="624"/>
      <c r="D16" s="624"/>
      <c r="E16" s="624"/>
      <c r="F16" s="624"/>
      <c r="G16" s="624"/>
      <c r="H16" s="624"/>
      <c r="I16" s="624"/>
      <c r="J16" s="624"/>
      <c r="K16" s="624"/>
      <c r="L16" s="624"/>
      <c r="M16" s="624"/>
      <c r="N16" s="624"/>
      <c r="O16" s="624"/>
      <c r="P16" s="624"/>
    </row>
    <row r="17" spans="1:16" ht="34">
      <c r="A17" s="497" t="s">
        <v>762</v>
      </c>
      <c r="B17" s="539">
        <v>32.582000000000001</v>
      </c>
      <c r="C17" s="539">
        <v>0</v>
      </c>
      <c r="D17" s="539">
        <v>0</v>
      </c>
      <c r="E17" s="539">
        <v>0</v>
      </c>
      <c r="F17" s="539">
        <v>0</v>
      </c>
      <c r="G17" s="633">
        <v>32.582000000000001</v>
      </c>
      <c r="H17" s="574">
        <v>32.682000000000002</v>
      </c>
      <c r="I17" s="574">
        <v>0</v>
      </c>
      <c r="J17" s="574">
        <v>0</v>
      </c>
      <c r="K17" s="574">
        <v>0</v>
      </c>
      <c r="L17" s="574">
        <v>0</v>
      </c>
      <c r="M17" s="625">
        <v>32.682000000000002</v>
      </c>
      <c r="N17" s="626">
        <v>3.0691793014548346E-3</v>
      </c>
      <c r="O17" s="498" t="s">
        <v>828</v>
      </c>
      <c r="P17" s="634" t="s">
        <v>829</v>
      </c>
    </row>
    <row r="18" spans="1:16" ht="34">
      <c r="A18" s="497" t="s">
        <v>763</v>
      </c>
      <c r="B18" s="539">
        <v>0</v>
      </c>
      <c r="C18" s="539">
        <v>0</v>
      </c>
      <c r="D18" s="539">
        <v>0</v>
      </c>
      <c r="E18" s="539">
        <v>0</v>
      </c>
      <c r="F18" s="539">
        <v>0</v>
      </c>
      <c r="G18" s="633">
        <v>0</v>
      </c>
      <c r="H18" s="574">
        <v>0</v>
      </c>
      <c r="I18" s="574">
        <v>0</v>
      </c>
      <c r="J18" s="574">
        <v>0</v>
      </c>
      <c r="K18" s="574">
        <v>0</v>
      </c>
      <c r="L18" s="574">
        <v>0</v>
      </c>
      <c r="M18" s="625">
        <v>0</v>
      </c>
      <c r="N18" s="626" t="s">
        <v>155</v>
      </c>
      <c r="O18" s="498" t="s">
        <v>830</v>
      </c>
      <c r="P18" s="634" t="s">
        <v>831</v>
      </c>
    </row>
    <row r="19" spans="1:16" ht="17">
      <c r="A19" s="497" t="s">
        <v>764</v>
      </c>
      <c r="B19" s="539">
        <v>0</v>
      </c>
      <c r="C19" s="539">
        <v>0</v>
      </c>
      <c r="D19" s="539">
        <v>0</v>
      </c>
      <c r="E19" s="539">
        <v>0</v>
      </c>
      <c r="F19" s="539">
        <v>0</v>
      </c>
      <c r="G19" s="633">
        <v>0</v>
      </c>
      <c r="H19" s="574">
        <v>0</v>
      </c>
      <c r="I19" s="574">
        <v>0</v>
      </c>
      <c r="J19" s="574">
        <v>0</v>
      </c>
      <c r="K19" s="574">
        <v>0</v>
      </c>
      <c r="L19" s="574">
        <v>0</v>
      </c>
      <c r="M19" s="625">
        <v>0</v>
      </c>
      <c r="N19" s="626" t="s">
        <v>155</v>
      </c>
      <c r="O19" s="498" t="s">
        <v>830</v>
      </c>
      <c r="P19" s="634" t="s">
        <v>831</v>
      </c>
    </row>
    <row r="20" spans="1:16" ht="17">
      <c r="A20" s="497" t="s">
        <v>765</v>
      </c>
      <c r="B20" s="539">
        <v>0</v>
      </c>
      <c r="C20" s="539">
        <v>0.22</v>
      </c>
      <c r="D20" s="539">
        <v>0</v>
      </c>
      <c r="E20" s="539">
        <v>0</v>
      </c>
      <c r="F20" s="539">
        <v>0</v>
      </c>
      <c r="G20" s="633">
        <v>0.22</v>
      </c>
      <c r="H20" s="574">
        <v>0</v>
      </c>
      <c r="I20" s="574">
        <v>0.15</v>
      </c>
      <c r="J20" s="574">
        <v>0</v>
      </c>
      <c r="K20" s="574">
        <v>0</v>
      </c>
      <c r="L20" s="574">
        <v>0</v>
      </c>
      <c r="M20" s="625">
        <v>0.15</v>
      </c>
      <c r="N20" s="626">
        <v>-0.31818181818181823</v>
      </c>
      <c r="O20" s="498" t="s">
        <v>832</v>
      </c>
      <c r="P20" s="634" t="s">
        <v>337</v>
      </c>
    </row>
    <row r="21" spans="1:16" ht="51">
      <c r="A21" s="497" t="s">
        <v>766</v>
      </c>
      <c r="B21" s="539">
        <v>36.542000000000002</v>
      </c>
      <c r="C21" s="539">
        <v>0</v>
      </c>
      <c r="D21" s="539">
        <v>0</v>
      </c>
      <c r="E21" s="539">
        <v>0</v>
      </c>
      <c r="F21" s="539">
        <v>0</v>
      </c>
      <c r="G21" s="633">
        <v>36.542000000000002</v>
      </c>
      <c r="H21" s="574">
        <v>31.349</v>
      </c>
      <c r="I21" s="574">
        <v>0</v>
      </c>
      <c r="J21" s="574">
        <v>0</v>
      </c>
      <c r="K21" s="574">
        <v>0</v>
      </c>
      <c r="L21" s="574">
        <v>0</v>
      </c>
      <c r="M21" s="625">
        <v>31.349</v>
      </c>
      <c r="N21" s="626">
        <v>-0.14211044825132726</v>
      </c>
      <c r="O21" s="498" t="s">
        <v>833</v>
      </c>
      <c r="P21" s="634" t="s">
        <v>834</v>
      </c>
    </row>
    <row r="22" spans="1:16" ht="17">
      <c r="A22" s="608" t="s">
        <v>767</v>
      </c>
      <c r="B22" s="228">
        <v>69.123999999999995</v>
      </c>
      <c r="C22" s="228">
        <v>0.22</v>
      </c>
      <c r="D22" s="228">
        <v>0</v>
      </c>
      <c r="E22" s="228">
        <v>0</v>
      </c>
      <c r="F22" s="228">
        <v>0</v>
      </c>
      <c r="G22" s="228">
        <v>69.343999999999994</v>
      </c>
      <c r="H22" s="228">
        <v>64.031000000000006</v>
      </c>
      <c r="I22" s="228">
        <v>0.15</v>
      </c>
      <c r="J22" s="228">
        <v>0</v>
      </c>
      <c r="K22" s="228">
        <v>0</v>
      </c>
      <c r="L22" s="228">
        <v>0</v>
      </c>
      <c r="M22" s="228">
        <v>64.180999999999997</v>
      </c>
      <c r="N22" s="627">
        <v>-7.4454891555145328E-2</v>
      </c>
      <c r="O22" s="628"/>
      <c r="P22" s="629"/>
    </row>
    <row r="23" spans="1:16" ht="16">
      <c r="A23" s="610"/>
      <c r="B23" s="635"/>
      <c r="C23" s="635"/>
      <c r="D23" s="635"/>
      <c r="E23" s="635"/>
      <c r="F23" s="635"/>
      <c r="G23" s="635"/>
      <c r="H23" s="635"/>
      <c r="I23" s="635"/>
      <c r="J23" s="635"/>
      <c r="K23" s="635"/>
      <c r="L23" s="635"/>
      <c r="M23" s="635"/>
      <c r="N23" s="636"/>
      <c r="O23" s="623"/>
      <c r="P23" s="623"/>
    </row>
    <row r="24" spans="1:16" ht="17">
      <c r="A24" s="606" t="s">
        <v>768</v>
      </c>
      <c r="B24" s="624"/>
      <c r="C24" s="624"/>
      <c r="D24" s="624"/>
      <c r="E24" s="624"/>
      <c r="F24" s="624"/>
      <c r="G24" s="624"/>
      <c r="H24" s="624"/>
      <c r="I24" s="624"/>
      <c r="J24" s="624"/>
      <c r="K24" s="624"/>
      <c r="L24" s="624"/>
      <c r="M24" s="624"/>
      <c r="N24" s="624"/>
      <c r="O24" s="624"/>
      <c r="P24" s="624"/>
    </row>
    <row r="25" spans="1:16" ht="17">
      <c r="A25" s="497" t="s">
        <v>769</v>
      </c>
      <c r="B25" s="539">
        <v>23.824000000000002</v>
      </c>
      <c r="C25" s="539">
        <v>0</v>
      </c>
      <c r="D25" s="539">
        <v>0</v>
      </c>
      <c r="E25" s="539">
        <v>0</v>
      </c>
      <c r="F25" s="539">
        <v>0</v>
      </c>
      <c r="G25" s="633">
        <v>23.824000000000002</v>
      </c>
      <c r="H25" s="574">
        <v>26.087</v>
      </c>
      <c r="I25" s="574">
        <v>0</v>
      </c>
      <c r="J25" s="574">
        <v>0</v>
      </c>
      <c r="K25" s="574">
        <v>0</v>
      </c>
      <c r="L25" s="574">
        <v>0</v>
      </c>
      <c r="M25" s="625">
        <v>26.087</v>
      </c>
      <c r="N25" s="626">
        <v>9.4988247145735311E-2</v>
      </c>
      <c r="O25" s="498" t="s">
        <v>835</v>
      </c>
      <c r="P25" s="634" t="s">
        <v>836</v>
      </c>
    </row>
    <row r="26" spans="1:16" ht="34">
      <c r="A26" s="497" t="s">
        <v>770</v>
      </c>
      <c r="B26" s="539">
        <v>0</v>
      </c>
      <c r="C26" s="539">
        <v>0</v>
      </c>
      <c r="D26" s="539">
        <v>3.75</v>
      </c>
      <c r="E26" s="539">
        <v>0</v>
      </c>
      <c r="F26" s="539">
        <v>0</v>
      </c>
      <c r="G26" s="633">
        <v>3.75</v>
      </c>
      <c r="H26" s="574">
        <v>0</v>
      </c>
      <c r="I26" s="574">
        <v>0</v>
      </c>
      <c r="J26" s="574">
        <v>1.1499999999999999</v>
      </c>
      <c r="K26" s="574">
        <v>0</v>
      </c>
      <c r="L26" s="574">
        <v>0</v>
      </c>
      <c r="M26" s="625">
        <v>1.1499999999999999</v>
      </c>
      <c r="N26" s="626">
        <v>-0.69333333333333336</v>
      </c>
      <c r="O26" s="498" t="s">
        <v>837</v>
      </c>
      <c r="P26" s="634" t="s">
        <v>838</v>
      </c>
    </row>
    <row r="27" spans="1:16" ht="17">
      <c r="A27" s="497" t="s">
        <v>771</v>
      </c>
      <c r="B27" s="539">
        <v>0</v>
      </c>
      <c r="C27" s="539">
        <v>3.65</v>
      </c>
      <c r="D27" s="539">
        <v>0</v>
      </c>
      <c r="E27" s="539">
        <v>0</v>
      </c>
      <c r="F27" s="539">
        <v>0</v>
      </c>
      <c r="G27" s="633">
        <v>3.65</v>
      </c>
      <c r="H27" s="574">
        <v>0</v>
      </c>
      <c r="I27" s="574">
        <v>3.6160000000000001</v>
      </c>
      <c r="J27" s="574">
        <v>0</v>
      </c>
      <c r="K27" s="574">
        <v>0</v>
      </c>
      <c r="L27" s="574">
        <v>0</v>
      </c>
      <c r="M27" s="625">
        <v>3.6160000000000001</v>
      </c>
      <c r="N27" s="626">
        <v>-9.3150684931506324E-3</v>
      </c>
      <c r="O27" s="498" t="s">
        <v>839</v>
      </c>
      <c r="P27" s="634" t="s">
        <v>337</v>
      </c>
    </row>
    <row r="28" spans="1:16" ht="17">
      <c r="A28" s="497" t="s">
        <v>772</v>
      </c>
      <c r="B28" s="539">
        <v>16.46</v>
      </c>
      <c r="C28" s="539">
        <v>0</v>
      </c>
      <c r="D28" s="539">
        <v>0</v>
      </c>
      <c r="E28" s="539">
        <v>0</v>
      </c>
      <c r="F28" s="539">
        <v>0</v>
      </c>
      <c r="G28" s="633">
        <v>16.46</v>
      </c>
      <c r="H28" s="574">
        <v>18.073</v>
      </c>
      <c r="I28" s="574">
        <v>0</v>
      </c>
      <c r="J28" s="574">
        <v>0</v>
      </c>
      <c r="K28" s="574">
        <v>0</v>
      </c>
      <c r="L28" s="574">
        <v>0</v>
      </c>
      <c r="M28" s="625">
        <v>18.073</v>
      </c>
      <c r="N28" s="626">
        <v>9.7995139732685269E-2</v>
      </c>
      <c r="O28" s="498" t="s">
        <v>840</v>
      </c>
      <c r="P28" s="634" t="s">
        <v>836</v>
      </c>
    </row>
    <row r="29" spans="1:16" ht="34">
      <c r="A29" s="497" t="s">
        <v>773</v>
      </c>
      <c r="B29" s="539">
        <v>0</v>
      </c>
      <c r="C29" s="539">
        <v>0</v>
      </c>
      <c r="D29" s="539">
        <v>5.59</v>
      </c>
      <c r="E29" s="539">
        <v>0</v>
      </c>
      <c r="F29" s="539">
        <v>0</v>
      </c>
      <c r="G29" s="633">
        <v>5.59</v>
      </c>
      <c r="H29" s="574">
        <v>0</v>
      </c>
      <c r="I29" s="574">
        <v>0</v>
      </c>
      <c r="J29" s="574">
        <v>2.75</v>
      </c>
      <c r="K29" s="574">
        <v>0</v>
      </c>
      <c r="L29" s="574">
        <v>0</v>
      </c>
      <c r="M29" s="625">
        <v>2.75</v>
      </c>
      <c r="N29" s="626">
        <v>-0.50805008944543828</v>
      </c>
      <c r="O29" s="498" t="s">
        <v>841</v>
      </c>
      <c r="P29" s="634" t="s">
        <v>838</v>
      </c>
    </row>
    <row r="30" spans="1:16" ht="17">
      <c r="A30" s="497" t="s">
        <v>774</v>
      </c>
      <c r="B30" s="539">
        <v>0</v>
      </c>
      <c r="C30" s="539">
        <v>2.5</v>
      </c>
      <c r="D30" s="539">
        <v>0</v>
      </c>
      <c r="E30" s="539">
        <v>0</v>
      </c>
      <c r="F30" s="539">
        <v>0</v>
      </c>
      <c r="G30" s="633">
        <v>2.5</v>
      </c>
      <c r="H30" s="574">
        <v>0</v>
      </c>
      <c r="I30" s="574">
        <v>2.5</v>
      </c>
      <c r="J30" s="574">
        <v>0</v>
      </c>
      <c r="K30" s="574">
        <v>0</v>
      </c>
      <c r="L30" s="574">
        <v>0</v>
      </c>
      <c r="M30" s="625">
        <v>2.5</v>
      </c>
      <c r="N30" s="626">
        <v>0</v>
      </c>
      <c r="O30" s="498" t="s">
        <v>842</v>
      </c>
      <c r="P30" s="634" t="s">
        <v>513</v>
      </c>
    </row>
    <row r="31" spans="1:16" ht="17">
      <c r="A31" s="497" t="s">
        <v>775</v>
      </c>
      <c r="B31" s="539">
        <v>15.355</v>
      </c>
      <c r="C31" s="539">
        <v>0</v>
      </c>
      <c r="D31" s="539">
        <v>0</v>
      </c>
      <c r="E31" s="539">
        <v>0</v>
      </c>
      <c r="F31" s="539">
        <v>0</v>
      </c>
      <c r="G31" s="633">
        <v>15.355</v>
      </c>
      <c r="H31" s="574">
        <v>16.088000000000001</v>
      </c>
      <c r="I31" s="574">
        <v>0</v>
      </c>
      <c r="J31" s="574">
        <v>0</v>
      </c>
      <c r="K31" s="574">
        <v>0</v>
      </c>
      <c r="L31" s="574">
        <v>0</v>
      </c>
      <c r="M31" s="625">
        <v>16.088000000000001</v>
      </c>
      <c r="N31" s="626">
        <v>4.7736893520026087E-2</v>
      </c>
      <c r="O31" s="498" t="s">
        <v>843</v>
      </c>
      <c r="P31" s="634" t="s">
        <v>836</v>
      </c>
    </row>
    <row r="32" spans="1:16" ht="34">
      <c r="A32" s="497" t="s">
        <v>776</v>
      </c>
      <c r="B32" s="539">
        <v>0</v>
      </c>
      <c r="C32" s="539">
        <v>0</v>
      </c>
      <c r="D32" s="539">
        <v>2.25</v>
      </c>
      <c r="E32" s="539">
        <v>0</v>
      </c>
      <c r="F32" s="539">
        <v>0</v>
      </c>
      <c r="G32" s="633">
        <v>2.25</v>
      </c>
      <c r="H32" s="574">
        <v>0</v>
      </c>
      <c r="I32" s="574">
        <v>0</v>
      </c>
      <c r="J32" s="574">
        <v>2.8</v>
      </c>
      <c r="K32" s="574">
        <v>0</v>
      </c>
      <c r="L32" s="574">
        <v>0</v>
      </c>
      <c r="M32" s="625">
        <v>2.8</v>
      </c>
      <c r="N32" s="626">
        <v>0.24444444444444435</v>
      </c>
      <c r="O32" s="498" t="s">
        <v>844</v>
      </c>
      <c r="P32" s="634" t="s">
        <v>845</v>
      </c>
    </row>
    <row r="33" spans="1:16" ht="17">
      <c r="A33" s="497" t="s">
        <v>777</v>
      </c>
      <c r="B33" s="539">
        <v>0</v>
      </c>
      <c r="C33" s="539">
        <v>3.15</v>
      </c>
      <c r="D33" s="539">
        <v>0</v>
      </c>
      <c r="E33" s="539">
        <v>0</v>
      </c>
      <c r="F33" s="539">
        <v>0</v>
      </c>
      <c r="G33" s="633">
        <v>3.15</v>
      </c>
      <c r="H33" s="574">
        <v>0</v>
      </c>
      <c r="I33" s="574">
        <v>4.0999999999999996</v>
      </c>
      <c r="J33" s="574">
        <v>0</v>
      </c>
      <c r="K33" s="574">
        <v>0</v>
      </c>
      <c r="L33" s="574">
        <v>0</v>
      </c>
      <c r="M33" s="625">
        <v>4.0999999999999996</v>
      </c>
      <c r="N33" s="626">
        <v>0.30158730158730152</v>
      </c>
      <c r="O33" s="498" t="s">
        <v>846</v>
      </c>
      <c r="P33" s="634" t="s">
        <v>337</v>
      </c>
    </row>
    <row r="34" spans="1:16" ht="34">
      <c r="A34" s="497" t="s">
        <v>778</v>
      </c>
      <c r="B34" s="539">
        <v>3.4449999999999998</v>
      </c>
      <c r="C34" s="539">
        <v>0</v>
      </c>
      <c r="D34" s="539">
        <v>0.3</v>
      </c>
      <c r="E34" s="539">
        <v>0</v>
      </c>
      <c r="F34" s="539">
        <v>0</v>
      </c>
      <c r="G34" s="633">
        <v>3.7449999999999997</v>
      </c>
      <c r="H34" s="574">
        <v>3.645</v>
      </c>
      <c r="I34" s="574">
        <v>0</v>
      </c>
      <c r="J34" s="574">
        <v>1</v>
      </c>
      <c r="K34" s="574">
        <v>0</v>
      </c>
      <c r="L34" s="574">
        <v>0</v>
      </c>
      <c r="M34" s="625">
        <v>4.6449999999999996</v>
      </c>
      <c r="N34" s="626">
        <v>0.24032042723631508</v>
      </c>
      <c r="O34" s="498" t="s">
        <v>847</v>
      </c>
      <c r="P34" s="634" t="s">
        <v>848</v>
      </c>
    </row>
    <row r="35" spans="1:16" ht="34">
      <c r="A35" s="497" t="s">
        <v>779</v>
      </c>
      <c r="B35" s="539">
        <v>0.66500000000000004</v>
      </c>
      <c r="C35" s="539">
        <v>0</v>
      </c>
      <c r="D35" s="539">
        <v>0</v>
      </c>
      <c r="E35" s="539">
        <v>0</v>
      </c>
      <c r="F35" s="539">
        <v>0</v>
      </c>
      <c r="G35" s="633">
        <v>0.66500000000000004</v>
      </c>
      <c r="H35" s="574">
        <v>0.66500000000000004</v>
      </c>
      <c r="I35" s="574">
        <v>0</v>
      </c>
      <c r="J35" s="574">
        <v>0</v>
      </c>
      <c r="K35" s="574">
        <v>0</v>
      </c>
      <c r="L35" s="574">
        <v>0</v>
      </c>
      <c r="M35" s="625">
        <v>0.66500000000000004</v>
      </c>
      <c r="N35" s="626">
        <v>0</v>
      </c>
      <c r="O35" s="498" t="s">
        <v>849</v>
      </c>
      <c r="P35" s="634" t="s">
        <v>513</v>
      </c>
    </row>
    <row r="36" spans="1:16" ht="17">
      <c r="A36" s="497" t="s">
        <v>780</v>
      </c>
      <c r="B36" s="539">
        <v>0</v>
      </c>
      <c r="C36" s="539">
        <v>0</v>
      </c>
      <c r="D36" s="539">
        <v>9.11</v>
      </c>
      <c r="E36" s="539">
        <v>0</v>
      </c>
      <c r="F36" s="539">
        <v>0</v>
      </c>
      <c r="G36" s="633">
        <v>9.11</v>
      </c>
      <c r="H36" s="574">
        <v>0</v>
      </c>
      <c r="I36" s="574">
        <v>0</v>
      </c>
      <c r="J36" s="574">
        <v>5.4</v>
      </c>
      <c r="K36" s="574">
        <v>0</v>
      </c>
      <c r="L36" s="574">
        <v>0</v>
      </c>
      <c r="M36" s="625">
        <v>5.4</v>
      </c>
      <c r="N36" s="626">
        <v>-0.40724478594950597</v>
      </c>
      <c r="O36" s="498" t="s">
        <v>850</v>
      </c>
      <c r="P36" s="634" t="s">
        <v>851</v>
      </c>
    </row>
    <row r="37" spans="1:16" ht="17">
      <c r="A37" s="608" t="s">
        <v>781</v>
      </c>
      <c r="B37" s="228">
        <v>59.749000000000009</v>
      </c>
      <c r="C37" s="228">
        <v>9.3000000000000007</v>
      </c>
      <c r="D37" s="228">
        <v>21</v>
      </c>
      <c r="E37" s="228">
        <v>0</v>
      </c>
      <c r="F37" s="228">
        <v>0</v>
      </c>
      <c r="G37" s="228">
        <v>90.049000000000021</v>
      </c>
      <c r="H37" s="228">
        <v>64.558000000000007</v>
      </c>
      <c r="I37" s="228">
        <v>10.215999999999999</v>
      </c>
      <c r="J37" s="228">
        <v>13.1</v>
      </c>
      <c r="K37" s="228">
        <v>0</v>
      </c>
      <c r="L37" s="228">
        <v>0</v>
      </c>
      <c r="M37" s="228">
        <v>87.874000000000009</v>
      </c>
      <c r="N37" s="627">
        <v>-2.4153516418838752E-2</v>
      </c>
      <c r="O37" s="628"/>
      <c r="P37" s="629"/>
    </row>
    <row r="38" spans="1:16" ht="16">
      <c r="A38" s="610"/>
      <c r="B38" s="635"/>
      <c r="C38" s="635"/>
      <c r="D38" s="635"/>
      <c r="E38" s="635"/>
      <c r="F38" s="635"/>
      <c r="G38" s="635"/>
      <c r="H38" s="635"/>
      <c r="I38" s="635"/>
      <c r="J38" s="635"/>
      <c r="K38" s="635"/>
      <c r="L38" s="635"/>
      <c r="M38" s="635"/>
      <c r="N38" s="637"/>
      <c r="O38" s="623"/>
      <c r="P38" s="623"/>
    </row>
    <row r="39" spans="1:16" ht="17">
      <c r="A39" s="606" t="s">
        <v>782</v>
      </c>
      <c r="B39" s="624"/>
      <c r="C39" s="624"/>
      <c r="D39" s="624"/>
      <c r="E39" s="624"/>
      <c r="F39" s="624"/>
      <c r="G39" s="624"/>
      <c r="H39" s="624"/>
      <c r="I39" s="624"/>
      <c r="J39" s="624"/>
      <c r="K39" s="624"/>
      <c r="L39" s="624"/>
      <c r="M39" s="624"/>
      <c r="N39" s="624"/>
      <c r="O39" s="624"/>
      <c r="P39" s="624"/>
    </row>
    <row r="40" spans="1:16" ht="51">
      <c r="A40" s="497" t="s">
        <v>782</v>
      </c>
      <c r="B40" s="539">
        <v>18.189</v>
      </c>
      <c r="C40" s="539">
        <v>0</v>
      </c>
      <c r="D40" s="539">
        <v>0</v>
      </c>
      <c r="E40" s="539">
        <v>0</v>
      </c>
      <c r="F40" s="539">
        <v>0</v>
      </c>
      <c r="G40" s="633">
        <v>18.189</v>
      </c>
      <c r="H40" s="574">
        <v>24.224</v>
      </c>
      <c r="I40" s="574">
        <v>0</v>
      </c>
      <c r="J40" s="574">
        <v>0</v>
      </c>
      <c r="K40" s="574">
        <v>0</v>
      </c>
      <c r="L40" s="574">
        <v>0</v>
      </c>
      <c r="M40" s="625">
        <v>24.224</v>
      </c>
      <c r="N40" s="626">
        <v>0.33179394139314972</v>
      </c>
      <c r="O40" s="498" t="s">
        <v>852</v>
      </c>
      <c r="P40" s="634" t="s">
        <v>853</v>
      </c>
    </row>
    <row r="41" spans="1:16" ht="17">
      <c r="A41" s="608" t="s">
        <v>783</v>
      </c>
      <c r="B41" s="228">
        <v>18.189</v>
      </c>
      <c r="C41" s="228">
        <v>0</v>
      </c>
      <c r="D41" s="228">
        <v>0</v>
      </c>
      <c r="E41" s="228">
        <v>0</v>
      </c>
      <c r="F41" s="228">
        <v>0</v>
      </c>
      <c r="G41" s="228">
        <v>18.189</v>
      </c>
      <c r="H41" s="228">
        <v>24.224</v>
      </c>
      <c r="I41" s="228">
        <v>0</v>
      </c>
      <c r="J41" s="228">
        <v>0</v>
      </c>
      <c r="K41" s="228">
        <v>0</v>
      </c>
      <c r="L41" s="228">
        <v>0</v>
      </c>
      <c r="M41" s="228">
        <v>24.224</v>
      </c>
      <c r="N41" s="627">
        <v>0.33179394139314972</v>
      </c>
      <c r="O41" s="628"/>
      <c r="P41" s="629"/>
    </row>
    <row r="42" spans="1:16" ht="16">
      <c r="A42" s="610"/>
      <c r="B42" s="635"/>
      <c r="C42" s="635"/>
      <c r="D42" s="635"/>
      <c r="E42" s="635"/>
      <c r="F42" s="635"/>
      <c r="G42" s="635"/>
      <c r="H42" s="635"/>
      <c r="I42" s="635"/>
      <c r="J42" s="635"/>
      <c r="K42" s="635"/>
      <c r="L42" s="635"/>
      <c r="M42" s="635"/>
      <c r="N42" s="636"/>
      <c r="O42" s="623"/>
      <c r="P42" s="623"/>
    </row>
    <row r="43" spans="1:16" ht="34">
      <c r="A43" s="606" t="s">
        <v>784</v>
      </c>
      <c r="B43" s="638"/>
      <c r="C43" s="638"/>
      <c r="D43" s="638"/>
      <c r="E43" s="638"/>
      <c r="F43" s="638"/>
      <c r="G43" s="638"/>
      <c r="H43" s="638"/>
      <c r="I43" s="638"/>
      <c r="J43" s="638"/>
      <c r="K43" s="638"/>
      <c r="L43" s="638"/>
      <c r="M43" s="638"/>
      <c r="N43" s="638"/>
      <c r="O43" s="638"/>
      <c r="P43" s="638"/>
    </row>
    <row r="44" spans="1:16" ht="17">
      <c r="A44" s="497" t="s">
        <v>784</v>
      </c>
      <c r="B44" s="539">
        <v>5.0529999999999999</v>
      </c>
      <c r="C44" s="539">
        <v>0</v>
      </c>
      <c r="D44" s="539">
        <v>0</v>
      </c>
      <c r="E44" s="539">
        <v>0</v>
      </c>
      <c r="F44" s="539">
        <v>0</v>
      </c>
      <c r="G44" s="633">
        <v>5.0529999999999999</v>
      </c>
      <c r="H44" s="574">
        <v>4.9969999999999999</v>
      </c>
      <c r="I44" s="574">
        <v>0</v>
      </c>
      <c r="J44" s="574">
        <v>0</v>
      </c>
      <c r="K44" s="574">
        <v>0</v>
      </c>
      <c r="L44" s="574">
        <v>0</v>
      </c>
      <c r="M44" s="625">
        <v>4.9969999999999999</v>
      </c>
      <c r="N44" s="626">
        <v>-1.1082525232535138E-2</v>
      </c>
      <c r="O44" s="498" t="s">
        <v>854</v>
      </c>
      <c r="P44" s="634" t="s">
        <v>855</v>
      </c>
    </row>
    <row r="45" spans="1:16" ht="34">
      <c r="A45" s="608" t="s">
        <v>785</v>
      </c>
      <c r="B45" s="228">
        <v>5.0529999999999999</v>
      </c>
      <c r="C45" s="228">
        <v>0</v>
      </c>
      <c r="D45" s="228">
        <v>0</v>
      </c>
      <c r="E45" s="228">
        <v>0</v>
      </c>
      <c r="F45" s="228">
        <v>0</v>
      </c>
      <c r="G45" s="228">
        <v>5.0529999999999999</v>
      </c>
      <c r="H45" s="228">
        <v>4.9969999999999999</v>
      </c>
      <c r="I45" s="228">
        <v>0</v>
      </c>
      <c r="J45" s="228">
        <v>0</v>
      </c>
      <c r="K45" s="228">
        <v>0</v>
      </c>
      <c r="L45" s="228">
        <v>0</v>
      </c>
      <c r="M45" s="228">
        <v>4.9969999999999999</v>
      </c>
      <c r="N45" s="627">
        <v>-1.1082525232535138E-2</v>
      </c>
      <c r="O45" s="628"/>
      <c r="P45" s="629"/>
    </row>
    <row r="46" spans="1:16" ht="16">
      <c r="A46" s="610"/>
      <c r="B46" s="635"/>
      <c r="C46" s="635"/>
      <c r="D46" s="635"/>
      <c r="E46" s="635"/>
      <c r="F46" s="635"/>
      <c r="G46" s="635"/>
      <c r="H46" s="635"/>
      <c r="I46" s="635"/>
      <c r="J46" s="635"/>
      <c r="K46" s="635"/>
      <c r="L46" s="635"/>
      <c r="M46" s="635"/>
      <c r="N46" s="636"/>
      <c r="O46" s="623"/>
      <c r="P46" s="623"/>
    </row>
    <row r="47" spans="1:16" ht="17">
      <c r="A47" s="606" t="s">
        <v>786</v>
      </c>
      <c r="B47" s="638"/>
      <c r="C47" s="638"/>
      <c r="D47" s="638"/>
      <c r="E47" s="638"/>
      <c r="F47" s="638"/>
      <c r="G47" s="638"/>
      <c r="H47" s="638"/>
      <c r="I47" s="638"/>
      <c r="J47" s="638"/>
      <c r="K47" s="638"/>
      <c r="L47" s="638"/>
      <c r="M47" s="638"/>
      <c r="N47" s="638"/>
      <c r="O47" s="638"/>
      <c r="P47" s="638"/>
    </row>
    <row r="48" spans="1:16" ht="34">
      <c r="A48" s="497" t="s">
        <v>787</v>
      </c>
      <c r="B48" s="539">
        <v>22.861999999999998</v>
      </c>
      <c r="C48" s="539">
        <v>0</v>
      </c>
      <c r="D48" s="539">
        <v>0</v>
      </c>
      <c r="E48" s="539">
        <v>0</v>
      </c>
      <c r="F48" s="539">
        <v>0</v>
      </c>
      <c r="G48" s="633">
        <v>22.861999999999998</v>
      </c>
      <c r="H48" s="574">
        <v>22.931999999999999</v>
      </c>
      <c r="I48" s="574">
        <v>0</v>
      </c>
      <c r="J48" s="574">
        <v>0</v>
      </c>
      <c r="K48" s="574">
        <v>0</v>
      </c>
      <c r="L48" s="574">
        <v>0</v>
      </c>
      <c r="M48" s="625">
        <v>22.931999999999999</v>
      </c>
      <c r="N48" s="626">
        <v>3.0618493570116478E-3</v>
      </c>
      <c r="O48" s="498" t="s">
        <v>856</v>
      </c>
      <c r="P48" s="634" t="s">
        <v>857</v>
      </c>
    </row>
    <row r="49" spans="1:16" ht="17">
      <c r="A49" s="608" t="s">
        <v>788</v>
      </c>
      <c r="B49" s="228">
        <v>22.861999999999998</v>
      </c>
      <c r="C49" s="228">
        <v>0</v>
      </c>
      <c r="D49" s="228">
        <v>0</v>
      </c>
      <c r="E49" s="228">
        <v>0</v>
      </c>
      <c r="F49" s="228">
        <v>0</v>
      </c>
      <c r="G49" s="228">
        <v>22.861999999999998</v>
      </c>
      <c r="H49" s="228">
        <v>22.931999999999999</v>
      </c>
      <c r="I49" s="228">
        <v>0</v>
      </c>
      <c r="J49" s="228">
        <v>0</v>
      </c>
      <c r="K49" s="228">
        <v>0</v>
      </c>
      <c r="L49" s="228">
        <v>0</v>
      </c>
      <c r="M49" s="228">
        <v>22.931999999999999</v>
      </c>
      <c r="N49" s="627">
        <v>3.0618493570116478E-3</v>
      </c>
      <c r="O49" s="628"/>
      <c r="P49" s="629"/>
    </row>
    <row r="50" spans="1:16" ht="16">
      <c r="A50" s="610"/>
      <c r="B50" s="635"/>
      <c r="C50" s="635"/>
      <c r="D50" s="635"/>
      <c r="E50" s="635"/>
      <c r="F50" s="635"/>
      <c r="G50" s="635"/>
      <c r="H50" s="635"/>
      <c r="I50" s="635"/>
      <c r="J50" s="635"/>
      <c r="K50" s="635"/>
      <c r="L50" s="635"/>
      <c r="M50" s="635"/>
      <c r="N50" s="636"/>
      <c r="O50" s="623"/>
      <c r="P50" s="623"/>
    </row>
    <row r="51" spans="1:16" ht="17">
      <c r="A51" s="507" t="s">
        <v>789</v>
      </c>
      <c r="B51" s="547">
        <v>176.86700000000002</v>
      </c>
      <c r="C51" s="547">
        <v>9.5200000000000014</v>
      </c>
      <c r="D51" s="547">
        <v>21</v>
      </c>
      <c r="E51" s="547">
        <v>0</v>
      </c>
      <c r="F51" s="547">
        <v>0</v>
      </c>
      <c r="G51" s="547">
        <v>207.38700000000003</v>
      </c>
      <c r="H51" s="547">
        <v>182.63200000000003</v>
      </c>
      <c r="I51" s="547">
        <v>10.366</v>
      </c>
      <c r="J51" s="547">
        <v>13.1</v>
      </c>
      <c r="K51" s="547">
        <v>0</v>
      </c>
      <c r="L51" s="547">
        <v>0</v>
      </c>
      <c r="M51" s="547">
        <v>206.09800000000004</v>
      </c>
      <c r="N51" s="372">
        <v>-6.2154329827809216E-3</v>
      </c>
      <c r="O51" s="639"/>
      <c r="P51" s="640"/>
    </row>
    <row r="52" spans="1:16" ht="16">
      <c r="A52" s="610"/>
      <c r="B52" s="635"/>
      <c r="C52" s="635"/>
      <c r="D52" s="635"/>
      <c r="E52" s="635"/>
      <c r="F52" s="635"/>
      <c r="G52" s="635"/>
      <c r="H52" s="635"/>
      <c r="I52" s="635"/>
      <c r="J52" s="635"/>
      <c r="K52" s="635"/>
      <c r="L52" s="635"/>
      <c r="M52" s="635"/>
      <c r="N52" s="637"/>
      <c r="O52" s="623"/>
      <c r="P52" s="623"/>
    </row>
    <row r="53" spans="1:16" ht="17">
      <c r="A53" s="611" t="s">
        <v>790</v>
      </c>
      <c r="B53" s="641"/>
      <c r="C53" s="641"/>
      <c r="D53" s="641"/>
      <c r="E53" s="641"/>
      <c r="F53" s="641"/>
      <c r="G53" s="641"/>
      <c r="H53" s="641"/>
      <c r="I53" s="641"/>
      <c r="J53" s="641"/>
      <c r="K53" s="641"/>
      <c r="L53" s="641"/>
      <c r="M53" s="641"/>
      <c r="N53" s="641"/>
      <c r="O53" s="641"/>
      <c r="P53" s="641"/>
    </row>
    <row r="54" spans="1:16" ht="102">
      <c r="A54" s="497" t="s">
        <v>791</v>
      </c>
      <c r="B54" s="539">
        <v>93.9</v>
      </c>
      <c r="C54" s="539">
        <v>0</v>
      </c>
      <c r="D54" s="539">
        <v>0</v>
      </c>
      <c r="E54" s="539">
        <v>0</v>
      </c>
      <c r="F54" s="539">
        <v>0</v>
      </c>
      <c r="G54" s="633">
        <v>93.9</v>
      </c>
      <c r="H54" s="574">
        <v>110.53</v>
      </c>
      <c r="I54" s="574">
        <v>0</v>
      </c>
      <c r="J54" s="574">
        <v>0</v>
      </c>
      <c r="K54" s="574">
        <v>0</v>
      </c>
      <c r="L54" s="574">
        <v>0</v>
      </c>
      <c r="M54" s="625">
        <v>110.53</v>
      </c>
      <c r="N54" s="626">
        <v>0.17710330138445149</v>
      </c>
      <c r="O54" s="498" t="s">
        <v>858</v>
      </c>
      <c r="P54" s="634" t="s">
        <v>859</v>
      </c>
    </row>
    <row r="55" spans="1:16" ht="17">
      <c r="A55" s="497" t="s">
        <v>792</v>
      </c>
      <c r="B55" s="539">
        <v>0</v>
      </c>
      <c r="C55" s="539">
        <v>3</v>
      </c>
      <c r="D55" s="539">
        <v>0</v>
      </c>
      <c r="E55" s="539">
        <v>0</v>
      </c>
      <c r="F55" s="539">
        <v>0</v>
      </c>
      <c r="G55" s="633">
        <v>3</v>
      </c>
      <c r="H55" s="574">
        <v>0</v>
      </c>
      <c r="I55" s="574">
        <v>4</v>
      </c>
      <c r="J55" s="574">
        <v>0</v>
      </c>
      <c r="K55" s="574">
        <v>0</v>
      </c>
      <c r="L55" s="574">
        <v>0</v>
      </c>
      <c r="M55" s="625">
        <v>4</v>
      </c>
      <c r="N55" s="626">
        <v>0.33333333333333331</v>
      </c>
      <c r="O55" s="498" t="s">
        <v>860</v>
      </c>
      <c r="P55" s="634" t="s">
        <v>337</v>
      </c>
    </row>
    <row r="56" spans="1:16" ht="17">
      <c r="A56" s="96" t="s">
        <v>793</v>
      </c>
      <c r="B56" s="642">
        <v>93.9</v>
      </c>
      <c r="C56" s="642">
        <v>3</v>
      </c>
      <c r="D56" s="642">
        <v>0</v>
      </c>
      <c r="E56" s="642">
        <v>0</v>
      </c>
      <c r="F56" s="642">
        <v>0</v>
      </c>
      <c r="G56" s="633">
        <v>96.9</v>
      </c>
      <c r="H56" s="642">
        <v>110.53</v>
      </c>
      <c r="I56" s="642">
        <v>4</v>
      </c>
      <c r="J56" s="642">
        <v>0</v>
      </c>
      <c r="K56" s="642">
        <v>0</v>
      </c>
      <c r="L56" s="642">
        <v>0</v>
      </c>
      <c r="M56" s="633">
        <v>114.53</v>
      </c>
      <c r="N56" s="626">
        <v>0.1819401444788441</v>
      </c>
      <c r="O56" s="643" t="s">
        <v>337</v>
      </c>
      <c r="P56" s="644" t="s">
        <v>337</v>
      </c>
    </row>
    <row r="57" spans="1:16" ht="51">
      <c r="A57" s="497" t="s">
        <v>794</v>
      </c>
      <c r="B57" s="539">
        <v>0</v>
      </c>
      <c r="C57" s="539">
        <v>0</v>
      </c>
      <c r="D57" s="539">
        <v>6.5</v>
      </c>
      <c r="E57" s="539">
        <v>0</v>
      </c>
      <c r="F57" s="539">
        <v>0</v>
      </c>
      <c r="G57" s="633">
        <v>6.5</v>
      </c>
      <c r="H57" s="574">
        <v>0</v>
      </c>
      <c r="I57" s="574">
        <v>0</v>
      </c>
      <c r="J57" s="574">
        <v>9</v>
      </c>
      <c r="K57" s="574">
        <v>0</v>
      </c>
      <c r="L57" s="574">
        <v>0</v>
      </c>
      <c r="M57" s="625">
        <v>9</v>
      </c>
      <c r="N57" s="626">
        <v>0.38461538461538464</v>
      </c>
      <c r="O57" s="498" t="s">
        <v>861</v>
      </c>
      <c r="P57" s="634" t="s">
        <v>862</v>
      </c>
    </row>
    <row r="58" spans="1:16" ht="17">
      <c r="A58" s="96" t="s">
        <v>795</v>
      </c>
      <c r="B58" s="539">
        <v>-33.299999999999997</v>
      </c>
      <c r="C58" s="539">
        <v>0</v>
      </c>
      <c r="D58" s="539">
        <v>0</v>
      </c>
      <c r="E58" s="539">
        <v>0</v>
      </c>
      <c r="F58" s="539">
        <v>0</v>
      </c>
      <c r="G58" s="633">
        <v>-33.299999999999997</v>
      </c>
      <c r="H58" s="574">
        <v>-50.8</v>
      </c>
      <c r="I58" s="574">
        <v>0</v>
      </c>
      <c r="J58" s="574">
        <v>0</v>
      </c>
      <c r="K58" s="574">
        <v>0</v>
      </c>
      <c r="L58" s="574">
        <v>0</v>
      </c>
      <c r="M58" s="625">
        <v>-50.8</v>
      </c>
      <c r="N58" s="626">
        <v>0.52552552552552556</v>
      </c>
      <c r="O58" s="498" t="s">
        <v>863</v>
      </c>
      <c r="P58" s="634" t="s">
        <v>864</v>
      </c>
    </row>
    <row r="59" spans="1:16" ht="17">
      <c r="A59" s="507" t="s">
        <v>796</v>
      </c>
      <c r="B59" s="547">
        <v>60.600000000000009</v>
      </c>
      <c r="C59" s="547">
        <v>3</v>
      </c>
      <c r="D59" s="547">
        <v>6.5</v>
      </c>
      <c r="E59" s="547">
        <v>0</v>
      </c>
      <c r="F59" s="547">
        <v>0</v>
      </c>
      <c r="G59" s="547">
        <v>70.100000000000009</v>
      </c>
      <c r="H59" s="547">
        <v>59.730000000000004</v>
      </c>
      <c r="I59" s="547">
        <v>4</v>
      </c>
      <c r="J59" s="547">
        <v>9</v>
      </c>
      <c r="K59" s="547">
        <v>0</v>
      </c>
      <c r="L59" s="547">
        <v>0</v>
      </c>
      <c r="M59" s="547">
        <v>72.73</v>
      </c>
      <c r="N59" s="372">
        <v>3.7517831669044155E-2</v>
      </c>
      <c r="O59" s="639"/>
      <c r="P59" s="640"/>
    </row>
    <row r="61" spans="1:16" ht="17">
      <c r="A61" s="611" t="s">
        <v>797</v>
      </c>
      <c r="B61" s="641"/>
      <c r="C61" s="641"/>
      <c r="D61" s="641"/>
      <c r="E61" s="641"/>
      <c r="F61" s="641"/>
      <c r="G61" s="641"/>
      <c r="H61" s="641"/>
      <c r="I61" s="641"/>
      <c r="J61" s="641"/>
      <c r="K61" s="641"/>
      <c r="L61" s="641"/>
      <c r="M61" s="641"/>
      <c r="N61" s="641"/>
      <c r="O61" s="641"/>
      <c r="P61" s="641"/>
    </row>
    <row r="62" spans="1:16" ht="17">
      <c r="A62" s="96" t="s">
        <v>798</v>
      </c>
      <c r="B62" s="645"/>
      <c r="C62" s="645"/>
      <c r="D62" s="645"/>
      <c r="E62" s="645"/>
      <c r="F62" s="645"/>
      <c r="G62" s="645"/>
      <c r="H62" s="645"/>
      <c r="I62" s="645"/>
      <c r="J62" s="645"/>
      <c r="K62" s="645"/>
      <c r="L62" s="645"/>
      <c r="M62" s="645"/>
      <c r="N62" s="646"/>
      <c r="O62" s="647" t="s">
        <v>337</v>
      </c>
      <c r="P62" s="648" t="s">
        <v>337</v>
      </c>
    </row>
    <row r="63" spans="1:16" ht="17">
      <c r="A63" s="497" t="s">
        <v>799</v>
      </c>
      <c r="B63" s="539">
        <v>58.8</v>
      </c>
      <c r="C63" s="539">
        <v>0</v>
      </c>
      <c r="D63" s="539">
        <v>0</v>
      </c>
      <c r="E63" s="539">
        <v>0</v>
      </c>
      <c r="F63" s="539">
        <v>0</v>
      </c>
      <c r="G63" s="633">
        <v>58.8</v>
      </c>
      <c r="H63" s="574">
        <v>32.1</v>
      </c>
      <c r="I63" s="574">
        <v>0</v>
      </c>
      <c r="J63" s="574">
        <v>0</v>
      </c>
      <c r="K63" s="574">
        <v>0</v>
      </c>
      <c r="L63" s="574">
        <v>0</v>
      </c>
      <c r="M63" s="625">
        <v>32.1</v>
      </c>
      <c r="N63" s="626">
        <v>-0.45408163265306117</v>
      </c>
      <c r="O63" s="498" t="s">
        <v>865</v>
      </c>
      <c r="P63" s="634" t="s">
        <v>866</v>
      </c>
    </row>
    <row r="64" spans="1:16" ht="17">
      <c r="A64" s="497" t="s">
        <v>800</v>
      </c>
      <c r="B64" s="539">
        <v>0</v>
      </c>
      <c r="C64" s="539">
        <v>3.5609999999999999</v>
      </c>
      <c r="D64" s="539">
        <v>0</v>
      </c>
      <c r="E64" s="539">
        <v>0</v>
      </c>
      <c r="F64" s="539">
        <v>0</v>
      </c>
      <c r="G64" s="633">
        <v>3.5609999999999999</v>
      </c>
      <c r="H64" s="574">
        <v>0</v>
      </c>
      <c r="I64" s="574">
        <v>2.7</v>
      </c>
      <c r="J64" s="574">
        <v>0</v>
      </c>
      <c r="K64" s="574">
        <v>0</v>
      </c>
      <c r="L64" s="574">
        <v>0</v>
      </c>
      <c r="M64" s="625">
        <v>2.7</v>
      </c>
      <c r="N64" s="626">
        <v>-0.24178601516427964</v>
      </c>
      <c r="O64" s="498" t="s">
        <v>867</v>
      </c>
      <c r="P64" s="634" t="s">
        <v>337</v>
      </c>
    </row>
    <row r="65" spans="1:16" ht="17">
      <c r="A65" s="96" t="s">
        <v>793</v>
      </c>
      <c r="B65" s="555">
        <v>58.8</v>
      </c>
      <c r="C65" s="555">
        <v>3.5609999999999999</v>
      </c>
      <c r="D65" s="555">
        <v>0</v>
      </c>
      <c r="E65" s="555">
        <v>0</v>
      </c>
      <c r="F65" s="555">
        <v>0</v>
      </c>
      <c r="G65" s="555">
        <v>62.360999999999997</v>
      </c>
      <c r="H65" s="555">
        <v>32.1</v>
      </c>
      <c r="I65" s="555">
        <v>2.7</v>
      </c>
      <c r="J65" s="555">
        <v>0</v>
      </c>
      <c r="K65" s="555">
        <v>0</v>
      </c>
      <c r="L65" s="555">
        <v>0</v>
      </c>
      <c r="M65" s="555">
        <v>34.800000000000004</v>
      </c>
      <c r="N65" s="626">
        <v>-0.44195891663058634</v>
      </c>
      <c r="O65" s="643" t="s">
        <v>337</v>
      </c>
      <c r="P65" s="644" t="s">
        <v>337</v>
      </c>
    </row>
    <row r="66" spans="1:16" ht="34">
      <c r="A66" s="96" t="s">
        <v>648</v>
      </c>
      <c r="B66" s="539">
        <v>0</v>
      </c>
      <c r="C66" s="539">
        <v>0</v>
      </c>
      <c r="D66" s="539">
        <v>3</v>
      </c>
      <c r="E66" s="539">
        <v>0</v>
      </c>
      <c r="F66" s="539">
        <v>0</v>
      </c>
      <c r="G66" s="633">
        <v>3</v>
      </c>
      <c r="H66" s="574">
        <v>0</v>
      </c>
      <c r="I66" s="574">
        <v>0</v>
      </c>
      <c r="J66" s="574">
        <v>4</v>
      </c>
      <c r="K66" s="574">
        <v>0</v>
      </c>
      <c r="L66" s="574">
        <v>0</v>
      </c>
      <c r="M66" s="625">
        <v>4</v>
      </c>
      <c r="N66" s="626">
        <v>0.33333333333333331</v>
      </c>
      <c r="O66" s="498" t="s">
        <v>868</v>
      </c>
      <c r="P66" s="634" t="s">
        <v>862</v>
      </c>
    </row>
    <row r="67" spans="1:16" ht="17">
      <c r="A67" s="96" t="s">
        <v>795</v>
      </c>
      <c r="B67" s="539">
        <v>-5.8</v>
      </c>
      <c r="C67" s="539">
        <v>0</v>
      </c>
      <c r="D67" s="539">
        <v>0</v>
      </c>
      <c r="E67" s="539">
        <v>0</v>
      </c>
      <c r="F67" s="539">
        <v>0</v>
      </c>
      <c r="G67" s="633">
        <v>-5.8</v>
      </c>
      <c r="H67" s="574">
        <v>-5.8</v>
      </c>
      <c r="I67" s="574">
        <v>0</v>
      </c>
      <c r="J67" s="574">
        <v>0</v>
      </c>
      <c r="K67" s="574">
        <v>0</v>
      </c>
      <c r="L67" s="574">
        <v>0</v>
      </c>
      <c r="M67" s="625">
        <v>-5.8</v>
      </c>
      <c r="N67" s="626">
        <v>0</v>
      </c>
      <c r="O67" s="498" t="s">
        <v>869</v>
      </c>
      <c r="P67" s="634" t="s">
        <v>513</v>
      </c>
    </row>
    <row r="68" spans="1:16" ht="17">
      <c r="A68" s="500" t="s">
        <v>801</v>
      </c>
      <c r="B68" s="547">
        <v>53</v>
      </c>
      <c r="C68" s="547">
        <v>3.5609999999999999</v>
      </c>
      <c r="D68" s="547">
        <v>3</v>
      </c>
      <c r="E68" s="547">
        <v>0</v>
      </c>
      <c r="F68" s="547">
        <v>0</v>
      </c>
      <c r="G68" s="547">
        <v>59.560999999999993</v>
      </c>
      <c r="H68" s="547">
        <v>26.3</v>
      </c>
      <c r="I68" s="547">
        <v>2.7</v>
      </c>
      <c r="J68" s="547">
        <v>4</v>
      </c>
      <c r="K68" s="547">
        <v>0</v>
      </c>
      <c r="L68" s="547">
        <v>0</v>
      </c>
      <c r="M68" s="547">
        <v>33.000000000000007</v>
      </c>
      <c r="N68" s="372">
        <v>-0.44594617283121485</v>
      </c>
      <c r="O68" s="623"/>
      <c r="P68" s="623"/>
    </row>
    <row r="69" spans="1:16" ht="16">
      <c r="A69" s="612"/>
      <c r="B69" s="649"/>
      <c r="C69" s="649"/>
      <c r="D69" s="649"/>
      <c r="E69" s="649"/>
      <c r="F69" s="649"/>
      <c r="G69" s="635"/>
      <c r="H69" s="649"/>
      <c r="I69" s="649"/>
      <c r="J69" s="649"/>
      <c r="K69" s="649"/>
      <c r="L69" s="649"/>
      <c r="M69" s="635"/>
      <c r="N69" s="637"/>
      <c r="O69" s="623"/>
      <c r="P69" s="623"/>
    </row>
    <row r="70" spans="1:16" ht="17">
      <c r="A70" s="613" t="s">
        <v>802</v>
      </c>
      <c r="B70" s="650"/>
      <c r="C70" s="650"/>
      <c r="D70" s="650"/>
      <c r="E70" s="650"/>
      <c r="F70" s="650"/>
      <c r="G70" s="650"/>
      <c r="H70" s="650"/>
      <c r="I70" s="650"/>
      <c r="J70" s="650"/>
      <c r="K70" s="650"/>
      <c r="L70" s="650"/>
      <c r="M70" s="650"/>
      <c r="N70" s="650"/>
      <c r="O70" s="650"/>
      <c r="P70" s="650"/>
    </row>
    <row r="71" spans="1:16" ht="16">
      <c r="A71" s="172"/>
      <c r="B71" s="261"/>
      <c r="C71" s="261"/>
      <c r="D71" s="261"/>
      <c r="E71" s="261"/>
      <c r="F71" s="261"/>
      <c r="G71" s="261"/>
      <c r="H71" s="261"/>
      <c r="I71" s="261"/>
      <c r="J71" s="261"/>
      <c r="K71" s="261"/>
      <c r="L71" s="261"/>
      <c r="M71" s="261"/>
      <c r="N71" s="651"/>
      <c r="O71" s="651"/>
      <c r="P71" s="651"/>
    </row>
    <row r="72" spans="1:16" ht="17">
      <c r="A72" s="606" t="s">
        <v>803</v>
      </c>
      <c r="B72" s="624"/>
      <c r="C72" s="624"/>
      <c r="D72" s="624"/>
      <c r="E72" s="624"/>
      <c r="F72" s="624"/>
      <c r="G72" s="624"/>
      <c r="H72" s="624"/>
      <c r="I72" s="624"/>
      <c r="J72" s="624"/>
      <c r="K72" s="624"/>
      <c r="L72" s="624"/>
      <c r="M72" s="624"/>
      <c r="N72" s="624"/>
      <c r="O72" s="624"/>
      <c r="P72" s="624"/>
    </row>
    <row r="73" spans="1:16" ht="17">
      <c r="A73" s="614" t="s">
        <v>804</v>
      </c>
      <c r="B73" s="539">
        <v>7.0640000000000001</v>
      </c>
      <c r="C73" s="539">
        <v>0</v>
      </c>
      <c r="D73" s="539">
        <v>0</v>
      </c>
      <c r="E73" s="539">
        <v>0</v>
      </c>
      <c r="F73" s="539">
        <v>0</v>
      </c>
      <c r="G73" s="633">
        <v>7.0640000000000001</v>
      </c>
      <c r="H73" s="574">
        <v>7.1209999999999996</v>
      </c>
      <c r="I73" s="574">
        <v>0</v>
      </c>
      <c r="J73" s="574">
        <v>0</v>
      </c>
      <c r="K73" s="574">
        <v>0</v>
      </c>
      <c r="L73" s="574">
        <v>0</v>
      </c>
      <c r="M73" s="625">
        <v>7.1209999999999996</v>
      </c>
      <c r="N73" s="626">
        <v>8.0690826727066109E-3</v>
      </c>
      <c r="O73" s="498" t="s">
        <v>870</v>
      </c>
      <c r="P73" s="634" t="s">
        <v>871</v>
      </c>
    </row>
    <row r="74" spans="1:16" ht="17">
      <c r="A74" s="614" t="s">
        <v>805</v>
      </c>
      <c r="B74" s="539">
        <v>0.17699999999999999</v>
      </c>
      <c r="C74" s="539">
        <v>0</v>
      </c>
      <c r="D74" s="539">
        <v>0</v>
      </c>
      <c r="E74" s="539">
        <v>0</v>
      </c>
      <c r="F74" s="539">
        <v>0</v>
      </c>
      <c r="G74" s="633">
        <v>0.17699999999999999</v>
      </c>
      <c r="H74" s="574">
        <v>0.17699999999999999</v>
      </c>
      <c r="I74" s="574">
        <v>0</v>
      </c>
      <c r="J74" s="574">
        <v>0</v>
      </c>
      <c r="K74" s="574">
        <v>0</v>
      </c>
      <c r="L74" s="574">
        <v>0</v>
      </c>
      <c r="M74" s="625">
        <v>0.17699999999999999</v>
      </c>
      <c r="N74" s="626">
        <v>0</v>
      </c>
      <c r="O74" s="498" t="s">
        <v>872</v>
      </c>
      <c r="P74" s="634" t="s">
        <v>293</v>
      </c>
    </row>
    <row r="75" spans="1:16" ht="34">
      <c r="A75" s="614" t="s">
        <v>806</v>
      </c>
      <c r="B75" s="539">
        <v>0.56699999999999995</v>
      </c>
      <c r="C75" s="539">
        <v>0</v>
      </c>
      <c r="D75" s="539">
        <v>0</v>
      </c>
      <c r="E75" s="539">
        <v>0</v>
      </c>
      <c r="F75" s="539">
        <v>0</v>
      </c>
      <c r="G75" s="633">
        <v>0.56699999999999995</v>
      </c>
      <c r="H75" s="574">
        <v>0.48199999999999993</v>
      </c>
      <c r="I75" s="574">
        <v>0</v>
      </c>
      <c r="J75" s="574">
        <v>0</v>
      </c>
      <c r="K75" s="574">
        <v>0</v>
      </c>
      <c r="L75" s="574">
        <v>0</v>
      </c>
      <c r="M75" s="625">
        <v>0.48199999999999993</v>
      </c>
      <c r="N75" s="626">
        <v>-0.14991181657848329</v>
      </c>
      <c r="O75" s="498" t="s">
        <v>873</v>
      </c>
      <c r="P75" s="634" t="s">
        <v>874</v>
      </c>
    </row>
    <row r="76" spans="1:16" ht="34">
      <c r="A76" s="614" t="s">
        <v>807</v>
      </c>
      <c r="B76" s="539">
        <v>0.79400000000000004</v>
      </c>
      <c r="C76" s="539">
        <v>0</v>
      </c>
      <c r="D76" s="539">
        <v>0</v>
      </c>
      <c r="E76" s="539">
        <v>0</v>
      </c>
      <c r="F76" s="539">
        <v>0</v>
      </c>
      <c r="G76" s="633">
        <v>0.79400000000000004</v>
      </c>
      <c r="H76" s="574">
        <v>0.78199999999999981</v>
      </c>
      <c r="I76" s="574">
        <v>0</v>
      </c>
      <c r="J76" s="574">
        <v>0</v>
      </c>
      <c r="K76" s="574">
        <v>0</v>
      </c>
      <c r="L76" s="574">
        <v>0</v>
      </c>
      <c r="M76" s="625">
        <v>0.78199999999999981</v>
      </c>
      <c r="N76" s="626">
        <v>-1.5113350125944877E-2</v>
      </c>
      <c r="O76" s="498" t="s">
        <v>875</v>
      </c>
      <c r="P76" s="634" t="s">
        <v>871</v>
      </c>
    </row>
    <row r="77" spans="1:16" ht="34">
      <c r="A77" s="614" t="s">
        <v>808</v>
      </c>
      <c r="B77" s="539">
        <v>0.63400000000000001</v>
      </c>
      <c r="C77" s="539">
        <v>0</v>
      </c>
      <c r="D77" s="539">
        <v>0</v>
      </c>
      <c r="E77" s="539">
        <v>0</v>
      </c>
      <c r="F77" s="539">
        <v>0</v>
      </c>
      <c r="G77" s="633">
        <v>0.63400000000000001</v>
      </c>
      <c r="H77" s="574">
        <v>0.6</v>
      </c>
      <c r="I77" s="574">
        <v>0</v>
      </c>
      <c r="J77" s="574">
        <v>0</v>
      </c>
      <c r="K77" s="574">
        <v>0</v>
      </c>
      <c r="L77" s="574">
        <v>0</v>
      </c>
      <c r="M77" s="625">
        <v>0.6</v>
      </c>
      <c r="N77" s="626">
        <v>-5.3627760252365979E-2</v>
      </c>
      <c r="O77" s="498" t="s">
        <v>876</v>
      </c>
      <c r="P77" s="634" t="s">
        <v>871</v>
      </c>
    </row>
    <row r="78" spans="1:16" ht="34">
      <c r="A78" s="614" t="s">
        <v>809</v>
      </c>
      <c r="B78" s="539">
        <v>11.5</v>
      </c>
      <c r="C78" s="539">
        <v>0</v>
      </c>
      <c r="D78" s="539">
        <v>0</v>
      </c>
      <c r="E78" s="539">
        <v>0</v>
      </c>
      <c r="F78" s="539">
        <v>0</v>
      </c>
      <c r="G78" s="633">
        <v>11.5</v>
      </c>
      <c r="H78" s="574">
        <v>11.5</v>
      </c>
      <c r="I78" s="574">
        <v>0</v>
      </c>
      <c r="J78" s="574">
        <v>0</v>
      </c>
      <c r="K78" s="574">
        <v>0</v>
      </c>
      <c r="L78" s="574">
        <v>0</v>
      </c>
      <c r="M78" s="625">
        <v>11.5</v>
      </c>
      <c r="N78" s="626">
        <v>0</v>
      </c>
      <c r="O78" s="498" t="s">
        <v>877</v>
      </c>
      <c r="P78" s="634" t="s">
        <v>293</v>
      </c>
    </row>
    <row r="79" spans="1:16" ht="17">
      <c r="A79" s="614" t="s">
        <v>810</v>
      </c>
      <c r="B79" s="539">
        <v>0.67600000000000005</v>
      </c>
      <c r="C79" s="539">
        <v>0</v>
      </c>
      <c r="D79" s="539">
        <v>0</v>
      </c>
      <c r="E79" s="539">
        <v>0</v>
      </c>
      <c r="F79" s="539">
        <v>0</v>
      </c>
      <c r="G79" s="633">
        <v>0.67600000000000005</v>
      </c>
      <c r="H79" s="574">
        <v>0.67600000000000005</v>
      </c>
      <c r="I79" s="574">
        <v>0</v>
      </c>
      <c r="J79" s="574">
        <v>0</v>
      </c>
      <c r="K79" s="574">
        <v>0</v>
      </c>
      <c r="L79" s="574">
        <v>0</v>
      </c>
      <c r="M79" s="625">
        <v>0.67600000000000005</v>
      </c>
      <c r="N79" s="626">
        <v>0</v>
      </c>
      <c r="O79" s="498" t="s">
        <v>878</v>
      </c>
      <c r="P79" s="634" t="s">
        <v>293</v>
      </c>
    </row>
    <row r="80" spans="1:16" ht="34">
      <c r="A80" s="614" t="s">
        <v>811</v>
      </c>
      <c r="B80" s="539">
        <v>1</v>
      </c>
      <c r="C80" s="539">
        <v>0</v>
      </c>
      <c r="D80" s="539">
        <v>0</v>
      </c>
      <c r="E80" s="539">
        <v>0</v>
      </c>
      <c r="F80" s="539">
        <v>0</v>
      </c>
      <c r="G80" s="633">
        <v>1</v>
      </c>
      <c r="H80" s="574">
        <v>1</v>
      </c>
      <c r="I80" s="574">
        <v>0</v>
      </c>
      <c r="J80" s="574">
        <v>0</v>
      </c>
      <c r="K80" s="574">
        <v>0</v>
      </c>
      <c r="L80" s="574">
        <v>0</v>
      </c>
      <c r="M80" s="625">
        <v>1</v>
      </c>
      <c r="N80" s="626">
        <v>0</v>
      </c>
      <c r="O80" s="498" t="s">
        <v>879</v>
      </c>
      <c r="P80" s="652" t="s">
        <v>293</v>
      </c>
    </row>
    <row r="81" spans="1:16" ht="102">
      <c r="A81" s="615" t="s">
        <v>812</v>
      </c>
      <c r="B81" s="539">
        <v>1.35</v>
      </c>
      <c r="C81" s="539">
        <v>0</v>
      </c>
      <c r="D81" s="539">
        <v>0</v>
      </c>
      <c r="E81" s="539">
        <v>0</v>
      </c>
      <c r="F81" s="539">
        <v>0</v>
      </c>
      <c r="G81" s="633">
        <v>1.35</v>
      </c>
      <c r="H81" s="574">
        <v>1.3319999999999999</v>
      </c>
      <c r="I81" s="574">
        <v>0</v>
      </c>
      <c r="J81" s="574">
        <v>0</v>
      </c>
      <c r="K81" s="574">
        <v>0</v>
      </c>
      <c r="L81" s="574">
        <v>0</v>
      </c>
      <c r="M81" s="625">
        <v>1.3319999999999999</v>
      </c>
      <c r="N81" s="626">
        <v>-1.3333333333333509E-2</v>
      </c>
      <c r="O81" s="634" t="s">
        <v>880</v>
      </c>
      <c r="P81" s="634" t="s">
        <v>871</v>
      </c>
    </row>
    <row r="82" spans="1:16" ht="17">
      <c r="A82" s="614" t="s">
        <v>813</v>
      </c>
      <c r="B82" s="539">
        <v>0.245</v>
      </c>
      <c r="C82" s="539">
        <v>0</v>
      </c>
      <c r="D82" s="539">
        <v>0</v>
      </c>
      <c r="E82" s="539">
        <v>0</v>
      </c>
      <c r="F82" s="539">
        <v>0</v>
      </c>
      <c r="G82" s="633">
        <v>0.245</v>
      </c>
      <c r="H82" s="574">
        <v>0.245</v>
      </c>
      <c r="I82" s="574">
        <v>0</v>
      </c>
      <c r="J82" s="574">
        <v>0</v>
      </c>
      <c r="K82" s="574">
        <v>0</v>
      </c>
      <c r="L82" s="574">
        <v>0</v>
      </c>
      <c r="M82" s="625">
        <v>0.245</v>
      </c>
      <c r="N82" s="626">
        <v>0</v>
      </c>
      <c r="O82" s="498" t="s">
        <v>881</v>
      </c>
      <c r="P82" s="653" t="s">
        <v>293</v>
      </c>
    </row>
    <row r="83" spans="1:16" ht="51">
      <c r="A83" s="614" t="s">
        <v>814</v>
      </c>
      <c r="B83" s="539">
        <v>2.2570000000000001</v>
      </c>
      <c r="C83" s="539">
        <v>0</v>
      </c>
      <c r="D83" s="539">
        <v>0</v>
      </c>
      <c r="E83" s="539">
        <v>0</v>
      </c>
      <c r="F83" s="539">
        <v>0</v>
      </c>
      <c r="G83" s="633">
        <v>2.2570000000000001</v>
      </c>
      <c r="H83" s="574">
        <v>4.0129999999999999</v>
      </c>
      <c r="I83" s="574">
        <v>0</v>
      </c>
      <c r="J83" s="574">
        <v>0</v>
      </c>
      <c r="K83" s="574">
        <v>0</v>
      </c>
      <c r="L83" s="574">
        <v>0</v>
      </c>
      <c r="M83" s="625">
        <v>4.0129999999999999</v>
      </c>
      <c r="N83" s="626">
        <v>0.77802392556490907</v>
      </c>
      <c r="O83" s="498" t="s">
        <v>882</v>
      </c>
      <c r="P83" s="634" t="s">
        <v>883</v>
      </c>
    </row>
    <row r="84" spans="1:16" ht="34">
      <c r="A84" s="614" t="s">
        <v>815</v>
      </c>
      <c r="B84" s="539">
        <v>0.65900000000000003</v>
      </c>
      <c r="C84" s="539">
        <v>0</v>
      </c>
      <c r="D84" s="539">
        <v>0</v>
      </c>
      <c r="E84" s="539">
        <v>0</v>
      </c>
      <c r="F84" s="539">
        <v>0</v>
      </c>
      <c r="G84" s="633">
        <v>0.65900000000000003</v>
      </c>
      <c r="H84" s="574">
        <v>0.67300000000000004</v>
      </c>
      <c r="I84" s="574">
        <v>0</v>
      </c>
      <c r="J84" s="574">
        <v>0</v>
      </c>
      <c r="K84" s="574">
        <v>0</v>
      </c>
      <c r="L84" s="574">
        <v>0</v>
      </c>
      <c r="M84" s="625">
        <v>0.67300000000000004</v>
      </c>
      <c r="N84" s="626">
        <v>2.124430955993932E-2</v>
      </c>
      <c r="O84" s="498" t="s">
        <v>884</v>
      </c>
      <c r="P84" s="634" t="s">
        <v>871</v>
      </c>
    </row>
    <row r="85" spans="1:16" ht="34">
      <c r="A85" s="615" t="s">
        <v>816</v>
      </c>
      <c r="B85" s="539">
        <v>0.59799999999999998</v>
      </c>
      <c r="C85" s="539">
        <v>0</v>
      </c>
      <c r="D85" s="539">
        <v>0</v>
      </c>
      <c r="E85" s="539">
        <v>0</v>
      </c>
      <c r="F85" s="539">
        <v>0</v>
      </c>
      <c r="G85" s="633">
        <v>0.59799999999999998</v>
      </c>
      <c r="H85" s="574">
        <v>0.69300000000000006</v>
      </c>
      <c r="I85" s="574">
        <v>0</v>
      </c>
      <c r="J85" s="574">
        <v>0</v>
      </c>
      <c r="K85" s="574">
        <v>0</v>
      </c>
      <c r="L85" s="574">
        <v>0</v>
      </c>
      <c r="M85" s="625">
        <v>0.69300000000000006</v>
      </c>
      <c r="N85" s="626">
        <v>0.15886287625418075</v>
      </c>
      <c r="O85" s="498" t="s">
        <v>885</v>
      </c>
      <c r="P85" s="634" t="s">
        <v>886</v>
      </c>
    </row>
    <row r="86" spans="1:16" ht="34">
      <c r="A86" s="614" t="s">
        <v>817</v>
      </c>
      <c r="B86" s="539">
        <v>2.4670000000000001</v>
      </c>
      <c r="C86" s="539">
        <v>0</v>
      </c>
      <c r="D86" s="539">
        <v>0</v>
      </c>
      <c r="E86" s="539">
        <v>0</v>
      </c>
      <c r="F86" s="539">
        <v>0</v>
      </c>
      <c r="G86" s="633">
        <v>2.4670000000000001</v>
      </c>
      <c r="H86" s="574">
        <v>2.4409999999999998</v>
      </c>
      <c r="I86" s="574">
        <v>0</v>
      </c>
      <c r="J86" s="574">
        <v>0</v>
      </c>
      <c r="K86" s="574">
        <v>0</v>
      </c>
      <c r="L86" s="574">
        <v>0</v>
      </c>
      <c r="M86" s="625">
        <v>2.4409999999999998</v>
      </c>
      <c r="N86" s="626">
        <v>-1.0539116335630419E-2</v>
      </c>
      <c r="O86" s="498" t="s">
        <v>887</v>
      </c>
      <c r="P86" s="634" t="s">
        <v>871</v>
      </c>
    </row>
    <row r="87" spans="1:16" ht="34">
      <c r="A87" s="614" t="s">
        <v>818</v>
      </c>
      <c r="B87" s="539">
        <v>2.1800000000000002</v>
      </c>
      <c r="C87" s="539">
        <v>0</v>
      </c>
      <c r="D87" s="539">
        <v>0</v>
      </c>
      <c r="E87" s="539">
        <v>0</v>
      </c>
      <c r="F87" s="539">
        <v>0</v>
      </c>
      <c r="G87" s="633">
        <v>2.1800000000000002</v>
      </c>
      <c r="H87" s="574">
        <v>2.157</v>
      </c>
      <c r="I87" s="574">
        <v>5.0000000000000001E-3</v>
      </c>
      <c r="J87" s="574">
        <v>0</v>
      </c>
      <c r="K87" s="574">
        <v>0</v>
      </c>
      <c r="L87" s="574">
        <v>0</v>
      </c>
      <c r="M87" s="625">
        <v>2.1619999999999999</v>
      </c>
      <c r="N87" s="626">
        <v>-8.2568807339450621E-3</v>
      </c>
      <c r="O87" s="498" t="s">
        <v>888</v>
      </c>
      <c r="P87" s="634" t="s">
        <v>871</v>
      </c>
    </row>
    <row r="88" spans="1:16" ht="34">
      <c r="A88" s="614" t="s">
        <v>819</v>
      </c>
      <c r="B88" s="539">
        <v>0.59299999999999997</v>
      </c>
      <c r="C88" s="539">
        <v>0</v>
      </c>
      <c r="D88" s="539">
        <v>0</v>
      </c>
      <c r="E88" s="539">
        <v>0</v>
      </c>
      <c r="F88" s="539">
        <v>0</v>
      </c>
      <c r="G88" s="633">
        <v>0.59299999999999997</v>
      </c>
      <c r="H88" s="574">
        <v>0.54700000000000004</v>
      </c>
      <c r="I88" s="574">
        <v>0</v>
      </c>
      <c r="J88" s="574">
        <v>0</v>
      </c>
      <c r="K88" s="574">
        <v>0</v>
      </c>
      <c r="L88" s="574">
        <v>0</v>
      </c>
      <c r="M88" s="625">
        <v>0.54700000000000004</v>
      </c>
      <c r="N88" s="626">
        <v>-7.757166947723429E-2</v>
      </c>
      <c r="O88" s="498" t="s">
        <v>889</v>
      </c>
      <c r="P88" s="634" t="s">
        <v>874</v>
      </c>
    </row>
    <row r="89" spans="1:16" ht="34">
      <c r="A89" s="614" t="s">
        <v>820</v>
      </c>
      <c r="B89" s="539">
        <v>0.57199999999999995</v>
      </c>
      <c r="C89" s="539">
        <v>0</v>
      </c>
      <c r="D89" s="539">
        <v>0</v>
      </c>
      <c r="E89" s="539">
        <v>0</v>
      </c>
      <c r="F89" s="539">
        <v>0</v>
      </c>
      <c r="G89" s="633">
        <v>0.57199999999999995</v>
      </c>
      <c r="H89" s="574">
        <v>0.59099999999999997</v>
      </c>
      <c r="I89" s="574">
        <v>0</v>
      </c>
      <c r="J89" s="574">
        <v>0</v>
      </c>
      <c r="K89" s="574">
        <v>0</v>
      </c>
      <c r="L89" s="574">
        <v>0</v>
      </c>
      <c r="M89" s="625">
        <v>0.59099999999999997</v>
      </c>
      <c r="N89" s="626">
        <v>3.3216783216783251E-2</v>
      </c>
      <c r="O89" s="498" t="s">
        <v>890</v>
      </c>
      <c r="P89" s="634" t="s">
        <v>871</v>
      </c>
    </row>
    <row r="90" spans="1:16" ht="34">
      <c r="A90" s="608" t="s">
        <v>821</v>
      </c>
      <c r="B90" s="228">
        <v>33.332999999999998</v>
      </c>
      <c r="C90" s="228">
        <v>0</v>
      </c>
      <c r="D90" s="228">
        <v>0</v>
      </c>
      <c r="E90" s="228">
        <v>0</v>
      </c>
      <c r="F90" s="228">
        <v>0</v>
      </c>
      <c r="G90" s="228">
        <v>33.332999999999998</v>
      </c>
      <c r="H90" s="228">
        <v>35.029999999999994</v>
      </c>
      <c r="I90" s="228">
        <v>5.0000000000000001E-3</v>
      </c>
      <c r="J90" s="228">
        <v>0</v>
      </c>
      <c r="K90" s="228">
        <v>0</v>
      </c>
      <c r="L90" s="228">
        <v>0</v>
      </c>
      <c r="M90" s="228">
        <v>35.034999999999997</v>
      </c>
      <c r="N90" s="627">
        <v>5.1060510605105996E-2</v>
      </c>
      <c r="O90" s="628"/>
      <c r="P90" s="629"/>
    </row>
    <row r="91" spans="1:16">
      <c r="A91" s="605"/>
      <c r="B91" s="623"/>
      <c r="C91" s="623"/>
      <c r="D91" s="623"/>
      <c r="E91" s="623"/>
      <c r="F91" s="623"/>
      <c r="G91" s="623"/>
      <c r="H91" s="623"/>
      <c r="I91" s="623"/>
      <c r="J91" s="623"/>
      <c r="K91" s="623"/>
      <c r="L91" s="623"/>
      <c r="M91" s="623"/>
      <c r="N91" s="623"/>
      <c r="O91" s="623"/>
      <c r="P91" s="623"/>
    </row>
    <row r="92" spans="1:16" ht="17">
      <c r="A92" s="606" t="s">
        <v>822</v>
      </c>
      <c r="B92" s="624"/>
      <c r="C92" s="624"/>
      <c r="D92" s="624"/>
      <c r="E92" s="624"/>
      <c r="F92" s="624"/>
      <c r="G92" s="624"/>
      <c r="H92" s="624"/>
      <c r="I92" s="624"/>
      <c r="J92" s="624"/>
      <c r="K92" s="624"/>
      <c r="L92" s="624"/>
      <c r="M92" s="624"/>
      <c r="N92" s="624"/>
      <c r="O92" s="624"/>
      <c r="P92" s="624"/>
    </row>
    <row r="93" spans="1:16" ht="51">
      <c r="A93" s="616" t="s">
        <v>822</v>
      </c>
      <c r="B93" s="539">
        <v>0.1</v>
      </c>
      <c r="C93" s="539">
        <v>0</v>
      </c>
      <c r="D93" s="539">
        <v>0</v>
      </c>
      <c r="E93" s="539">
        <v>0</v>
      </c>
      <c r="F93" s="539">
        <v>0</v>
      </c>
      <c r="G93" s="633">
        <v>0.1</v>
      </c>
      <c r="H93" s="574">
        <v>0.1</v>
      </c>
      <c r="I93" s="574">
        <v>0</v>
      </c>
      <c r="J93" s="574">
        <v>0</v>
      </c>
      <c r="K93" s="574">
        <v>0</v>
      </c>
      <c r="L93" s="574">
        <v>0</v>
      </c>
      <c r="M93" s="625">
        <v>0.1</v>
      </c>
      <c r="N93" s="626">
        <v>0</v>
      </c>
      <c r="O93" s="498" t="s">
        <v>891</v>
      </c>
      <c r="P93" s="634" t="s">
        <v>892</v>
      </c>
    </row>
    <row r="94" spans="1:16" ht="17">
      <c r="A94" s="608" t="s">
        <v>823</v>
      </c>
      <c r="B94" s="228">
        <v>0.1</v>
      </c>
      <c r="C94" s="228">
        <v>0</v>
      </c>
      <c r="D94" s="228">
        <v>0</v>
      </c>
      <c r="E94" s="228">
        <v>0</v>
      </c>
      <c r="F94" s="228">
        <v>0</v>
      </c>
      <c r="G94" s="228">
        <v>0.1</v>
      </c>
      <c r="H94" s="228">
        <v>0.1</v>
      </c>
      <c r="I94" s="228">
        <v>0</v>
      </c>
      <c r="J94" s="228">
        <v>0</v>
      </c>
      <c r="K94" s="228">
        <v>0</v>
      </c>
      <c r="L94" s="228">
        <v>0</v>
      </c>
      <c r="M94" s="228">
        <v>0.1</v>
      </c>
      <c r="N94" s="627">
        <v>0</v>
      </c>
      <c r="O94" s="628"/>
      <c r="P94" s="629"/>
    </row>
    <row r="95" spans="1:16" ht="16">
      <c r="A95" s="114"/>
      <c r="B95" s="654"/>
      <c r="C95" s="654"/>
      <c r="D95" s="654"/>
      <c r="E95" s="654"/>
      <c r="F95" s="654"/>
      <c r="G95" s="654"/>
      <c r="H95" s="654"/>
      <c r="I95" s="654"/>
      <c r="J95" s="654"/>
      <c r="K95" s="654"/>
      <c r="L95" s="654"/>
      <c r="M95" s="654"/>
      <c r="N95" s="655"/>
      <c r="O95" s="623"/>
      <c r="P95" s="623"/>
    </row>
    <row r="96" spans="1:16" ht="17">
      <c r="A96" s="500" t="s">
        <v>824</v>
      </c>
      <c r="B96" s="547">
        <v>33.433</v>
      </c>
      <c r="C96" s="547">
        <v>0</v>
      </c>
      <c r="D96" s="547">
        <v>0</v>
      </c>
      <c r="E96" s="547">
        <v>0</v>
      </c>
      <c r="F96" s="547">
        <v>0</v>
      </c>
      <c r="G96" s="547">
        <v>33.433</v>
      </c>
      <c r="H96" s="547">
        <v>35.129999999999995</v>
      </c>
      <c r="I96" s="547">
        <v>5.0000000000000001E-3</v>
      </c>
      <c r="J96" s="547">
        <v>0</v>
      </c>
      <c r="K96" s="547">
        <v>0</v>
      </c>
      <c r="L96" s="547">
        <v>0</v>
      </c>
      <c r="M96" s="547">
        <v>35.134999999999998</v>
      </c>
      <c r="N96" s="548">
        <v>5.090778572069507E-2</v>
      </c>
      <c r="O96" s="639"/>
      <c r="P96" s="640"/>
    </row>
    <row r="97" spans="1:16" ht="18">
      <c r="A97" s="617"/>
      <c r="B97" s="656"/>
      <c r="C97" s="656"/>
      <c r="D97" s="656"/>
      <c r="E97" s="656"/>
      <c r="F97" s="656"/>
      <c r="G97" s="656"/>
      <c r="H97" s="656"/>
      <c r="I97" s="656"/>
      <c r="J97" s="656"/>
      <c r="K97" s="656"/>
      <c r="L97" s="656"/>
      <c r="M97" s="656"/>
      <c r="N97" s="657"/>
      <c r="O97" s="658"/>
      <c r="P97" s="659"/>
    </row>
    <row r="99" spans="1:16" ht="16">
      <c r="A99" s="519"/>
      <c r="B99" s="660"/>
      <c r="C99" s="660"/>
      <c r="D99" s="660"/>
      <c r="E99" s="660"/>
      <c r="F99" s="660"/>
      <c r="G99" s="660"/>
      <c r="H99" s="660"/>
      <c r="I99" s="660"/>
      <c r="J99" s="660"/>
      <c r="K99" s="660"/>
      <c r="L99" s="660"/>
      <c r="M99" s="660"/>
      <c r="N99" s="602"/>
      <c r="O99" s="661"/>
      <c r="P99" s="662"/>
    </row>
    <row r="100" spans="1:16" ht="17">
      <c r="A100" s="162" t="s">
        <v>272</v>
      </c>
      <c r="B100" s="247"/>
      <c r="C100" s="247"/>
      <c r="D100" s="247"/>
      <c r="E100" s="247"/>
      <c r="F100" s="247"/>
      <c r="G100" s="248"/>
      <c r="H100" s="247"/>
      <c r="I100" s="247"/>
      <c r="J100" s="247"/>
      <c r="K100" s="247"/>
      <c r="L100" s="247"/>
      <c r="M100" s="663"/>
      <c r="O100" s="661"/>
      <c r="P100" s="662"/>
    </row>
    <row r="101" spans="1:16" ht="18">
      <c r="A101" s="617"/>
      <c r="B101" s="656"/>
      <c r="C101" s="656"/>
      <c r="D101" s="656"/>
      <c r="E101" s="656"/>
      <c r="F101" s="656"/>
      <c r="G101" s="656"/>
      <c r="H101" s="656"/>
      <c r="I101" s="656"/>
      <c r="J101" s="656"/>
      <c r="K101" s="656"/>
      <c r="L101" s="656"/>
      <c r="M101" s="656"/>
      <c r="N101" s="657"/>
      <c r="O101" s="658"/>
      <c r="P101" s="659"/>
    </row>
    <row r="102" spans="1:16" ht="34">
      <c r="A102" s="618" t="s">
        <v>825</v>
      </c>
      <c r="B102" s="664">
        <v>323.90000000000003</v>
      </c>
      <c r="C102" s="664">
        <v>16.081000000000003</v>
      </c>
      <c r="D102" s="664">
        <v>30.5</v>
      </c>
      <c r="E102" s="664">
        <v>0</v>
      </c>
      <c r="F102" s="664">
        <v>0</v>
      </c>
      <c r="G102" s="664">
        <v>370.48099999999999</v>
      </c>
      <c r="H102" s="664">
        <v>303.79200000000003</v>
      </c>
      <c r="I102" s="664">
        <v>17.070999999999998</v>
      </c>
      <c r="J102" s="664">
        <v>26.1</v>
      </c>
      <c r="K102" s="664">
        <v>0</v>
      </c>
      <c r="L102" s="664">
        <v>0</v>
      </c>
      <c r="M102" s="664">
        <v>346.96300000000008</v>
      </c>
      <c r="N102" s="665">
        <v>-6.3479638631940408E-2</v>
      </c>
      <c r="O102" s="602"/>
      <c r="P102" s="602"/>
    </row>
    <row r="103" spans="1:16">
      <c r="A103" s="519"/>
      <c r="B103" s="602"/>
      <c r="C103" s="602"/>
      <c r="D103" s="602"/>
      <c r="E103" s="602"/>
      <c r="F103" s="602"/>
      <c r="G103" s="602"/>
      <c r="H103" s="602"/>
      <c r="I103" s="602"/>
      <c r="J103" s="602"/>
      <c r="K103" s="602"/>
      <c r="L103" s="602"/>
      <c r="M103" s="602"/>
      <c r="N103" s="602"/>
      <c r="O103" s="602"/>
      <c r="P103" s="602"/>
    </row>
    <row r="104" spans="1:16" ht="16">
      <c r="A104" s="520" t="s">
        <v>476</v>
      </c>
      <c r="B104" s="185"/>
      <c r="C104" s="185"/>
      <c r="D104" s="185"/>
      <c r="E104" s="185"/>
      <c r="F104" s="185"/>
      <c r="G104" s="185"/>
      <c r="H104" s="185"/>
      <c r="I104" s="185"/>
      <c r="J104" s="185"/>
      <c r="K104" s="185"/>
      <c r="L104" s="185"/>
      <c r="M104" s="185"/>
      <c r="N104" s="482"/>
      <c r="O104" s="187"/>
      <c r="P104" s="187"/>
    </row>
    <row r="105" spans="1:16" ht="17">
      <c r="A105" s="141" t="s">
        <v>477</v>
      </c>
      <c r="B105" s="188">
        <v>0</v>
      </c>
      <c r="C105" s="188">
        <v>0</v>
      </c>
      <c r="D105" s="188">
        <v>0</v>
      </c>
      <c r="E105" s="188">
        <v>0</v>
      </c>
      <c r="F105" s="188">
        <v>0</v>
      </c>
      <c r="G105" s="189">
        <v>0</v>
      </c>
      <c r="H105" s="574">
        <v>0</v>
      </c>
      <c r="I105" s="188"/>
      <c r="J105" s="188"/>
      <c r="K105" s="188"/>
      <c r="L105" s="188"/>
      <c r="M105" s="228">
        <v>0</v>
      </c>
      <c r="N105" s="626" t="s">
        <v>155</v>
      </c>
      <c r="O105" s="205" t="s">
        <v>337</v>
      </c>
      <c r="P105" s="192" t="s">
        <v>337</v>
      </c>
    </row>
    <row r="106" spans="1:16" ht="16">
      <c r="A106" s="521" t="s">
        <v>478</v>
      </c>
      <c r="B106" s="195">
        <v>0</v>
      </c>
      <c r="C106" s="195">
        <v>0</v>
      </c>
      <c r="D106" s="195">
        <v>0</v>
      </c>
      <c r="E106" s="195">
        <v>0</v>
      </c>
      <c r="F106" s="195">
        <v>0</v>
      </c>
      <c r="G106" s="195">
        <v>0</v>
      </c>
      <c r="H106" s="195">
        <v>0</v>
      </c>
      <c r="I106" s="195">
        <v>0</v>
      </c>
      <c r="J106" s="195">
        <v>0</v>
      </c>
      <c r="K106" s="195">
        <v>0</v>
      </c>
      <c r="L106" s="195">
        <v>0</v>
      </c>
      <c r="M106" s="195">
        <v>0</v>
      </c>
      <c r="N106" s="488" t="s">
        <v>155</v>
      </c>
      <c r="O106" s="197"/>
      <c r="P106" s="198"/>
    </row>
    <row r="109" spans="1:16">
      <c r="G109" s="666"/>
      <c r="M109" s="66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67"/>
  <sheetViews>
    <sheetView topLeftCell="A19" zoomScale="80" zoomScaleNormal="80" workbookViewId="0">
      <selection activeCell="E39" sqref="E39"/>
    </sheetView>
  </sheetViews>
  <sheetFormatPr baseColWidth="10" defaultColWidth="8.83203125" defaultRowHeight="15" outlineLevelCol="1"/>
  <cols>
    <col min="1" max="1" width="40.6640625" style="2" customWidth="1"/>
    <col min="2" max="14" width="17.6640625" customWidth="1" outlineLevel="1"/>
    <col min="15" max="16" width="75.6640625" customWidth="1" outlineLevel="1"/>
  </cols>
  <sheetData>
    <row r="1" spans="1:16" ht="16" thickBot="1"/>
    <row r="2" spans="1:16" ht="21">
      <c r="A2" s="491"/>
      <c r="B2" s="522"/>
      <c r="C2" s="523"/>
      <c r="D2" s="523"/>
      <c r="E2" s="523"/>
      <c r="F2" s="523"/>
      <c r="G2" s="524"/>
      <c r="H2" s="522"/>
      <c r="I2" s="523"/>
      <c r="J2" s="523"/>
      <c r="K2" s="523"/>
      <c r="L2" s="523"/>
      <c r="M2" s="524"/>
      <c r="N2" s="525"/>
      <c r="O2" s="526"/>
      <c r="P2" s="527"/>
    </row>
    <row r="3" spans="1:16" ht="136">
      <c r="A3" s="492" t="s">
        <v>893</v>
      </c>
      <c r="B3" s="42" t="s">
        <v>100</v>
      </c>
      <c r="C3" s="42" t="s">
        <v>101</v>
      </c>
      <c r="D3" s="42" t="s">
        <v>102</v>
      </c>
      <c r="E3" s="42" t="s">
        <v>103</v>
      </c>
      <c r="F3" s="42" t="s">
        <v>104</v>
      </c>
      <c r="G3" s="42" t="s">
        <v>105</v>
      </c>
      <c r="H3" s="42" t="s">
        <v>106</v>
      </c>
      <c r="I3" s="42" t="s">
        <v>107</v>
      </c>
      <c r="J3" s="42" t="s">
        <v>108</v>
      </c>
      <c r="K3" s="42" t="s">
        <v>109</v>
      </c>
      <c r="L3" s="42" t="s">
        <v>110</v>
      </c>
      <c r="M3" s="42" t="s">
        <v>111</v>
      </c>
      <c r="N3" s="43" t="s">
        <v>112</v>
      </c>
      <c r="O3" s="44" t="s">
        <v>113</v>
      </c>
      <c r="P3" s="178" t="s">
        <v>114</v>
      </c>
    </row>
    <row r="4" spans="1:16" ht="22" thickBot="1">
      <c r="A4" s="133"/>
      <c r="B4" s="179"/>
      <c r="C4" s="179"/>
      <c r="D4" s="179"/>
      <c r="E4" s="179"/>
      <c r="F4" s="179"/>
      <c r="G4" s="179"/>
      <c r="H4" s="179"/>
      <c r="I4" s="179"/>
      <c r="J4" s="179"/>
      <c r="K4" s="179"/>
      <c r="L4" s="179"/>
      <c r="M4" s="179"/>
      <c r="N4" s="528"/>
      <c r="O4" s="181"/>
      <c r="P4" s="181"/>
    </row>
    <row r="5" spans="1:16" ht="16">
      <c r="A5" s="603"/>
      <c r="B5" s="621"/>
      <c r="C5" s="621"/>
      <c r="D5" s="621"/>
      <c r="E5" s="621"/>
      <c r="F5" s="621"/>
      <c r="G5" s="621"/>
      <c r="H5" s="621"/>
      <c r="I5" s="621"/>
      <c r="J5" s="621"/>
      <c r="K5" s="621"/>
      <c r="L5" s="621"/>
      <c r="M5" s="621"/>
      <c r="N5" s="621"/>
      <c r="O5" s="621"/>
      <c r="P5" s="621"/>
    </row>
    <row r="6" spans="1:16" ht="17">
      <c r="A6" s="146" t="s">
        <v>894</v>
      </c>
      <c r="B6" s="235"/>
      <c r="C6" s="235"/>
      <c r="D6" s="235"/>
      <c r="E6" s="235"/>
      <c r="F6" s="235"/>
      <c r="G6" s="235"/>
      <c r="H6" s="235"/>
      <c r="I6" s="235"/>
      <c r="J6" s="235"/>
      <c r="K6" s="235"/>
      <c r="L6" s="235"/>
      <c r="M6" s="235"/>
      <c r="N6" s="235"/>
      <c r="O6" s="243"/>
      <c r="P6" s="243"/>
    </row>
    <row r="7" spans="1:16" ht="34">
      <c r="A7" s="159" t="s">
        <v>895</v>
      </c>
      <c r="B7" s="188">
        <v>3.3439999999999999</v>
      </c>
      <c r="C7" s="188">
        <v>0</v>
      </c>
      <c r="D7" s="188">
        <v>0</v>
      </c>
      <c r="E7" s="188">
        <v>0</v>
      </c>
      <c r="F7" s="188">
        <v>0</v>
      </c>
      <c r="G7" s="189">
        <v>3.3439999999999999</v>
      </c>
      <c r="H7" s="188">
        <v>3.6040000000000001</v>
      </c>
      <c r="I7" s="188">
        <v>0</v>
      </c>
      <c r="J7" s="188">
        <v>0</v>
      </c>
      <c r="K7" s="188">
        <v>0</v>
      </c>
      <c r="L7" s="188">
        <v>0</v>
      </c>
      <c r="M7" s="189">
        <v>3.6040000000000001</v>
      </c>
      <c r="N7" s="350">
        <v>7.7751196172248876E-2</v>
      </c>
      <c r="O7" s="159" t="s">
        <v>920</v>
      </c>
      <c r="P7" s="227" t="s">
        <v>337</v>
      </c>
    </row>
    <row r="8" spans="1:16" ht="34">
      <c r="A8" s="159" t="s">
        <v>896</v>
      </c>
      <c r="B8" s="188">
        <v>1.2350000000000001</v>
      </c>
      <c r="C8" s="188">
        <v>0</v>
      </c>
      <c r="D8" s="188">
        <v>0</v>
      </c>
      <c r="E8" s="188">
        <v>0</v>
      </c>
      <c r="F8" s="188">
        <v>0</v>
      </c>
      <c r="G8" s="189">
        <v>1.2350000000000001</v>
      </c>
      <c r="H8" s="188">
        <v>1.458</v>
      </c>
      <c r="I8" s="188">
        <v>0</v>
      </c>
      <c r="J8" s="188">
        <v>0</v>
      </c>
      <c r="K8" s="188">
        <v>0</v>
      </c>
      <c r="L8" s="188">
        <v>0</v>
      </c>
      <c r="M8" s="189">
        <v>1.458</v>
      </c>
      <c r="N8" s="350">
        <v>0.18056680161943309</v>
      </c>
      <c r="O8" s="159" t="s">
        <v>921</v>
      </c>
      <c r="P8" s="227" t="s">
        <v>337</v>
      </c>
    </row>
    <row r="9" spans="1:16" ht="17">
      <c r="A9" s="148" t="s">
        <v>897</v>
      </c>
      <c r="B9" s="221">
        <v>4.5789999999999997</v>
      </c>
      <c r="C9" s="221">
        <v>0</v>
      </c>
      <c r="D9" s="221">
        <v>0</v>
      </c>
      <c r="E9" s="221">
        <v>0</v>
      </c>
      <c r="F9" s="221">
        <v>0</v>
      </c>
      <c r="G9" s="221">
        <v>4.5789999999999997</v>
      </c>
      <c r="H9" s="221">
        <v>5.0620000000000003</v>
      </c>
      <c r="I9" s="221">
        <v>0</v>
      </c>
      <c r="J9" s="221">
        <v>0</v>
      </c>
      <c r="K9" s="221">
        <v>0</v>
      </c>
      <c r="L9" s="221">
        <v>0</v>
      </c>
      <c r="M9" s="221">
        <v>5.0620000000000003</v>
      </c>
      <c r="N9" s="221">
        <v>0.10548154618912439</v>
      </c>
      <c r="O9" s="221"/>
      <c r="P9" s="669"/>
    </row>
    <row r="10" spans="1:16" ht="16">
      <c r="A10" s="149"/>
      <c r="B10" s="217"/>
      <c r="C10" s="217"/>
      <c r="D10" s="217"/>
      <c r="E10" s="217"/>
      <c r="F10" s="217"/>
      <c r="G10" s="217"/>
      <c r="H10" s="217"/>
      <c r="I10" s="217"/>
      <c r="J10" s="217"/>
      <c r="K10" s="217"/>
      <c r="L10" s="217"/>
      <c r="M10" s="217"/>
      <c r="N10" s="217"/>
      <c r="O10" s="217"/>
      <c r="P10" s="217"/>
    </row>
    <row r="11" spans="1:16" ht="17">
      <c r="A11" s="146" t="s">
        <v>898</v>
      </c>
      <c r="B11" s="235"/>
      <c r="C11" s="235"/>
      <c r="D11" s="235"/>
      <c r="E11" s="235"/>
      <c r="F11" s="235"/>
      <c r="G11" s="235"/>
      <c r="H11" s="235"/>
      <c r="I11" s="235"/>
      <c r="J11" s="235"/>
      <c r="K11" s="235"/>
      <c r="L11" s="235"/>
      <c r="M11" s="235"/>
      <c r="N11" s="235"/>
      <c r="O11" s="243"/>
      <c r="P11" s="243"/>
    </row>
    <row r="12" spans="1:16" ht="34">
      <c r="A12" s="159" t="s">
        <v>898</v>
      </c>
      <c r="B12" s="188">
        <v>4.2320000000000002</v>
      </c>
      <c r="C12" s="188">
        <v>0</v>
      </c>
      <c r="D12" s="188">
        <v>0</v>
      </c>
      <c r="E12" s="188">
        <v>0</v>
      </c>
      <c r="F12" s="188">
        <v>0</v>
      </c>
      <c r="G12" s="189">
        <v>4.2320000000000002</v>
      </c>
      <c r="H12" s="188">
        <v>3.1520000000000001</v>
      </c>
      <c r="I12" s="188">
        <v>0</v>
      </c>
      <c r="J12" s="188">
        <v>0</v>
      </c>
      <c r="K12" s="188">
        <v>0</v>
      </c>
      <c r="L12" s="188">
        <v>0</v>
      </c>
      <c r="M12" s="189">
        <v>3.1520000000000001</v>
      </c>
      <c r="N12" s="350">
        <v>-0.2551984877126654</v>
      </c>
      <c r="O12" s="159" t="s">
        <v>911</v>
      </c>
      <c r="P12" s="227" t="s">
        <v>337</v>
      </c>
    </row>
    <row r="13" spans="1:16" ht="102">
      <c r="A13" s="607" t="s">
        <v>899</v>
      </c>
      <c r="B13" s="574">
        <v>0.85099999999999998</v>
      </c>
      <c r="C13" s="539">
        <v>0</v>
      </c>
      <c r="D13" s="539">
        <v>0</v>
      </c>
      <c r="E13" s="539">
        <v>0</v>
      </c>
      <c r="F13" s="574">
        <v>0</v>
      </c>
      <c r="G13" s="575">
        <v>0.85099999999999998</v>
      </c>
      <c r="H13" s="188">
        <v>0.86499999999999999</v>
      </c>
      <c r="I13" s="188">
        <v>0</v>
      </c>
      <c r="J13" s="188">
        <v>0</v>
      </c>
      <c r="K13" s="188">
        <v>0</v>
      </c>
      <c r="L13" s="188">
        <v>0</v>
      </c>
      <c r="M13" s="575">
        <v>0.86499999999999999</v>
      </c>
      <c r="N13" s="350">
        <v>1.6451233842538205E-2</v>
      </c>
      <c r="O13" s="576" t="s">
        <v>912</v>
      </c>
      <c r="P13" s="577" t="s">
        <v>337</v>
      </c>
    </row>
    <row r="14" spans="1:16" ht="51">
      <c r="A14" s="505" t="s">
        <v>900</v>
      </c>
      <c r="B14" s="539">
        <v>4.4470000000000001</v>
      </c>
      <c r="C14" s="556">
        <v>0</v>
      </c>
      <c r="D14" s="556">
        <v>0</v>
      </c>
      <c r="E14" s="556">
        <v>0</v>
      </c>
      <c r="F14" s="556">
        <v>0</v>
      </c>
      <c r="G14" s="537">
        <v>4.4470000000000001</v>
      </c>
      <c r="H14" s="188">
        <v>5.3609999999999998</v>
      </c>
      <c r="I14" s="188">
        <v>0</v>
      </c>
      <c r="J14" s="188">
        <v>0</v>
      </c>
      <c r="K14" s="188">
        <v>0</v>
      </c>
      <c r="L14" s="188">
        <v>0</v>
      </c>
      <c r="M14" s="537">
        <v>5.3609999999999998</v>
      </c>
      <c r="N14" s="350">
        <v>0.20553181920395766</v>
      </c>
      <c r="O14" s="505" t="s">
        <v>913</v>
      </c>
      <c r="P14" s="540" t="s">
        <v>337</v>
      </c>
    </row>
    <row r="15" spans="1:16" ht="51">
      <c r="A15" s="159" t="s">
        <v>901</v>
      </c>
      <c r="B15" s="188">
        <v>14.888999999999999</v>
      </c>
      <c r="C15" s="188">
        <v>0</v>
      </c>
      <c r="D15" s="188">
        <v>0</v>
      </c>
      <c r="E15" s="188">
        <v>0</v>
      </c>
      <c r="F15" s="188">
        <v>0</v>
      </c>
      <c r="G15" s="189">
        <v>14.888999999999999</v>
      </c>
      <c r="H15" s="188">
        <v>17.391999999999999</v>
      </c>
      <c r="I15" s="188">
        <v>0</v>
      </c>
      <c r="J15" s="188">
        <v>0</v>
      </c>
      <c r="K15" s="188">
        <v>0</v>
      </c>
      <c r="L15" s="188">
        <v>0</v>
      </c>
      <c r="M15" s="189">
        <v>17.391999999999999</v>
      </c>
      <c r="N15" s="350">
        <v>0.16811068574115121</v>
      </c>
      <c r="O15" s="159" t="s">
        <v>914</v>
      </c>
      <c r="P15" s="227" t="s">
        <v>337</v>
      </c>
    </row>
    <row r="16" spans="1:16" ht="17">
      <c r="A16" s="148" t="s">
        <v>902</v>
      </c>
      <c r="B16" s="221">
        <v>24.419</v>
      </c>
      <c r="C16" s="221">
        <v>0</v>
      </c>
      <c r="D16" s="221">
        <v>0</v>
      </c>
      <c r="E16" s="221">
        <v>0</v>
      </c>
      <c r="F16" s="221">
        <v>0</v>
      </c>
      <c r="G16" s="221">
        <v>24.419</v>
      </c>
      <c r="H16" s="221">
        <v>26.77</v>
      </c>
      <c r="I16" s="221">
        <v>0</v>
      </c>
      <c r="J16" s="221">
        <v>0</v>
      </c>
      <c r="K16" s="221">
        <v>0</v>
      </c>
      <c r="L16" s="221">
        <v>0</v>
      </c>
      <c r="M16" s="221">
        <v>26.77</v>
      </c>
      <c r="N16" s="221">
        <v>9.627748884065683E-2</v>
      </c>
      <c r="O16" s="221"/>
      <c r="P16" s="669"/>
    </row>
    <row r="17" spans="1:16" ht="17" thickBot="1">
      <c r="A17" s="149"/>
      <c r="B17" s="217"/>
      <c r="C17" s="217"/>
      <c r="D17" s="217"/>
      <c r="E17" s="217"/>
      <c r="F17" s="217"/>
      <c r="G17" s="217"/>
      <c r="H17" s="217"/>
      <c r="I17" s="217"/>
      <c r="J17" s="217"/>
      <c r="K17" s="217"/>
      <c r="L17" s="217"/>
      <c r="M17" s="217"/>
      <c r="N17" s="217"/>
      <c r="O17" s="217"/>
      <c r="P17" s="217"/>
    </row>
    <row r="18" spans="1:16" ht="34">
      <c r="A18" s="667" t="s">
        <v>903</v>
      </c>
      <c r="B18" s="670"/>
      <c r="C18" s="670"/>
      <c r="D18" s="670"/>
      <c r="E18" s="670"/>
      <c r="F18" s="670"/>
      <c r="G18" s="670"/>
      <c r="H18" s="670"/>
      <c r="I18" s="670"/>
      <c r="J18" s="670"/>
      <c r="K18" s="670"/>
      <c r="L18" s="670"/>
      <c r="M18" s="670"/>
      <c r="N18" s="670"/>
      <c r="O18" s="670"/>
      <c r="P18" s="670"/>
    </row>
    <row r="19" spans="1:16" ht="34">
      <c r="A19" s="607" t="s">
        <v>904</v>
      </c>
      <c r="B19" s="574">
        <v>3.15</v>
      </c>
      <c r="C19" s="539">
        <v>0</v>
      </c>
      <c r="D19" s="539">
        <v>0</v>
      </c>
      <c r="E19" s="539">
        <v>0</v>
      </c>
      <c r="F19" s="574">
        <v>0</v>
      </c>
      <c r="G19" s="575">
        <v>3.15</v>
      </c>
      <c r="H19" s="188">
        <v>0.75</v>
      </c>
      <c r="I19" s="188">
        <v>0</v>
      </c>
      <c r="J19" s="188">
        <v>0</v>
      </c>
      <c r="K19" s="188">
        <v>0</v>
      </c>
      <c r="L19" s="188">
        <v>0</v>
      </c>
      <c r="M19" s="575">
        <v>0.75</v>
      </c>
      <c r="N19" s="350">
        <v>-0.76190476190476186</v>
      </c>
      <c r="O19" s="576" t="s">
        <v>915</v>
      </c>
      <c r="P19" s="577" t="s">
        <v>922</v>
      </c>
    </row>
    <row r="20" spans="1:16" ht="34">
      <c r="A20" s="607" t="s">
        <v>905</v>
      </c>
      <c r="B20" s="574">
        <v>0.437</v>
      </c>
      <c r="C20" s="539">
        <v>0</v>
      </c>
      <c r="D20" s="539">
        <v>0</v>
      </c>
      <c r="E20" s="539">
        <v>0</v>
      </c>
      <c r="F20" s="574">
        <v>0</v>
      </c>
      <c r="G20" s="575">
        <v>0.437</v>
      </c>
      <c r="H20" s="188">
        <v>0.437</v>
      </c>
      <c r="I20" s="188">
        <v>0</v>
      </c>
      <c r="J20" s="188">
        <v>0</v>
      </c>
      <c r="K20" s="188">
        <v>0</v>
      </c>
      <c r="L20" s="188">
        <v>0</v>
      </c>
      <c r="M20" s="575">
        <v>0.437</v>
      </c>
      <c r="N20" s="350">
        <v>0</v>
      </c>
      <c r="O20" s="576" t="s">
        <v>916</v>
      </c>
      <c r="P20" s="577" t="s">
        <v>155</v>
      </c>
    </row>
    <row r="21" spans="1:16" ht="17">
      <c r="A21" s="607" t="s">
        <v>906</v>
      </c>
      <c r="B21" s="574">
        <v>0.13</v>
      </c>
      <c r="C21" s="539">
        <v>0</v>
      </c>
      <c r="D21" s="539">
        <v>0</v>
      </c>
      <c r="E21" s="539">
        <v>0</v>
      </c>
      <c r="F21" s="574">
        <v>0</v>
      </c>
      <c r="G21" s="575">
        <v>0.13</v>
      </c>
      <c r="H21" s="188">
        <v>0.13</v>
      </c>
      <c r="I21" s="188">
        <v>0</v>
      </c>
      <c r="J21" s="188">
        <v>0</v>
      </c>
      <c r="K21" s="188">
        <v>0</v>
      </c>
      <c r="L21" s="188">
        <v>0</v>
      </c>
      <c r="M21" s="575">
        <v>0.13</v>
      </c>
      <c r="N21" s="350">
        <v>0</v>
      </c>
      <c r="O21" s="576" t="s">
        <v>917</v>
      </c>
      <c r="P21" s="577" t="s">
        <v>155</v>
      </c>
    </row>
    <row r="22" spans="1:16" ht="17">
      <c r="A22" s="607" t="s">
        <v>907</v>
      </c>
      <c r="B22" s="574">
        <v>0.03</v>
      </c>
      <c r="C22" s="539">
        <v>0</v>
      </c>
      <c r="D22" s="539">
        <v>0</v>
      </c>
      <c r="E22" s="539">
        <v>0</v>
      </c>
      <c r="F22" s="574">
        <v>0</v>
      </c>
      <c r="G22" s="575">
        <v>0.03</v>
      </c>
      <c r="H22" s="188">
        <v>0.03</v>
      </c>
      <c r="I22" s="188">
        <v>0</v>
      </c>
      <c r="J22" s="188">
        <v>0</v>
      </c>
      <c r="K22" s="188">
        <v>0</v>
      </c>
      <c r="L22" s="188">
        <v>0</v>
      </c>
      <c r="M22" s="575">
        <v>0.03</v>
      </c>
      <c r="N22" s="350">
        <v>0</v>
      </c>
      <c r="O22" s="576" t="s">
        <v>918</v>
      </c>
      <c r="P22" s="577" t="s">
        <v>155</v>
      </c>
    </row>
    <row r="23" spans="1:16" ht="34">
      <c r="A23" s="511" t="s">
        <v>908</v>
      </c>
      <c r="B23" s="574">
        <v>10.098000000000001</v>
      </c>
      <c r="C23" s="539">
        <v>0</v>
      </c>
      <c r="D23" s="539">
        <v>0</v>
      </c>
      <c r="E23" s="539">
        <v>0</v>
      </c>
      <c r="F23" s="574">
        <v>0</v>
      </c>
      <c r="G23" s="575">
        <v>10.098000000000001</v>
      </c>
      <c r="H23" s="188">
        <v>11.81</v>
      </c>
      <c r="I23" s="188">
        <v>0</v>
      </c>
      <c r="J23" s="188">
        <v>0</v>
      </c>
      <c r="K23" s="188">
        <v>0</v>
      </c>
      <c r="L23" s="188">
        <v>0</v>
      </c>
      <c r="M23" s="575">
        <v>11.81</v>
      </c>
      <c r="N23" s="350">
        <v>0.16953852247969892</v>
      </c>
      <c r="O23" s="576" t="s">
        <v>919</v>
      </c>
      <c r="P23" s="577" t="s">
        <v>923</v>
      </c>
    </row>
    <row r="24" spans="1:16" ht="34">
      <c r="A24" s="668" t="s">
        <v>909</v>
      </c>
      <c r="B24" s="671">
        <v>13.845000000000001</v>
      </c>
      <c r="C24" s="671">
        <v>0</v>
      </c>
      <c r="D24" s="671">
        <v>0</v>
      </c>
      <c r="E24" s="671">
        <v>0</v>
      </c>
      <c r="F24" s="671">
        <v>0</v>
      </c>
      <c r="G24" s="671">
        <v>13.845000000000001</v>
      </c>
      <c r="H24" s="671">
        <v>13.157</v>
      </c>
      <c r="I24" s="671">
        <v>0</v>
      </c>
      <c r="J24" s="671">
        <v>0</v>
      </c>
      <c r="K24" s="671">
        <v>0</v>
      </c>
      <c r="L24" s="671">
        <v>0</v>
      </c>
      <c r="M24" s="671">
        <v>13.157</v>
      </c>
      <c r="N24" s="221">
        <v>-4.9693029974720158E-2</v>
      </c>
      <c r="O24" s="661"/>
      <c r="P24" s="662"/>
    </row>
    <row r="25" spans="1:16" ht="16">
      <c r="A25" s="519"/>
      <c r="B25" s="660"/>
      <c r="C25" s="660"/>
      <c r="D25" s="660"/>
      <c r="E25" s="660"/>
      <c r="F25" s="660"/>
      <c r="G25" s="660"/>
      <c r="H25" s="660"/>
      <c r="I25" s="660"/>
      <c r="J25" s="660"/>
      <c r="K25" s="660"/>
      <c r="L25" s="660"/>
      <c r="M25" s="660"/>
      <c r="N25" s="602"/>
      <c r="O25" s="661"/>
      <c r="P25" s="662"/>
    </row>
    <row r="26" spans="1:16" ht="17">
      <c r="A26" s="162" t="s">
        <v>272</v>
      </c>
      <c r="B26" s="247"/>
      <c r="C26" s="247"/>
      <c r="D26" s="247"/>
      <c r="E26" s="247"/>
      <c r="F26" s="247"/>
      <c r="G26" s="248"/>
      <c r="H26" s="247"/>
      <c r="I26" s="247"/>
      <c r="J26" s="247"/>
      <c r="K26" s="247"/>
      <c r="L26" s="247"/>
      <c r="M26" s="248"/>
      <c r="N26" s="602"/>
      <c r="O26" s="661"/>
      <c r="P26" s="662"/>
    </row>
    <row r="27" spans="1:16" ht="16">
      <c r="A27" s="519"/>
      <c r="B27" s="660"/>
      <c r="C27" s="660"/>
      <c r="D27" s="660"/>
      <c r="E27" s="660"/>
      <c r="F27" s="660"/>
      <c r="G27" s="660"/>
      <c r="H27" s="660"/>
      <c r="I27" s="660"/>
      <c r="J27" s="660"/>
      <c r="K27" s="660"/>
      <c r="L27" s="660"/>
      <c r="M27" s="660"/>
      <c r="N27" s="602"/>
      <c r="O27" s="661"/>
      <c r="P27" s="662"/>
    </row>
    <row r="28" spans="1:16" ht="34">
      <c r="A28" s="164" t="s">
        <v>910</v>
      </c>
      <c r="B28" s="253">
        <v>42.843000000000004</v>
      </c>
      <c r="C28" s="253">
        <v>0</v>
      </c>
      <c r="D28" s="253">
        <v>0</v>
      </c>
      <c r="E28" s="253">
        <v>0</v>
      </c>
      <c r="F28" s="253">
        <v>0</v>
      </c>
      <c r="G28" s="253">
        <v>42.843000000000004</v>
      </c>
      <c r="H28" s="253">
        <v>44.989000000000004</v>
      </c>
      <c r="I28" s="253">
        <v>0</v>
      </c>
      <c r="J28" s="253">
        <v>0</v>
      </c>
      <c r="K28" s="253">
        <v>0</v>
      </c>
      <c r="L28" s="253">
        <v>0</v>
      </c>
      <c r="M28" s="253">
        <v>44.989000000000004</v>
      </c>
      <c r="N28" s="221">
        <v>5.0089862988119425E-2</v>
      </c>
    </row>
    <row r="29" spans="1:16">
      <c r="A29"/>
    </row>
    <row r="30" spans="1:16">
      <c r="A30"/>
    </row>
    <row r="31" spans="1:16">
      <c r="A31"/>
    </row>
    <row r="32" spans="1:16">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6">
      <c r="A65"/>
    </row>
    <row r="66" spans="1:16">
      <c r="A66"/>
    </row>
    <row r="67" spans="1:16">
      <c r="A67" s="519"/>
      <c r="B67" s="602"/>
      <c r="C67" s="602"/>
      <c r="D67" s="602"/>
      <c r="E67" s="602"/>
      <c r="F67" s="602"/>
      <c r="G67" s="602"/>
      <c r="H67" s="602"/>
      <c r="I67" s="602"/>
      <c r="J67" s="602"/>
      <c r="K67" s="602"/>
      <c r="L67" s="602"/>
      <c r="M67" s="602"/>
      <c r="N67" s="602"/>
      <c r="O67" s="602"/>
      <c r="P67" s="60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H&amp;SC</vt:lpstr>
      <vt:lpstr>SJHLG</vt:lpstr>
      <vt:lpstr>F&amp;E</vt:lpstr>
      <vt:lpstr>E&amp;S</vt:lpstr>
      <vt:lpstr>JV</vt:lpstr>
      <vt:lpstr>NZET</vt:lpstr>
      <vt:lpstr>RAI</vt:lpstr>
      <vt:lpstr>CEAC</vt:lpstr>
      <vt:lpstr>DFMCR</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u448951</dc:creator>
  <cp:lastModifiedBy>Microsoft Office User</cp:lastModifiedBy>
  <dcterms:created xsi:type="dcterms:W3CDTF">2022-12-12T15:16:01Z</dcterms:created>
  <dcterms:modified xsi:type="dcterms:W3CDTF">2022-12-15T12:27:05Z</dcterms:modified>
</cp:coreProperties>
</file>