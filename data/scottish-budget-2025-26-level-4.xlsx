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scotsconnect-my.sharepoint.com/personal/craig_maidment_gov_scot/Documents/"/>
    </mc:Choice>
  </mc:AlternateContent>
  <xr:revisionPtr revIDLastSave="174" documentId="8_{F6F8A233-BA6D-42AF-A447-342534DE82ED}" xr6:coauthVersionLast="47" xr6:coauthVersionMax="47" xr10:uidLastSave="{CD1D509F-B365-4B7E-B9FD-9E5AD18E31EF}"/>
  <bookViews>
    <workbookView xWindow="-80" yWindow="-80" windowWidth="19360" windowHeight="11440" firstSheet="2" activeTab="9" xr2:uid="{25778DDB-6928-4BC2-A7BB-45085EB4684D}"/>
  </bookViews>
  <sheets>
    <sheet name="Contents" sheetId="1" r:id="rId1"/>
    <sheet name="HSC" sheetId="2" r:id="rId2"/>
    <sheet name="FLG" sheetId="3" r:id="rId3"/>
    <sheet name="Social Justice" sheetId="5" r:id="rId4"/>
    <sheet name="E&amp;S" sheetId="6" r:id="rId5"/>
    <sheet name="J&amp;HA" sheetId="4" r:id="rId6"/>
    <sheet name="Transport" sheetId="7" r:id="rId7"/>
    <sheet name="DMFEG" sheetId="9" r:id="rId8"/>
    <sheet name="RALRI" sheetId="8" r:id="rId9"/>
    <sheet name="NZE" sheetId="10" r:id="rId10"/>
    <sheet name="CEAC" sheetId="11" r:id="rId11"/>
    <sheet name="Data Sheet" sheetId="14" r:id="rId12"/>
  </sheets>
  <definedNames>
    <definedName name="_xlnm._FilterDatabase" localSheetId="11" hidden="1">'Data Sheet'!$A$1:$P$583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3" i="7" l="1"/>
  <c r="N115" i="3" l="1"/>
  <c r="M115" i="3"/>
</calcChain>
</file>

<file path=xl/sharedStrings.xml><?xml version="1.0" encoding="utf-8"?>
<sst xmlns="http://schemas.openxmlformats.org/spreadsheetml/2006/main" count="4860" uniqueCount="1911">
  <si>
    <t>Resource</t>
  </si>
  <si>
    <t>Capital</t>
  </si>
  <si>
    <t>AME</t>
  </si>
  <si>
    <t>What it buys</t>
  </si>
  <si>
    <t>Explanation of significant changes from previous year</t>
  </si>
  <si>
    <t>Health and Social Care</t>
  </si>
  <si>
    <t>2024-25
Fiscal
Resource
£million</t>
  </si>
  <si>
    <t>2024-25
Non-cash
£million</t>
  </si>
  <si>
    <t>2024-25
Capital
£million</t>
  </si>
  <si>
    <t xml:space="preserve">
2024-25
Financial
Transactions
£million
</t>
  </si>
  <si>
    <t>2024-25
UK Funded
AME
£million</t>
  </si>
  <si>
    <t>2024-25
Autumn
Budget
Revision
£million</t>
  </si>
  <si>
    <t>2025-26
Fiscal
Resource
£million</t>
  </si>
  <si>
    <t>2025-26
Non-cash
£million</t>
  </si>
  <si>
    <t>2025-26
Capital
£million</t>
  </si>
  <si>
    <t xml:space="preserve">
2025-26
Financial
Transactions
£million
</t>
  </si>
  <si>
    <t>2025-26
UK Funded
AME
£million</t>
  </si>
  <si>
    <t>2025-26
Scottish
Budget
£million</t>
  </si>
  <si>
    <t>% Change
2025-26
on
2024-25</t>
  </si>
  <si>
    <t>NHS Territorial Boards</t>
  </si>
  <si>
    <t xml:space="preserve">NHS Territorial Boards </t>
  </si>
  <si>
    <t>NHS Boards provide free and universal frontline healthcare services for patients and their families. NHS Scotland Territorial Boards use their budget allocations to address National and Local Priorities for Health and Social Care.  This budget includes funding for improving patient outcomes, including waiting times and improvement and Cancer Funding.</t>
  </si>
  <si>
    <t>Level 3 Total</t>
  </si>
  <si>
    <t xml:space="preserve">NHS National Boards </t>
  </si>
  <si>
    <t>National Boards provide support services to Territorial Boards in delivering national priorities.</t>
  </si>
  <si>
    <t>Health Capital Investment</t>
  </si>
  <si>
    <t>NHS Territorial &amp; National Boards Capital Investment</t>
  </si>
  <si>
    <t>Investment in NHS Scotland property and equipment including National Treatment Centres, Baird and Anchor Centre in NHS Grampian and Parkhead Health Centre in NHS Greater Glasgow and Clyde.</t>
  </si>
  <si>
    <t>NHS Boards’ baseline capital will increase by 5% and all contractual commitments relating to our construction programme, IFRS 16 leases and end of contract PFI termination payments will be supported by the increased capital allocation. The health capital programme will be restarted, in line with Whole System Infrastructure Planning, with Boards directed to develop Programme Initial Agreements which will provide the strategic case and rationale for progressing individual business cases for new projects.</t>
  </si>
  <si>
    <t>Reform and Improvement Measures</t>
  </si>
  <si>
    <t>This will support taking forward a plan to deliver against the Vision for Health and Care services, to support reduction of delayed discharges, expansion of Hospital at Home and primary care enhancements, including new core funding to GMS to deliver enhanced frailty, cardiovascular disease and other essential services in General Practice, a critical dental workforce and training package and a community eye care programme to transfer patients from waiting lists.</t>
  </si>
  <si>
    <t>Funding to support reform and improvement measures.</t>
  </si>
  <si>
    <t>Primary and Community Health Services</t>
  </si>
  <si>
    <t>General Medical Services</t>
  </si>
  <si>
    <t>Budget incorporates contractor uplifts plus an additional  £14 million to reflect the essential importance of General Practice to the Health and Social Care system and communities</t>
  </si>
  <si>
    <t>Primary Care Fund</t>
  </si>
  <si>
    <t>This investment supports the crucial service that General Practice provides. This includes a minimum annual £190m investment plus uplifts in multi-disciplinary teams and developing measures to support GP sustainability. It also includes support for health inequalities, increasing use of data and digital opportunities and supporting improvements in provision of primary care.</t>
  </si>
  <si>
    <t>Pay uplifts to support continued development of  multidisciplinary teams in general practice.</t>
  </si>
  <si>
    <t>Other Spend</t>
  </si>
  <si>
    <t>Funding for various primary care initiatives including support for rural primary care and portfolio operating costs.</t>
  </si>
  <si>
    <t>Minor movement</t>
  </si>
  <si>
    <t>Pharmaceutical Services Contractors' Remuneration</t>
  </si>
  <si>
    <t>National General Pharmacy Service funding as negotiated with Community Pharmacy Scotland (CPS). Also incorporates Pharmacy First funding.</t>
  </si>
  <si>
    <t>Increased funding for the uplift in remuneration arrangements for pharmaceutical care services including the dispensing of prescription medicines.</t>
  </si>
  <si>
    <t xml:space="preserve">Covers a range of pharmacy related budgets including Achieving Excellence in Pharmaceutical Care, Essential Medicines, Access to Medicines and ePharmacy (which support core components of Community Pharmacy Contract) and resource costs. </t>
  </si>
  <si>
    <t>2024-25 budget includes in year realignment of funding for the recruitment of additional pharmacists and pharmacy technicians to support mental health provision.</t>
  </si>
  <si>
    <t xml:space="preserve"> </t>
  </si>
  <si>
    <t xml:space="preserve">General Dental Services </t>
  </si>
  <si>
    <t>Budget increase to reflect contractor uplifts and funding to support reformed payment arrangements.</t>
  </si>
  <si>
    <t>Miscellaneous Other Dental Services</t>
  </si>
  <si>
    <t>N/A</t>
  </si>
  <si>
    <t>Community Eyecare</t>
  </si>
  <si>
    <t>Meeting the cost of providing free universal NHS eye examinations, including increased ocular health reviews,  under General Ophthalmic Services (GOS), as well as other costs such as NHS optical vouchers and uplifts to contractors.</t>
  </si>
  <si>
    <t>Mental Health Services</t>
  </si>
  <si>
    <t>Includes pay uplift to support continuing delivery of programmes. 2024-25 budget also reflects realignment of funding to pharmacy to support mental health provision and other programmes being reprofiled and adapted.</t>
  </si>
  <si>
    <t>Mental Health &amp; Wellbeing</t>
  </si>
  <si>
    <t>Complex Care</t>
  </si>
  <si>
    <t>Funding to deliver the mental health strategy delivery plan.  Includes support for Mental Health and Capacity Law, Mental Welfare Commission for Scotland, Learning Disability, Autism &amp; Neurodivergence, Trauma and ACEs, Veterans Mental Health and Survivor Support.</t>
  </si>
  <si>
    <t>Includes pay uplift to support continuing delivery of programmes partially offset by the realignment of dementia funding to the social care budget line.</t>
  </si>
  <si>
    <t>This budget supports resource costs.</t>
  </si>
  <si>
    <t>No change</t>
  </si>
  <si>
    <t>Outcomes Framework</t>
  </si>
  <si>
    <t>Education and Training</t>
  </si>
  <si>
    <t>Distinction Awards</t>
  </si>
  <si>
    <t>Scheme in place that is aligned with the other UK nations, designed to provide competitive remuneration packages for consultants and ensure we attract and retain the right calibre and quality of employees.</t>
  </si>
  <si>
    <t>Reduction in distinction awards, reflecting declining scheme demand.</t>
  </si>
  <si>
    <t>AHP &amp; HCS Training &amp; Development</t>
  </si>
  <si>
    <t xml:space="preserve">Funding to support the Paramedic Degree course.  Planned intake of 335 students per year. Budget covers funding costs, tuition fees, other allowances and associated costs e.g. uniforms, health checks and placement expenses. Funding also supports training and development aligned to career pathways across Allied Health professions and Healthcare Science. </t>
  </si>
  <si>
    <t>2025-26 budget reflects forecasted paramedic teaching costs, with movement largely relating to in year funding transfer to the Scottish Funding Council for teaching grants based on student numbers enrolled.</t>
  </si>
  <si>
    <t>Clinical Academics and SAGPs</t>
  </si>
  <si>
    <t>The resource supports the commitment in the 2004 consultant contract to cover the salary costs associated with putting clinical academics on to the new consultant salary scale.</t>
  </si>
  <si>
    <t xml:space="preserve">Reflects planned expenditure in year. </t>
  </si>
  <si>
    <t>District Nurses</t>
  </si>
  <si>
    <t>This budget relates to the announcement that an additional 375 nurses will be introduced into the workforce within the district nursing service based upon the current skills mix.</t>
  </si>
  <si>
    <t>No change.</t>
  </si>
  <si>
    <t>Bursary (Nursing &amp; Midwifery)</t>
  </si>
  <si>
    <t>This is a demand led budget to ensure financial support is accessible to all student nurses and midwives. It delivers the commitment to retain the Nursing &amp; Midwifery Student Bursary and to provide additional support to students to enable wider participation and increased retention (including single parents, dependants and childcare allowances).</t>
  </si>
  <si>
    <t>Paramedics Bursaries</t>
  </si>
  <si>
    <t>Funding to support the £10,000 per annum bursary for students undertaking the new Paramedic Degree Course.</t>
  </si>
  <si>
    <t>Pre-reg. Nursing &amp; Midwifery Training</t>
  </si>
  <si>
    <t xml:space="preserve">Significant element of this budget transfers to Scottish Funding Council in year to fund the teaching grant of nursing and midwifery student education. Budget also funds the tuition fee cost of nursing and midwifery student as well as student support costs, e.g. placement expenses, health checks and PVG checks. </t>
  </si>
  <si>
    <t>Budget amended based on expected intake, with movement largely reflecting the in year transfer of funding to the Scottish Funding Council at the Autumn Budget Revision.</t>
  </si>
  <si>
    <t>Leadership, Training and Capacity</t>
  </si>
  <si>
    <t>Pays for national attraction, training, recruitment, leadership development and wellbeing interventions to support implementation of the National Workforce Strategy for Health and Social Care.  This includes monies allocated to the NHS Academy to support residential, distance and virtual reality training activity for upskilling existing NHS staff.  The budget also pays for our national leadership and talent management development and wellbeing offer.</t>
  </si>
  <si>
    <t>Medical Postgraduates</t>
  </si>
  <si>
    <t>Supports post-graduate specialty training expansion posts across all specialty training disciplines.   All supports expansion of Foundation training posts.</t>
  </si>
  <si>
    <t>Increased investment to support additional foundation year places and overall medical workforce pipeline.</t>
  </si>
  <si>
    <t>Medical Undergraduates</t>
  </si>
  <si>
    <t xml:space="preserve">Supports medical undergraduate training for medical school places created since 2016 that are occupied by students eligible for funding (SEFF).  Pays for the additional costs of teaching (including subsidised costs for non SEFF students) allocated to health boards to support clinical training years of a medical degree, for all medical school places created since 2016. </t>
  </si>
  <si>
    <t xml:space="preserve">Increased investment to support growth in medical school places. </t>
  </si>
  <si>
    <t>Nursing Workload &amp; Workforce Capacity Building</t>
  </si>
  <si>
    <t xml:space="preserve">To support implementation of the Health and Care (Staffing) (Scotland) Act 2019.  Funding supports NHS Scotland to use workload tools and methods when setting staffing establishments, and meet other duties in Act to ensure: consistency, transparency, consideration of risk and clinical advice, and process for escalation, in relation to staffing decisions in order to support the provision of safe and high quality care.  </t>
  </si>
  <si>
    <t>Minor change in budget reflecting estimated expenditure.</t>
  </si>
  <si>
    <t>Nursing and Midwifery Contribution to the Quality Strategy</t>
  </si>
  <si>
    <t xml:space="preserve">This funding supports the implementation of the national Excellence in Care quality assurance Programme.  </t>
  </si>
  <si>
    <t>This budget covers a range of smaller value budgets including Calman 100, Shape of Training programme, MRSA Screening Programme, nursing budgets for AHP and Healthcare Science Unit and Regulation of Healthcare Professions. Funding also supports Palliative Care Nurse Consultants, Discretionary Hardship Fund and workforce budgets such as Employee Experience/Wellbeing and Medical Revalidation, and portfolio operating costs.</t>
  </si>
  <si>
    <t>Realignment of budget from corporate support line to better align planned spend to budget area.</t>
  </si>
  <si>
    <t>Health Improvement and Protection</t>
  </si>
  <si>
    <t>Immunisations</t>
  </si>
  <si>
    <t>This budget includes funding for a range of vaccines including HPV, Meningitis and Shingles.</t>
  </si>
  <si>
    <t>Scottish Infected Blood Support Scheme</t>
  </si>
  <si>
    <t>This covers the financial support for patients infected by NHS blood and their bereaved partners.</t>
  </si>
  <si>
    <t>Organ Donation Policy</t>
  </si>
  <si>
    <t>This budget supports the Scottish contribution to the operation of the UK-wide organ donation system and development and implementation of improvements to organ donation and transplantation in Scotland.</t>
  </si>
  <si>
    <t>Scottish National Blood Transfusion Service</t>
  </si>
  <si>
    <t>Scottish National Blood Transfusion Service funding for investment in plasma collection and additional Hepatitis B testing for blood donors.</t>
  </si>
  <si>
    <t>Gender Identity and Healthcare Access</t>
  </si>
  <si>
    <t>Budget covers funding for PfG commitment to increase access to NHS Gender Identity Services. This centralised crisis intervention funding will improve care, support and services, working with people with lived experience and improving community provision.</t>
  </si>
  <si>
    <t>Uplift reflects the ongoing commitment to improving gender identity services.</t>
  </si>
  <si>
    <t>Tobacco Control (Smoking)</t>
  </si>
  <si>
    <t>Budget supports the commitment to reduce smoking rates to 5% by 2034.</t>
  </si>
  <si>
    <t>Movement reflects funding transfer in year to local government for enforcement of legislation around tobacco and nicotine products.</t>
  </si>
  <si>
    <t>Research Data Scotland (RDS)</t>
  </si>
  <si>
    <t>Funding promotes and advances health and social wellbeing in Scotland by enabling access to public sector data about people, places and businesses, and creating the conditions for collaborative data-driven research and innovation in the public good using that data.</t>
  </si>
  <si>
    <t>Innovation Adoption Fund</t>
  </si>
  <si>
    <t>Includes investment in a “once for Scotland” Accelerated National Innovation Adoption (ANIA) infrastructure, providing a process for joint assessment and decision making between the NHS and the Scottish Government on which innovations should be prioritised for national adoption, as well as implementation of other new innovations.</t>
  </si>
  <si>
    <t>Prisons Healthcare</t>
  </si>
  <si>
    <t xml:space="preserve">This budget supports the provision of healthcare services across Scotland’s prison estate. </t>
  </si>
  <si>
    <t>Investment to support the delivery of a new clinical IT system for prison healthcare and healthcare delivery associated with the new women’s prison estate.</t>
  </si>
  <si>
    <t>The budget supports a range of measures to improve population health including national screening programmes, sexual health services and initiatives to support the adoption of healthier eating habits.</t>
  </si>
  <si>
    <t>Alcohol and Drugs Policy</t>
  </si>
  <si>
    <t>National Mission on Drugs</t>
  </si>
  <si>
    <t>Budget will be used to support the aims of the National Mission; to reduce drug deaths and improve the lives of those impacted by drugs. This includes the additional £50m p.a. funding announced with the National Mission, to support MAT Standards, residential rehabilitation and harm reduction initiatives including delivering the Drug Deaths Taskforce recommendations, cross government and Stigma action plans.</t>
  </si>
  <si>
    <t>Alcohol and Drugs</t>
  </si>
  <si>
    <t>SportScotland</t>
  </si>
  <si>
    <t>Funding to SportScotland to provide support for the development of sport within Scotland, and deliver against the Active Scotland Outcome framework ensuring everyone has the opportunity to be active.</t>
  </si>
  <si>
    <t>Active Healthy Lives</t>
  </si>
  <si>
    <t>Supports a wide range of activities to increase the amount of physical activity undertaken by the people of Scotland and support healthy lives. Also includes measures to address healthy weight management including type 2 diabetes and childhood obesity.</t>
  </si>
  <si>
    <t>Social Care Support and NCS Delivery</t>
  </si>
  <si>
    <t>Majority of funding is transferred to Local Government in year to deliver health and social care services. In 2025-26 a further £376.5 million of  funding is added to the Local Government core settlement, including additional budget to uplift pay for adult social care staff to £12.60 per hour and additional investment in Free Personal Nursing Care.</t>
  </si>
  <si>
    <t>Independent Living Fund</t>
  </si>
  <si>
    <t xml:space="preserve">The ILF provides support to disabled persons to enable them to live fulfilling and independent lives.  </t>
  </si>
  <si>
    <t>Additional funding to support growth in the re-opened ILF fund.</t>
  </si>
  <si>
    <t>Care Inspectorate</t>
  </si>
  <si>
    <t xml:space="preserve">Funding to support the Care Inspectorate which is the independent scrutiny and improvement body for care services in Scotland. </t>
  </si>
  <si>
    <t>Additional funding reflects increased resource requirement to enable Care Inspectorate to deliver its statutory duties.</t>
  </si>
  <si>
    <t>Collaborative Care Home Support</t>
  </si>
  <si>
    <t>Increased investment in Nurse Directors for nursing support in care homes within social care sector. The funding is to put in place the necessary resources to enable Nurse Directors to ensure the provision of oversight, advice, support and guidance in relation to nursing practice and Infection Protection and Control and deliver improvements in line with the Healthcare Framework within adult social care settings.</t>
  </si>
  <si>
    <t>Short breaks fund</t>
  </si>
  <si>
    <t xml:space="preserve">Funding for the Voluntary Sector Short Breaks Fund, which provides preventative short break support for adult and young carers. </t>
  </si>
  <si>
    <t>Additional funding to deliver PfG commitment to provide short breaks for unpaid carers.</t>
  </si>
  <si>
    <t>Hospital At Home</t>
  </si>
  <si>
    <t xml:space="preserve">Funding to roll out and expand the hospital at home model to deliver increased acute based care within home settings in communities across Scotland. </t>
  </si>
  <si>
    <t>Health and Social Care Integration</t>
  </si>
  <si>
    <t xml:space="preserve">Provision of analytical support to Public Health Scotland to develop linking of health and social care data as part of Health and Social Care Integration; support to the IJB Chief Officers, Chief Finance Officers, and Chairs and Vice Chairs networks; and funding to organisations to support the delivery of integration at local and national level. </t>
  </si>
  <si>
    <t>No change to available budget, with funding transferred in-year to the ALLIANCE integration project in 2024-25.</t>
  </si>
  <si>
    <t>Digital Health &amp; Care</t>
  </si>
  <si>
    <t xml:space="preserve">Development of new and existing national services and other contractual commitments which support safe, effective and efficient care. </t>
  </si>
  <si>
    <t>In year realignment of funding in 2024-25 to support planned digital activity</t>
  </si>
  <si>
    <t>Other Below £2m</t>
  </si>
  <si>
    <t>This budget covers resource costs.</t>
  </si>
  <si>
    <t>Movement of existing budget to Digital Health and Care line to better realign planned spend to budget area.</t>
  </si>
  <si>
    <t>Early Years</t>
  </si>
  <si>
    <t>Family Nurse Partnership (FNP)</t>
  </si>
  <si>
    <t>Relates to continued investment in FNP which aims to embed a licensed programme for young, first time parents, working with the parent to help them develop their own skills and resources to parent their child well and also to support their future aspirations and reduce inter-generational inequalities.</t>
  </si>
  <si>
    <t>Scottish Milk and Snack Scheme</t>
  </si>
  <si>
    <t>Supports the provision of milk and a healthy snack (defined as a portion of fruit or vegetable) to all children enrolled in a registered preschool day care provider or childminder setting.</t>
  </si>
  <si>
    <t>Maternity and Neonatal Services</t>
  </si>
  <si>
    <t>Supports redesign and improvement of maternity and neonatal services and funding for improving miscarriage care.</t>
  </si>
  <si>
    <t>Includes a funding uplift to support obstetric maternity services to Dr Gray's hospital in Elgin.</t>
  </si>
  <si>
    <t>IVF</t>
  </si>
  <si>
    <t>Funding to support NHS Boards to continue to deliver equity of access to infertility services and a maximum waiting time of 12 months for IVF treatment throughout Scotland.</t>
  </si>
  <si>
    <t>A re-alignment of funding to support placental growth factor (PlGF) testing to help diagnose pre-eclampsia, a potentially life-threatening condition for pregnant women and their babies.</t>
  </si>
  <si>
    <t>Multiple Child Removals</t>
  </si>
  <si>
    <t>Young Persons Family Fund</t>
  </si>
  <si>
    <t>This resource supports a small number of targeted, often demand-led, programmes</t>
  </si>
  <si>
    <t>Minor saving in 2024-25 alongside other small funding realignments</t>
  </si>
  <si>
    <t>Quality and Improvement</t>
  </si>
  <si>
    <t>Person Centred and Participation</t>
  </si>
  <si>
    <t xml:space="preserve">Investment in raising the profile of person-centred approaches to healthcare across Scotland, developing and testing a range of evidence-based interventions and approaches. </t>
  </si>
  <si>
    <t>Increased resources to reflect planned spend.</t>
  </si>
  <si>
    <t>Stroke and Thrombectomy</t>
  </si>
  <si>
    <t>Continued investment for the introduction of a thrombectomy service in Scotland for stroke patients.</t>
  </si>
  <si>
    <t>Genomics</t>
  </si>
  <si>
    <t>Long Covid, ME, Chronic Fatigue and other similar conditions</t>
  </si>
  <si>
    <t>Funding to support people whose health and wellbeing are impacted by Long Covid, ME, Chronic Fatigue syndrome, and other similar conditions.</t>
  </si>
  <si>
    <t>Long Term Conditions</t>
  </si>
  <si>
    <t>Includes funding to support investment into expanding access to diabetes technology previously announced in 2024/25, also continuation of policy work on a number of other long term conditions.</t>
  </si>
  <si>
    <t>Increase includes funding to support expanding access to diabetes technologies.</t>
  </si>
  <si>
    <t>Diagnostics &amp; Genomics</t>
  </si>
  <si>
    <t>Investment in the development of genomic medicine for the diagnosis of rare diseases and characterisation of cancers for targeted treatment. A longer term strategy will help Scotland to keep pace with advancements and realise opportunities for healthcare, research and life sciences.</t>
  </si>
  <si>
    <t>Increased funding to support genomic testing and enable targeted support across diagnostic disciplines.</t>
  </si>
  <si>
    <t>ICU Bed</t>
  </si>
  <si>
    <t>Minor budget realignments for operating costs.</t>
  </si>
  <si>
    <t>Miscellaneous Other Services and Resource income</t>
  </si>
  <si>
    <t>Health Research</t>
  </si>
  <si>
    <t>This budget encompasses support for clinical research in NHS Boards and by HEIs, research charities and other research funders. It also includes the SG health contribution to the National Institute for Health Research enabling access for clinical researchers in Scotland to UK-wide research funding programmes.</t>
  </si>
  <si>
    <t>Additional funding to support increased NHS board resource requirements alongside reprofiling of planned activity in 2024-25</t>
  </si>
  <si>
    <t>Health Innovation</t>
  </si>
  <si>
    <t>Support for the promotion, development and adoption of innovative products, technologies, and services to drive improvements in NHS service delivery and patient care and to support economic growth in the Scottish life sciences sector.</t>
  </si>
  <si>
    <t>Budget updated to reflect planned spend.</t>
  </si>
  <si>
    <t>Forensic Medical Services (FMS) Act Implementation</t>
  </si>
  <si>
    <t>This funding supports national actions connected to health boards’ implementation of the Forensic Medical Services (Victims of Sexual Offences) (Scotland) Act 2021, which seeks to provide consistent, person-centred, trauma-informed healthcare and forensic medical services for anyone who has experienced rape, sexual assault or child sexual abuse.</t>
  </si>
  <si>
    <t>Empowering Communities</t>
  </si>
  <si>
    <t xml:space="preserve">Health contribution to wider SG initiative supporting communities. </t>
  </si>
  <si>
    <t>Funding to support programme commitments in 2025-26, with funding transferred in year to the Economy and Gaelic Portfolio.</t>
  </si>
  <si>
    <t>Mesh injured women's support fund</t>
  </si>
  <si>
    <t>Support a range of activities including the specialist centre hosted by NHS GGC.</t>
  </si>
  <si>
    <t>Funding based on latest cost estimated of this demand led budget.</t>
  </si>
  <si>
    <t>Medical devices - UDI and scanning</t>
  </si>
  <si>
    <t>A programme to improve identification and tracking of medical devices further to new obligations under the Medicines and Medical Devices Act 2021.</t>
  </si>
  <si>
    <t>Board resilience</t>
  </si>
  <si>
    <t xml:space="preserve">This spending maintains the preparedness of Scottish Government and NHS Scotland for the event of a new influenza pandemic. </t>
  </si>
  <si>
    <t>Corporate support</t>
  </si>
  <si>
    <t>Corporate support for Health and Social Care Directorates.</t>
  </si>
  <si>
    <t>Realignment of budget to other spend line in education and training to better align planned spend on operating costs.</t>
  </si>
  <si>
    <t>Other Board Services and Miscellaneous Income</t>
  </si>
  <si>
    <t>Includes other miscellaneous expenditure and efficiency requirements, planned in-year transfers and income including dental and ophthalmic services, and capital/resource switching.</t>
  </si>
  <si>
    <t>The 2024-25 budget includes funding adjustments set out in the Autumn Budget Revision with recurring funding now transferred to NHS Boards core budgets in 2025-26.  The 2025-26 budget also includes additional funding to support Hospices, including on pay parity.</t>
  </si>
  <si>
    <t xml:space="preserve">Revenue Consequences of NPD Schemes </t>
  </si>
  <si>
    <t>NHS Impairments (AME)</t>
  </si>
  <si>
    <t>This is a non-cash annually managed expenditure (AME) budget which relates to changes in property valuations of NHSScotland assets. There are a number of reasons as to why an asset may be impaired, all of which are defined by the Treasury published Financial Reporting Manual. For NHSScotland, the majority of impairments relate to properties being written down either when a new a new building is valued for the first time (to depreciated replacement cost) or when it is about to be sold (open market value).</t>
  </si>
  <si>
    <t>AME requirements are estimated annually and subject to variance. Most recent estimates forecast higher non-cash requirements in 2025-26.</t>
  </si>
  <si>
    <t xml:space="preserve">Health Financial Transactions </t>
  </si>
  <si>
    <t>Health Financial Transactions (Expenditure)</t>
  </si>
  <si>
    <t>Specific loans funding.</t>
  </si>
  <si>
    <t>Health Capital Income</t>
  </si>
  <si>
    <t xml:space="preserve">Health Capital Receipts </t>
  </si>
  <si>
    <t>Planned capital receipts support the capital programme for the year.</t>
  </si>
  <si>
    <t>Health and Sport TOTAL</t>
  </si>
  <si>
    <t>Food Standards Scotland</t>
  </si>
  <si>
    <t>Food Standards Scotland's primary concern is consumer protection - making sure that food is safe to eat, ensuring customers know what they are eating and improving nutrition.</t>
  </si>
  <si>
    <t>In year funding transfer from Rural Affairs, Land Reform and Islands portfolio.</t>
  </si>
  <si>
    <t>GRAND TOTAL</t>
  </si>
  <si>
    <t>Finance and Local Government</t>
  </si>
  <si>
    <t>Level 2</t>
  </si>
  <si>
    <t>Level 3</t>
  </si>
  <si>
    <t>Governance and Reform</t>
  </si>
  <si>
    <t>Public Service Reform and Community Empowerment</t>
  </si>
  <si>
    <t>Investment to transform public services with a focus on prevention, place based approaches, community empowerment, and collaborative leadership.</t>
  </si>
  <si>
    <t xml:space="preserve">Increase to provide 'invest to save' funding to catalyse efficiency,  and effectiveness and productivity projects as part of the PSR programme  </t>
  </si>
  <si>
    <t>Covid Recovery</t>
  </si>
  <si>
    <t>To support the delivery of the Covid Recovery Strategy and contribute to strategic oversight and coordination of Covid Recovery activity across the SG.</t>
  </si>
  <si>
    <t>Total - Governance and Reform</t>
  </si>
  <si>
    <t>Local Government</t>
  </si>
  <si>
    <t>General Revenue Grant</t>
  </si>
  <si>
    <t>The combined General Revenue Grant plus Non Domestic Rates funding below represents the block grant which the Scottish Government provides, and guarantees, to Scotland's local authorities.  This funding together with local authorities own local resources enables them to provide the full range of public services for which they are responsible including for example, education and social services.</t>
  </si>
  <si>
    <t/>
  </si>
  <si>
    <t>Non Domestic Rates &amp; Other AME</t>
  </si>
  <si>
    <t>See above.</t>
  </si>
  <si>
    <t>Funding held for agreement of Council Tax Freeze</t>
  </si>
  <si>
    <t>Support for Capital</t>
  </si>
  <si>
    <t xml:space="preserve">The Scottish Government provides Scotland's local authorities with a General Capital Grants to fund capital investment projects in their areas.  </t>
  </si>
  <si>
    <t>Specific Resource Grants</t>
  </si>
  <si>
    <t>The Scottish Government provides Scotland's local authorities with a few Specific Resource Grants to fund specific revenue policies, including the Educational Attainment Fund and Early Learning and Childcare.</t>
  </si>
  <si>
    <t>Specific Capital Grants</t>
  </si>
  <si>
    <t>The Scottish Government provides Scotland's local authorities with a few Specific Capital Grants to fund specific capital policies</t>
  </si>
  <si>
    <t>Local Government Advice and Policy</t>
  </si>
  <si>
    <t xml:space="preserve">Provides the budget for staff costs for the Local Government Finance Team, Relationship Team and Analysts.  </t>
  </si>
  <si>
    <t>Local Governance</t>
  </si>
  <si>
    <t>Supports various activities which help councils and other local partners across Scotland to deliver better outcomes in response to local needs and more effective performance.</t>
  </si>
  <si>
    <t>Total - Local Government Advice and Policy</t>
  </si>
  <si>
    <t>Total - Local Government</t>
  </si>
  <si>
    <t>Scottish Public Pensions Agency</t>
  </si>
  <si>
    <t>Scottish Public Pensions Agency  Administration</t>
  </si>
  <si>
    <t>Salaries and Other Costs</t>
  </si>
  <si>
    <t>Agency Administration</t>
  </si>
  <si>
    <t xml:space="preserve">The Scottish Public Pension Agency provides pension administration services for and pays pensions to members of Scotland’s NHS, Teachers’, Police and Firefighters’ pension schemes. Its other administrative responsibilities include injury benefits schemes for the NHS, Police and Fire &amp; Rescue services in Scotland. It also administers a number of 'small schemes'. Its 500,000+ customers are all current or former public servants or their employers. </t>
  </si>
  <si>
    <t>The increase in resource budget for 2025-26 for SPPA is to facilitate the implementation of the McLeod remedy and increase in GAD Actuarial Charges for all the associated Pension schemes that SPPA administer.</t>
  </si>
  <si>
    <t xml:space="preserve">Depreciation </t>
  </si>
  <si>
    <t>The Agency operates out of its own premises at 7 Tweedside Park and runs IT systems that administer the pension schemes which fall under its remit. A provision for depreciation and indexation is made on these assets.</t>
  </si>
  <si>
    <t>Capital / IT provision</t>
  </si>
  <si>
    <t>The Agency has a priority list of capital projects that is governed by the need to comply with the legal and regulatory framework in which public pensions and public bodies operate. It is governed primarily by reserved UK and delegated Scottish legislation, the UK Pension Regulator, procurement rules and the Agency's Framework Document with Scottish Ministers.</t>
  </si>
  <si>
    <t>Total - Scottish Public Pensions Agency  Administration</t>
  </si>
  <si>
    <t>Scottish Teachers Superannuation Scheme</t>
  </si>
  <si>
    <t>Teachers Pension Scheme</t>
  </si>
  <si>
    <t>Income from Employee and employer contributions and transfers received (Teachers)</t>
  </si>
  <si>
    <t>Total - Scottish Teachers Superannuation Scheme</t>
  </si>
  <si>
    <t>NHS Superannuation Scheme (Scotland)</t>
  </si>
  <si>
    <t>NHS Pension Scheme</t>
  </si>
  <si>
    <t>Pensions accrued by today’s teaching staff in Scotland and interest on scheme liabilities.</t>
  </si>
  <si>
    <t>Income from employee and employer contributions and transfers received (NHS)</t>
  </si>
  <si>
    <t>Income received from employers and employees to meet the cost of future pension payments of today’s teaching staff in Scotland.</t>
  </si>
  <si>
    <t>Total - NHS Superannuation Scheme (Scotland)</t>
  </si>
  <si>
    <t>Total - Scottish Public Pensions Agency</t>
  </si>
  <si>
    <t>Scottish Fiscal Commission</t>
  </si>
  <si>
    <t xml:space="preserve">The budget will enable the statutory Commission to fulfil its functions as they currently stand in the Scottish Fiscal Commission Act and amended regulations based on the current devolved powers. The Commission produces forecasts of revenue from fully devolved taxes and non-savings non-dividend income tax receipts, onshore GDP in Scotland, and devolved social security expenditure. </t>
  </si>
  <si>
    <t>Total - Scottish Fiscal Commission</t>
  </si>
  <si>
    <t>Registers of Scotland</t>
  </si>
  <si>
    <t xml:space="preserve">Provision of registration and information services (wages, salaries, goods and services).  Registers of Scotland is the Non-Ministerial Office responsible for compiling and maintaining twenty public registers relating to property and other legal documents in Scotland, to date broadly self-funded by fees they charge for their services.  </t>
  </si>
  <si>
    <t>Depreciation and amortisation of building and other assets.</t>
  </si>
  <si>
    <t>Additions to digital and estate assets</t>
  </si>
  <si>
    <t>Capital requirement for Registers of Scotland to support the PfG commitment for the Moveable Transactions Bill</t>
  </si>
  <si>
    <t>Total - Registers of Scotland</t>
  </si>
  <si>
    <t>Accountant in Bankruptcy</t>
  </si>
  <si>
    <t>Accountant in Bankruptcy Resource</t>
  </si>
  <si>
    <t>The budget continues to allow Accountant in Bankruptcy to ensure access to fair and just processes of debt relief and debt management for the people of Scotland, which takes account of the rights and interests of those involved. Key functions include supporting Ministers to develop and refine policy, supervising the bankruptcy process, delivering, with stakeholders, a range of options for individuals seeking debt relief and debt management and ensuring best value services to our customers.</t>
  </si>
  <si>
    <t>Accountant in Bankruptcy Capital</t>
  </si>
  <si>
    <t>AiB has a range of bespoke IT systems which enable the Agency to fulfil its statutory duties in relation to Bankruptcies, Trust Deeds and the Debt Arrangement Scheme. The capital budget enables the Agency to develop and enhance these systems to deliver our duties as set out in legislation and to deliver legislative changes as required. This expenditure contributes towards AiB meeting its digital agenda.</t>
  </si>
  <si>
    <t>Total - Accountant in Bankruptcy</t>
  </si>
  <si>
    <t>Consumer Policy and Advice</t>
  </si>
  <si>
    <t>Comprises grant-in-aid for vital front line consumer advice and support from Advice Direct Scotland to deliver the national consumer helpline.</t>
  </si>
  <si>
    <t>(subject to ministerial decision) Consumer Scotland will take responsibility for scams prevention and awareness and funding for this work has been realigned to Consumer Scotlands core resource budget.</t>
  </si>
  <si>
    <t>Total - Consumer Policy and Advice</t>
  </si>
  <si>
    <t>Planning</t>
  </si>
  <si>
    <t>Total - Regeneration</t>
  </si>
  <si>
    <t>This budget supports the delivery of Ministers statutory responsibilities and policies to ensure Scotland has a high performing planning system to enable the sustainable development and use of land including delivery of improvements to increase capacity, performance and resilience to ensure planning does all it can to drive the wellbeing economy</t>
  </si>
  <si>
    <t xml:space="preserve">Increased investment to ensure that planning services have the capacity and skills to function efficiently and to increase confidence and certainty the process </t>
  </si>
  <si>
    <t>Total - Planning</t>
  </si>
  <si>
    <t>Planning and Environmental Appeals</t>
  </si>
  <si>
    <t xml:space="preserve">The Planning and Environmental Appeals Division (DPEA) is the decision making body for planning and environmental appeals and also carry out local development plan and other examinations on behalf of Scottish Ministers.  </t>
  </si>
  <si>
    <t>Total - Planning and Environmental Appeals</t>
  </si>
  <si>
    <t>Other Finance</t>
  </si>
  <si>
    <t>Scotland Acts – Tax implementation and management</t>
  </si>
  <si>
    <t>Funds implementation and on-going running costs of the financial provisions in the Scotland Acts 2012 and 2016.</t>
  </si>
  <si>
    <t>The increase reflects costs to support implementation of the Scottish Aggregates and Building Safety Levies</t>
  </si>
  <si>
    <t xml:space="preserve">Extension of Freedom of Information Coverage </t>
  </si>
  <si>
    <t>Provision for extension of the coverage of the Freedom of Information (Scotland) Act 2002</t>
  </si>
  <si>
    <t>Procurement Shared Services</t>
  </si>
  <si>
    <t>Shared procurement contracting, ecommerce and policy services which, for the public sector advance delivery of key Ministerial commitments including economic recovery and growth, equality and diversity, sustainability and fair work whilst also delivering savings and reducing procurement and legal risks; for the private and third sectors, with a focus on Scottish business and Scottish SME’s, to improve access to public contracts and enable faster payment of invoices while reducing administration costs.</t>
  </si>
  <si>
    <t>Exchequer and Finance</t>
  </si>
  <si>
    <t>The staffing necessary to ensure that the Scottish public finances are sustainable and balanced, deliver the annual budget, set devolved tax and public sector pay policy and make public spending decisions, includes the costs for developing options around bonds issuance.</t>
  </si>
  <si>
    <t>The increase includes the costs to support the work on Scottish Bonds</t>
  </si>
  <si>
    <t>Scottish Government Capital Projects</t>
  </si>
  <si>
    <t>This supports the maintenance, health &amp; safety  and security of the SG estate.</t>
  </si>
  <si>
    <t>Finance - Financial Transactions (Expenditure)</t>
  </si>
  <si>
    <t>Public Information and Engagement</t>
  </si>
  <si>
    <t>The Public Engagement budget primarily funds staff costs for Marketing, Strategy and Insight, Brand Scotland and Digital Content staffing costs.  Alongside paid-for-media campaign activity, these teams deliver extensive low cost / no cost social content activity, PR, partnerships and stakeholder work each year that is created and delivered in-house eg. Climate Week or health topics. </t>
  </si>
  <si>
    <t>Scottish Futures Trust</t>
  </si>
  <si>
    <t xml:space="preserve">Supports the provision of high quality advice for infrastructure projects in Scotland, including advice to unlock funding and strengthen project delivery. </t>
  </si>
  <si>
    <t>The 2025-26 budget allocation represents core funding for the SFT. Additional Core Funding will support priority activities for 2025/26 in areas of infrastructure strategy, funding and financing, and delivery.  SFT also receive programme funding from other portfolios which is confirmed in year and increases the overall budget shown for previous years.</t>
  </si>
  <si>
    <t>Total - Other Finance</t>
  </si>
  <si>
    <t>Consumer Scotland</t>
  </si>
  <si>
    <t>This block grant enables Consumer Scotland to deliver its statutory functions and duties relating to consumer advocacy and advice. It also provides funding for the Citizens Advice Scotland advocacy and education programme and associated funding which has been transferred from the Scottish Government to Consumer Scotland to administer.</t>
  </si>
  <si>
    <t>Total - Consumer Scotland</t>
  </si>
  <si>
    <t>Revenue Scotland</t>
  </si>
  <si>
    <t>Salaries and other Costs</t>
  </si>
  <si>
    <t>Revenue Scotland is the Scottish tax authority responsible for the collection and management of the two devolved taxes - Land and Buildings Transaction Tax and Scottish Landfill Tax - as well as delivering on its Corporate Plan 2021-24 objectives and the implementation of the Scottish Aggregates and Building Safety Levies.  It will continue to invest in processes, technology and staff to improve the organisation’s performance through operational efficiency and effectiveness</t>
  </si>
  <si>
    <t>The increase includes the costs to support implementation of the Scottish Aggregates and Building Safety Levies</t>
  </si>
  <si>
    <t>Capital/ IT provision</t>
  </si>
  <si>
    <t>Revenue Scotland is committed to continually improving its service through investing in digital delivery.</t>
  </si>
  <si>
    <t>includes the costs to support implementation of the Scottish Aggregates and Building Safety Levies</t>
  </si>
  <si>
    <t>Total - Revenue Scotland</t>
  </si>
  <si>
    <t>Corporate Running Costs</t>
  </si>
  <si>
    <t>Providing corporate services for core staff in SG, and providing people, digital, finance and legal shared services for 35-50 core public bodies and providing additional shared services to a further 205 public bodies.  Corporate and shared services provide essential services (in many different forms) for a large proportion of government and public services in Scotland.</t>
  </si>
  <si>
    <t>Total - Corporate Running</t>
  </si>
  <si>
    <t>Financial Transactions Repayments</t>
  </si>
  <si>
    <t>Total - Financial Transactions Repayments</t>
  </si>
  <si>
    <t>ROUNDING ADJUSTMENTS</t>
  </si>
  <si>
    <t>Total - Finance and Local Government</t>
  </si>
  <si>
    <t>Central Government Grants to Local Authorities</t>
  </si>
  <si>
    <t>Vacant and Derelict Land  (LA Capital Specific Grant)</t>
  </si>
  <si>
    <t>To conduct regular surveys of vacant and derelict land in Scotland and of the performance of planning authorities with regard to planning applications.</t>
  </si>
  <si>
    <t>No significant change</t>
  </si>
  <si>
    <t>Local Government Grants</t>
  </si>
  <si>
    <t>Justice and Home Affairs</t>
  </si>
  <si>
    <t>Community Justice</t>
  </si>
  <si>
    <t>Third Sector Funding</t>
  </si>
  <si>
    <t>Section 10 Funding</t>
  </si>
  <si>
    <t xml:space="preserve">Provides increased funding to support the head office functions of voluntary organisations which support the delivery of community-based criminal justice services all of which offer specialist services for offenders and their families; includes organisations such as Apex, Families Outside, Sacro and others - funding is subject to grant allocation process.  </t>
  </si>
  <si>
    <t>This includes an increase in provision for voluntary throughcare services aimed at stopping the cycle of reoffending.</t>
  </si>
  <si>
    <t>Total - Third Sector Funding</t>
  </si>
  <si>
    <t>Offender Services</t>
  </si>
  <si>
    <t xml:space="preserve">Electronic Monitoring </t>
  </si>
  <si>
    <t>This increased funding is for the provision of electronic monitoring services and development of the necessary integrated support structures.</t>
  </si>
  <si>
    <t xml:space="preserve">The funding includes increased provision for this demand led service.  </t>
  </si>
  <si>
    <t>Community Justice Scotland</t>
  </si>
  <si>
    <t>This funds the running costs of the national body, Community Justice Scotland, including funding for national training and to support Restorative Justice and the Caledonian Programme.</t>
  </si>
  <si>
    <t xml:space="preserve">In-year transfers from Community Justice Services and Programme Costs budget have been baselined to the Community Justice Scotland budget for Caledonian training.  The funding for Restorative Justice will be met from an in-year budget transfer in line with previous years. </t>
  </si>
  <si>
    <t>Risk Management Authority</t>
  </si>
  <si>
    <t>Funds the staffing and operations of the Risk Management Authority to promote best practice in the risk assessment and management of offenders.</t>
  </si>
  <si>
    <t xml:space="preserve">Additional funding to reflect increased demand for RMA services. 
</t>
  </si>
  <si>
    <t>Parole Board</t>
  </si>
  <si>
    <t xml:space="preserve">Staffing, operations and reform of the Parole Board. </t>
  </si>
  <si>
    <t>The increase in funding reflects the increased demand on statutory services.</t>
  </si>
  <si>
    <t>HM Inspectorate of Prisons</t>
  </si>
  <si>
    <t>The operational costs of HM Inspectorate of Prisons for Scotland including costs relating to the arrangements for Independent Prison Monitoring.</t>
  </si>
  <si>
    <t xml:space="preserve">Additional funding to reflect increased running costs. </t>
  </si>
  <si>
    <t>Community Justice Services and Programme costs</t>
  </si>
  <si>
    <t xml:space="preserve">This increased funding covers a range of community justice service and programme costs, to reduce reoffending. This including justice social work statutory services for bail, diversion from prosecution, Home Detention Curfew, Arrest Referral, Caledonian programme etc.  This funding is in addition to  the Criminal Justice Social Work - Central Government Grant of £86.45m. </t>
  </si>
  <si>
    <t xml:space="preserve">Additional funding for justice social work services and programme costs, such as Caledonian and to meet increased demand for community justice services. 
The community justice RRT funding of £15m has been transferred from the Recovery, Renewal and Transformation Fund budget line. </t>
  </si>
  <si>
    <t>Total - Offender Services</t>
  </si>
  <si>
    <t>Total - Community Justice</t>
  </si>
  <si>
    <t xml:space="preserve">Judiciary </t>
  </si>
  <si>
    <t>Judicial Salaries</t>
  </si>
  <si>
    <t>This budget covers the salary costs and Service Awards for Judicial office holders in Scotland.  This function transferred to the SCTS from 1 April 2016 although the overall responsibility for the Consolidated Fund which is where Judicial Salaries are funded from still lies with the SG.</t>
  </si>
  <si>
    <t xml:space="preserve">Additional funding to reflect the cumulative judicial salary increases over the last 3 years which has previously been met through in year budget transfers. </t>
  </si>
  <si>
    <t>Total Judicial Salaries</t>
  </si>
  <si>
    <t>Staff Costs</t>
  </si>
  <si>
    <t xml:space="preserve">This covers costs associated with the Recruitment and Retention Allowance for judicial office holders. It also provides for the salary and superannuation costs of the Lord Lyon, the Lyon Clerk, the Auditor of the Court of Session and members of the Scottish Law Commission. </t>
  </si>
  <si>
    <t xml:space="preserve">The Judiciary staff costs budget has not changed compared to the opening 2024-25 budget.  The 2024-25 revised budget position reflects budget realignment between the Staff Costs and Other Costs budget lines. </t>
  </si>
  <si>
    <t>Other Costs</t>
  </si>
  <si>
    <t>This covers a variety of matters including the running costs for the Judicial Appointments Board, expenses arising from Fitness for Judicial Office Tribunals, a number of Employment Tribunal claims, judicial pension claims and Judicial Reviews raised by Judicial Office Holders against Scottish Ministers and implementing the decision to roll out holiday pay to Scottish Tribunal Members.</t>
  </si>
  <si>
    <t xml:space="preserve">The Judiciary other costs budget has not changed compared to the opening 2024-25 budget. The 2024-25 revised budget position reflects in year budget transfers for budget realignment. </t>
  </si>
  <si>
    <t>Court of Lord Lyon</t>
  </si>
  <si>
    <t>This budget covers the running costs of the Court of the Lord Lyon.</t>
  </si>
  <si>
    <t xml:space="preserve">The Court of Lord Lyon received additional budget cover in 2024-25 through in year budget transfers. 
Additional funding has been provided to support increased running costs compared to the opening 2024-25 budget.  </t>
  </si>
  <si>
    <t>Lord Lyon Court Receipts</t>
  </si>
  <si>
    <t>This represents income generated by the Court of the Lord Lyon.</t>
  </si>
  <si>
    <t xml:space="preserve">Total - Judiciary </t>
  </si>
  <si>
    <t>Total - Judiciary</t>
  </si>
  <si>
    <t>Criminal Injuries Compensation</t>
  </si>
  <si>
    <t>CIC Scheme</t>
  </si>
  <si>
    <t>CICS payments are the SG contribution to the payouts for claims to the Criminal Injuries Scheme.</t>
  </si>
  <si>
    <t xml:space="preserve">Additional funding to cover the costs of Scottish cases. </t>
  </si>
  <si>
    <t>Administration Costs</t>
  </si>
  <si>
    <t>Payments to CICA are the SG contribution to the running and administration costs of the Authority.</t>
  </si>
  <si>
    <t xml:space="preserve">Additional funding to cover the structural deficit to the administrations costs of the CICA scheme. </t>
  </si>
  <si>
    <t>Total - Criminal Injuries Compensation</t>
  </si>
  <si>
    <t>Legal Aid</t>
  </si>
  <si>
    <t>Administration</t>
  </si>
  <si>
    <t xml:space="preserve">This budget covers the staffing, administration, pension costs and capital costs of the Scottish Legal Aid Board, an executive NDPB.  It also covers costs for researching and analysing the operation of legal aid, as well as the trends and impact on the wider justice system. </t>
  </si>
  <si>
    <t xml:space="preserve">The additional funding is to support increased operating costs. The large percentage increase reflects funding to cover an accrued pension liability. </t>
  </si>
  <si>
    <t>Fund</t>
  </si>
  <si>
    <t xml:space="preserve">This budget funds the provision of legal aid in Scotland.  It also enables the Board to: develop a network of Board employed solicitors including the Civil Legal Assistance Offices (CLAO) and the Public Defence Solicitors Office (PDSO) network and administer grant-funded services.  </t>
  </si>
  <si>
    <t xml:space="preserve">Additional funding to cover the increasing cost of legal aid provision including the recent fee increases. </t>
  </si>
  <si>
    <t>Total - Legal Aid</t>
  </si>
  <si>
    <t>Police Central Government</t>
  </si>
  <si>
    <t xml:space="preserve">Other Police Funding </t>
  </si>
  <si>
    <t>Other Police Funding</t>
  </si>
  <si>
    <t>This budget contributes towards a range of policing-related activities including the emergency services telecommunications systems, funding for retail crime and will support policing reviews and inquiries.</t>
  </si>
  <si>
    <t xml:space="preserve">Additional funding will support increased staff and operating costs as well as funding to assist in tackling retail crime. </t>
  </si>
  <si>
    <t>HMICS</t>
  </si>
  <si>
    <t>Operational costs for HM Inspectorate of Constabulary for Scotland</t>
  </si>
  <si>
    <t xml:space="preserve">The 2024-25 budget figure accounts for in year budget transfers to HMICS for a joint inspection which increased the budget from the baseline portfolio allocation.  
Additional funding has been provided to support increased running costs compared to the opening 2024-25 budget. 
</t>
  </si>
  <si>
    <t>Total - Other Police Funding</t>
  </si>
  <si>
    <t>Police Investigation and Review Commissioner</t>
  </si>
  <si>
    <t>This covers the operating costs and depreciation costs for the Police Investigation and Review Commissioner (PIRC)</t>
  </si>
  <si>
    <t xml:space="preserve">The 2025 -26 resource budget includes additional funding to support  increased running costs. 
Reduced capital funding reflects the requirement for IFRS 16 capital provision in 2024-25 that is not required in 2025-26. </t>
  </si>
  <si>
    <t>Total - Police Investigation and Review Commissioner</t>
  </si>
  <si>
    <t>Police Support Services</t>
  </si>
  <si>
    <t>Scottish Crime Campus (Gartcosh)</t>
  </si>
  <si>
    <t xml:space="preserve">This covers the operating costs, depreciation costs and associated income for the Scottish Crime Campus at Gartcosh. </t>
  </si>
  <si>
    <t xml:space="preserve">Reduced requirement for capital budget for maintenance of the building in 2025-26. </t>
  </si>
  <si>
    <t>Total - Police Support Services</t>
  </si>
  <si>
    <t>Total - Police Central Government</t>
  </si>
  <si>
    <t>Safer and Stronger Communities</t>
  </si>
  <si>
    <t>Safer Communities</t>
  </si>
  <si>
    <t>Support to a range of projects and initiatives and grants to third sector organisations, and others, as well as staff costs, related to building safer and stronger communities and tackling sectarianism.</t>
  </si>
  <si>
    <t>HMFSI - Salaries and training</t>
  </si>
  <si>
    <t>Operational costs for HM Chief Inspector of Fire and Rescue Services for Scotland</t>
  </si>
  <si>
    <t xml:space="preserve">The 2024-25 budget figure accounts for in year budget transfers to HMFSI which increased the budget from the baseline portfolio allocation.  
Additional funding has been provided to support increased running costs compared to the opening 2024-25 budget. 
</t>
  </si>
  <si>
    <t>Total Safer and Stronger Communities (Level 2)</t>
  </si>
  <si>
    <t>Police and Fire Pensions</t>
  </si>
  <si>
    <t>Police Pensions</t>
  </si>
  <si>
    <t>Provides funding to the Scottish Police Authority to meet the pension costs of retired police officers.</t>
  </si>
  <si>
    <t xml:space="preserve">Additional funding is provided in year when necessary to meet the cost of the pension scheme based on actual demand. </t>
  </si>
  <si>
    <t>Fire Pensions</t>
  </si>
  <si>
    <t>Provides funding to the Scottish Fire and Rescue Services to meet the pension costs of retired fire officers.</t>
  </si>
  <si>
    <t>Total - Police and Fire Pensions</t>
  </si>
  <si>
    <t>Scottish Prison Service</t>
  </si>
  <si>
    <t>Provides increased funding to cover expenditure associated with operating the prison system (both publicly and privately managed prisons) and the provision of a Custody Court and Prisoner Escorting Service on behalf of Scottish Courts, Police Scotland and the wider justice systems.</t>
  </si>
  <si>
    <t xml:space="preserve">Additional funding to help manage the exceptionally high prison population, increased costs for social care and private sector contracts, pay uplift, as well as full year costs of HMP Kilmarnock under SPS management. </t>
  </si>
  <si>
    <t xml:space="preserve">Capital </t>
  </si>
  <si>
    <t>Provides funding to cover expenditure associated with managing the Scottish Prison Service’s capital programme.</t>
  </si>
  <si>
    <t xml:space="preserve">Additional capital to support the funding for HMP Highland and HMP Glasgow estate priorities. </t>
  </si>
  <si>
    <t>Total Scottish Prison Service (Level 2)</t>
  </si>
  <si>
    <t>Justice Analysis and Digital Transformation</t>
  </si>
  <si>
    <t>Justice Analytical Services</t>
  </si>
  <si>
    <t>Justice Analytical Work</t>
  </si>
  <si>
    <t xml:space="preserve">Justice Analytical Services annual programme of research and analysis including the flagship Scottish Crime and Justice Survey. </t>
  </si>
  <si>
    <t>Additional resource budget to cover existing structural deficit and to  support the increased running costs of the Scottish Crime and Justice Survey.</t>
  </si>
  <si>
    <t>Total - Justice Analytical Services</t>
  </si>
  <si>
    <t>Justice Transformation</t>
  </si>
  <si>
    <t xml:space="preserve">Funds cross-justice IT projects and a variety of justice change programmes, </t>
  </si>
  <si>
    <t>Justice Projects</t>
  </si>
  <si>
    <t>Total Justice Transformation</t>
  </si>
  <si>
    <t>Total - Justice Analysis and Digital Transformation</t>
  </si>
  <si>
    <t>Civil Law and Legal Systems</t>
  </si>
  <si>
    <t>Scottish Criminal Cases Review Commission</t>
  </si>
  <si>
    <t>Funds the Scottish Criminal Cases Review Commission - an independent public body which reviews cases where it is alleged that a miscarriage of justice in relation to either conviction or sentence has occurred.</t>
  </si>
  <si>
    <t>Additional funding to support increased running costs.</t>
  </si>
  <si>
    <t>Legal Systems and Sponsorship</t>
  </si>
  <si>
    <t>Supports Judicial Sponsorship and Court and Tribunal Appointments. This includes the sponsorship of two public bodies, the Judicial Appointments Board and Court of Lord Lyon and also the independent Judicial Complaints Reviewer. In addition, funding also covers a number of other miscellaneous costs including ad hoc court and tribunal appointments, policy development and implementation, expenses arising from Fitness for Judicial Office Tribunals and various litigations including Employment Tribunal claims and Judicial Reviews.</t>
  </si>
  <si>
    <t>Civil Law : Private and Family</t>
  </si>
  <si>
    <t>Supports a range of family law, private law and Central Authority matters. Includes grants to third sector organisations for child contact services and shared parenting support for separated parents. Also includes implementation costs related to regulation of child contact services and other miscellaneous costs related to improvements in the civil justice system.</t>
  </si>
  <si>
    <t xml:space="preserve">Forecast reduction in legal costs. </t>
  </si>
  <si>
    <t>Access to Justice / ADR Mediation</t>
  </si>
  <si>
    <t xml:space="preserve">Supports  Mediation and Arbitration Grant Funding Projects to encourage the use of Alternative Dispute Resolution to settle disputes without the need to take cases to court.  Funding also supports statutory costs for the Scottish Solicitors' Discipline Tribunal.  In addition, funding also supports costs for the Justice Vision's commitment on Legal Aid Reform and the Regulation of Legal Services Bill implementation costs. </t>
  </si>
  <si>
    <t>Scottish Law Commission</t>
  </si>
  <si>
    <t>Funds the Scottish Law Commission. The Commission recommends reforms to improve, simplify and update the law of Scotland.</t>
  </si>
  <si>
    <t>UK Supreme Court</t>
  </si>
  <si>
    <t>This budget covers the SG contribution towards the costs of the UK Supreme Court.</t>
  </si>
  <si>
    <t>Additional funding to support increased costs.</t>
  </si>
  <si>
    <t>Ministerial Policy Development and Support</t>
  </si>
  <si>
    <t xml:space="preserve">Staffing &amp; operational costs relating to Ministerial policy development and support. </t>
  </si>
  <si>
    <t xml:space="preserve">Additional resource budget to cover structural staffing cost deficit. </t>
  </si>
  <si>
    <t>COPFS Inspectorate</t>
  </si>
  <si>
    <t>Operational Costs for the Inspectorate of Prosecution in Scotland.</t>
  </si>
  <si>
    <t>Total - Civil Law and Legal System</t>
  </si>
  <si>
    <t xml:space="preserve">Recovery, Renewal and Transformation Fund </t>
  </si>
  <si>
    <t>Additional resources allocated to recovery, renewal and transformation (RRT) activity within the Scottish Courts and Tribunal Service. 
RRT funding will support SCTS in delivering an additional 40% court capacity to reduce scheduled criminal trials, while managing the continuing trend of increasing solemn indictment levels. It also supports digital transformation to improve service delivery, boost operational capacity and delivers longer term efficiencies.</t>
  </si>
  <si>
    <t>The 2024-25 budget figure accounts for in year budget transfers to SCTS which decreased the budget from the baseline portfolio allocation.  
The community justice RRT funding of £15m has been transferred to the Community Justice Services and Programme costs budget.</t>
  </si>
  <si>
    <t xml:space="preserve">Total - Recovery, Renewal and Transformation Fund </t>
  </si>
  <si>
    <t>Secure Scotland and Veterans</t>
  </si>
  <si>
    <t>Security, Safeguarding, Organised Crime and Veterans</t>
  </si>
  <si>
    <t>Contributing to a safe and secure Scotland by supporting effective government to ensure we have the capacity to tackle threats posed by EU exit, terrorism and organised crime.  Support for the Armed Forces and veterans community in Scotland.</t>
  </si>
  <si>
    <t>Veterans</t>
  </si>
  <si>
    <t xml:space="preserve">Scottish Veterans Fund and the administration of the fund by Veterans Scotland, Capacity Building Grant for Veterans Scotland and supports Ministerial input to Commemorations. </t>
  </si>
  <si>
    <t xml:space="preserve">No change. </t>
  </si>
  <si>
    <t>Scottish Veterans Commissioner's Office</t>
  </si>
  <si>
    <t>Costs for Scottish Veterans Commissioner's Office.</t>
  </si>
  <si>
    <t>Victim/Witness Support</t>
  </si>
  <si>
    <t>Support for Victims and Witnesses</t>
  </si>
  <si>
    <t>Funding to support a range of initiatives to better support victims and witnesses, including funding for the statutory Appropriate Adult scheme and delivery of the Restorative Justice Action Plan and the Trafficking and Exploitation Strategy. Also activity in support of justice elements of the Equally Safe strategy, to continue the First Minister's commitment to support violence against women justice priorities and work relating to support for children and vulnerable witnesses.</t>
  </si>
  <si>
    <t>Increase in funding to support victim &amp; witnesses  of crime.</t>
  </si>
  <si>
    <t>Total</t>
  </si>
  <si>
    <t>Scottish Police Authority</t>
  </si>
  <si>
    <t xml:space="preserve">This budget funds the resource elements of the Scottish Police Authority, SPA Forensics and Police Scotland including workforce costs, operating costs and reform and transformation programmes leading to a Revised Model of Policing. </t>
  </si>
  <si>
    <t xml:space="preserve">The additional investment provides SPA and Police Scotland with the resources required to support the delivery of the three year business plan and key areas of reform and transformation including the development and implementation of the Revised Model of Policing. </t>
  </si>
  <si>
    <t xml:space="preserve">This budget funds the capital elements of the Scottish Police Authority, SPA Forensics and Police Scotland. The capital budget funds investment in the police asset base including estate, digital, fleet and specialist equipment. </t>
  </si>
  <si>
    <t>This additional capital investment will allow the SPA and Police Scotland commence delivery of their Estates Masterplan, which will deliver a more effective, sustainable estate that enables modern policing, supports the health, safety and wellbeing of their workforce and our communities, and reduces long-term operating costs. </t>
  </si>
  <si>
    <t>Total - Scottish Police Authority</t>
  </si>
  <si>
    <t>Scottish Fire and Rescue Service</t>
  </si>
  <si>
    <t xml:space="preserve">Resource  </t>
  </si>
  <si>
    <t>This increased budget funds the resource element of the Scottish Fire and Rescue Service, including delivery of their Strategic Service Review Programme.</t>
  </si>
  <si>
    <t xml:space="preserve">Additional funding will support increased running costs and support SFRS reform including delivery of the Strategic Service Review Programme. </t>
  </si>
  <si>
    <t xml:space="preserve">Capital  </t>
  </si>
  <si>
    <t xml:space="preserve">This budget funds the capital element of the Scottish Fire and Rescue Service, including delivery of their Strategic Service Review Programme. </t>
  </si>
  <si>
    <t xml:space="preserve">This additional capital investment will allow the SFRS to continue to improve facilities for firefighters in support of ongoing work to provide proper decontamination, dignified facilities for female firefighters and addressing RAAC roofs in some fire stations. </t>
  </si>
  <si>
    <t>Total Scottish Fire and Rescue Service (Level 2)</t>
  </si>
  <si>
    <t>Scottish Courts and Tribunals Service</t>
  </si>
  <si>
    <t>General running costs including staffing; fees for Tribunal Members; Judicial costs; accommodation and maintenance; other operational costs; and to deliver a range of reforms that are introducing  efficiencies and improvements for all service users.</t>
  </si>
  <si>
    <t xml:space="preserve">The budget provides an additional £11.5m resource funding compared to the opening 2024-25 budget - an increase of over 10% for increased operating expenditure. 
SCTS receives additional funding in year through budget revisions to cover non-baseline costs including recovery funding to increase criminal court capacity  and funding from various policy areas to cover non-baseline Tribunal business.      </t>
  </si>
  <si>
    <t xml:space="preserve">Maintain the estate to a standard sufficient to meet service level requirements and all other statutory requirements.  Supports the upgrades required by  legislative and policy changes to buildings and core systems. Provide the necessary IT infrastructure. </t>
  </si>
  <si>
    <t xml:space="preserve">Additional capital to support capital plans, including investment in remote video witness suites and digital infrastructure and to support effective revenue spend on the recovery and reform initiatives delivered through Recovery, Renewal and Transformation. </t>
  </si>
  <si>
    <t>Total Scottish Courts and Tribunals Service</t>
  </si>
  <si>
    <t>TOTAL - JUSTICE</t>
  </si>
  <si>
    <t>Criminal Justice Social Work</t>
  </si>
  <si>
    <t>Total Central Government Grants to Local Authorities</t>
  </si>
  <si>
    <t>Social Justice</t>
  </si>
  <si>
    <t>Equality, Inclusion and Human Rights</t>
  </si>
  <si>
    <t>Mainstreaming and inclusion</t>
  </si>
  <si>
    <t>Work with partners to support asylum seeker and refugee integration, strengthen interfaith relations and dialogue, and work to tackle prejudice and build connected communities.  Includes implementation of a Hate Crime Bill and work with partners to safeguard vulnerable individuals who may be drawn towards divisive ideologies. </t>
  </si>
  <si>
    <t>Equalities</t>
  </si>
  <si>
    <t>This budget supports the equality and human rights infrastructure across Scotland. Investing in the capacity of equality organisations; Strategic Interventions to support key equality outcomes; and specific funds to support frontline activity to address violence against women and to support activities to promote equality and human rights.</t>
  </si>
  <si>
    <t>Human Rights</t>
  </si>
  <si>
    <t xml:space="preserve">Design and delivery of the Scottish Government's Human Rights policy including international treaty reporting and follow-up and work to consult on a Human Rights Bill.  </t>
  </si>
  <si>
    <t>While the percentage increase may look significant, the resource investment is minimal and required to deliver commitments made by Ministers</t>
  </si>
  <si>
    <t>Migration Strategy</t>
  </si>
  <si>
    <t>External Affairs</t>
  </si>
  <si>
    <t>International and European Relations</t>
  </si>
  <si>
    <t>The provision of immigration advice and support on policy, and the delivery of PfG commitments associated with Population and Migration including the new Talent Attraction and Migration Service.</t>
  </si>
  <si>
    <t>Budget increased to fund population and migration commitments, such as the new Talent Attraction and Migration Service and visa pilot schemes</t>
  </si>
  <si>
    <t>Total Equality, Inclusion and Human Rights</t>
  </si>
  <si>
    <t>Social Security</t>
  </si>
  <si>
    <t>Scottish Welfare Fund - Admin</t>
  </si>
  <si>
    <t>Funding to Local Authorities (£5.373 million) for administration costs associated with the delivery of the Scottish Welfare Fund with £0.1 million retained for use within the Social Security Directorate to support any  administration costs incurred by the Scottish Government in respect of the fund; for example to support implementation of the SWF action plan.</t>
  </si>
  <si>
    <t xml:space="preserve">No change from previous year for the overall level of funding. The year on year variance reflects an in year budget transfer of £5.373m to Local Authorities. </t>
  </si>
  <si>
    <t>Social Security Advice, Policy and Programme</t>
  </si>
  <si>
    <t xml:space="preserve">Funding supports the substantial programme of work to design, develop and implement the Scottish Government's devolved social security powers under the Scotland Act 2016 and new benefits introduced by the Scottish Government under the Social Security (Scotland) Act 2018. </t>
  </si>
  <si>
    <t xml:space="preserve">The funding in 2025-26 is reflective of the maturity of the Programme which is entering into its final phase, and will be used to prioritise safe and secure delivery of the remaining benefits. This will be achieved through the delivery plans that we have in place around Programme Implementation, the transition to Social Security Scotland, and the work we have to do to ensure the safe exit of the Social Security Programme. </t>
  </si>
  <si>
    <t>Social Security Scotland</t>
  </si>
  <si>
    <t>The budget allocation reflects Social Security Scotland’s investment to administer benefits to clients now and in the future.</t>
  </si>
  <si>
    <t xml:space="preserve">Social Security Scotland is responsible for the delivery of all benefits devolved under the Scotland Act 2016 and new benefits introduced by the Scottish Government under the Social Security (Scotland) Act 2018. </t>
  </si>
  <si>
    <t>Total Social Security</t>
  </si>
  <si>
    <t>Social Security Assistance</t>
  </si>
  <si>
    <t>Scottish Welfare Fund</t>
  </si>
  <si>
    <t xml:space="preserve">The Scottish Welfare Fund provides a safety net for thousands of people on low incomes to access a Crisis Grant in an emergency, or a Community Care Grant to help them set up home or remain in their community. The support is administered by Local Authorities and the budget is transferred to them for this purpose.  </t>
  </si>
  <si>
    <t xml:space="preserve">No change from previous year for the overall level of funding. The annual variance reflects in year budget transfers, with the full budget being transferred to local authorities each year. </t>
  </si>
  <si>
    <t>Carer Support Payment</t>
  </si>
  <si>
    <t>Cost of Carer Support Payments.</t>
  </si>
  <si>
    <t xml:space="preserve">Based on the Scottish Fiscal Commission's December 2024 forecasts, published on 4 December 2024. The previous year's figures are from the Scottish Fiscal Commission's December 2023 forecasts, which were used to set the 2023-24 Scottish Budget. </t>
  </si>
  <si>
    <t>Carer’s Allowance Supplement</t>
  </si>
  <si>
    <t>Cost of Carer's Allowance Supplement payments.</t>
  </si>
  <si>
    <t>Adult Disability Payment</t>
  </si>
  <si>
    <t xml:space="preserve">Cost of Adult Disability Payments </t>
  </si>
  <si>
    <t>Pension Age Disability Payment</t>
  </si>
  <si>
    <t>Cost of Pension Age Disability Payments</t>
  </si>
  <si>
    <t>Scottish Adult Disability Living Allowance</t>
  </si>
  <si>
    <t>Cost of Scottish Adult Disability Living Allowance payments.</t>
  </si>
  <si>
    <t>Child Disability Payment</t>
  </si>
  <si>
    <t xml:space="preserve">Cost of Child Disability Payments </t>
  </si>
  <si>
    <t>Industrial Injuries Disablement Scheme</t>
  </si>
  <si>
    <t>Cost of Industrial Injuries Disablement Scheme payments.</t>
  </si>
  <si>
    <t>Severe Disablement Allowance</t>
  </si>
  <si>
    <t>Cost of Severe Disablement Allowance payments.</t>
  </si>
  <si>
    <t>Best Start Grant</t>
  </si>
  <si>
    <t>Cost of Best Start Grant payments.</t>
  </si>
  <si>
    <t>Based on the Scottish Fiscal Commission's December 2024 forecasts, published on 4 December 2023. The previous year's figures are from the Scottish Fiscal Commission's December 2023 forecasts, which were used to set the 2023-24 Scottish Budget.  This includes Best Start Grant Pregnancy and Baby Payment, Early Learning Payment and School Age Payment.</t>
  </si>
  <si>
    <t>Best Start Foods</t>
  </si>
  <si>
    <t>Cost of Best Start Foods payments.</t>
  </si>
  <si>
    <t>Funeral Support Payment</t>
  </si>
  <si>
    <t>Cost of Funeral Support Payments.</t>
  </si>
  <si>
    <t>Job Start Payment</t>
  </si>
  <si>
    <t>Cost of Job Start Payments.</t>
  </si>
  <si>
    <t>The SFC does not provide a forecast of Job Start Payment because it is not within their scope due to the legislative framework used for the benefit. The decrease reflects a reduction in demand from the previous year's opening budget.</t>
  </si>
  <si>
    <t>Young Carer Grant</t>
  </si>
  <si>
    <t>Cost of Young Carer Grant payments.</t>
  </si>
  <si>
    <t>The SFC does not provide a forecast of Young Carer Grant because it is below their materiality threshold. The increase reflects an uptake in demand from the previous year's opening budget.</t>
  </si>
  <si>
    <t>Child Winter Heating Payment</t>
  </si>
  <si>
    <t>Cost of Child Winter Heating Payments.</t>
  </si>
  <si>
    <t>Scottish Child Payment</t>
  </si>
  <si>
    <t>Cost of Scottish Child Payments.</t>
  </si>
  <si>
    <t xml:space="preserve">Pension Age Winter Heating Payment </t>
  </si>
  <si>
    <t>Cost of Pension Age Winter Heating Payments.</t>
  </si>
  <si>
    <t>Winter Heating Payment</t>
  </si>
  <si>
    <t>Cost of Winter Heating Payments</t>
  </si>
  <si>
    <t>Total Social Security Assistance</t>
  </si>
  <si>
    <t>Third Sector Infrastructure and Development</t>
  </si>
  <si>
    <t>Third Sector</t>
  </si>
  <si>
    <t xml:space="preserve">We will continue to invest in backbone infrastructure and programmes to support the wider Third Sector and volunteering.
Our support for Scotland’s essential charity sector will be underpinned by investing in the Office of the Scottish Charity Regulator.
The budget will also support the continued improvement of how we make grants to the third sector more widely and address the wider challenges the sector faces. 
</t>
  </si>
  <si>
    <t xml:space="preserve">No significant change however the prior year figures reflect a reduction from £20m as funding for Enterprising Third Sector was transferred out in year in 24-25. Responsibility and funding for this is now accounted for in the Economy and Gaelic portfolio. </t>
  </si>
  <si>
    <t>Total - Third Sector Infrastructure and Development</t>
  </si>
  <si>
    <t>Housing and Building Standards</t>
  </si>
  <si>
    <t>More Homes</t>
  </si>
  <si>
    <t>Affordable Housing Supply Programme</t>
  </si>
  <si>
    <t>Funding to ensure the Affordable Housing Supply Programme continues to deliver much needed affordable homes in the context of a national housing emergency. It will enable the delivery of affordable homes across Scotland and contribute to the target of delivering 110,000 affordable homes by 2032.
The Affordable Housing Supply Programme also includes the Transfer of the Management of Development Funding - the capital allocation which sits within the LG programme and is currently £92.245m.</t>
  </si>
  <si>
    <t xml:space="preserve">The 2025-26 budget represents a capital increase of £140m and an additional £30m for Financial Transactions when compared to 2024-25. 
This increase reflects the ambition to deliver more affordable homes towards our 110,000 homes by 2032 target, of which at least 70 per cent will be available for social rent and 10% will be in our remote, rural and island communities.
</t>
  </si>
  <si>
    <t>Provides for staff costs which support the Affordable Housing Supply Programme.</t>
  </si>
  <si>
    <t>Housing Receipts</t>
  </si>
  <si>
    <t>Income generated from the repayment of grant and investments from previous housing programmes.</t>
  </si>
  <si>
    <t>Capital income expected to reduce in 2025-26 from shared equity schemes.</t>
  </si>
  <si>
    <t>Total - More Homes</t>
  </si>
  <si>
    <t>Fuel Poverty and Housing Quality</t>
  </si>
  <si>
    <t>Provides funding to tackle fuel poverty and improve the quality of Scotland's housing, and also supports our targets on climate change.</t>
  </si>
  <si>
    <t>Year on year variance reflects in year budget transfers. Funding is used to support policy ambitions of tackling fuel poverty objectives through grant funding to third sector organisation and other contractual obligations</t>
  </si>
  <si>
    <t>Scottish Fuel Poverty Advisory Panel</t>
  </si>
  <si>
    <t>Supports the work of the Fuel Poverty Advisory Panel who provide independent advice to Scottish Ministers on fuel poverty and scrutiny of their progress towards delivering Scotland’s 2040 fuel poverty targets</t>
  </si>
  <si>
    <t>Total - Fuel Poverty and Housing Quality</t>
  </si>
  <si>
    <t>Housing Support</t>
  </si>
  <si>
    <t xml:space="preserve">This funding supports efforts to ensure that everyone has a home that meets their needs. This includes provision for preventing and responding to homelessness, including delivery of actions in Ending Homelessness Together such as the transition to a rapid rehousing approach; expenditure to support the delivery of the rented sector reform measures in the Housing (Scotland)Bill, including rent control; expenditure of operation of statutory housing registers; support for the Housing Tribunal; and grants to support the voluntary sector in housing. 
The budget also provides support for older and disabled people requiring adaptations to their homes allowing housing association tenants to live independently in their own homes for as long as possible. </t>
  </si>
  <si>
    <t>Year on year variance in resource budgets reflects the level of funding that is transferred in year to Local Government and other bodies. The increase in our adaptations budget to £20.9 million will allow us to provide Registered Social Landlords with funding to deliver housing adaptations for disabled people who live in social rented housing including disabled children and their families.</t>
  </si>
  <si>
    <t>Discretionary Housing Payments Administration</t>
  </si>
  <si>
    <t>Discretionary Housing Payments</t>
  </si>
  <si>
    <t xml:space="preserve">Provides funding to local authorities for Discretionary Housing Payments to allow them to mitigate the impact of the bedroom tax and benefit cap. Also allows local authorities to provide support to eligible renters whose benefits do not cover the full cost of their rent. </t>
  </si>
  <si>
    <t>Year on year variance reflects the difference between budgets at the start and end of the financial year. The majority of the budget is transferred in year to Local Government. The increase in available budget in 25-26 reflects additional investment to support mitigation of the bedroom tax and benefit cap.</t>
  </si>
  <si>
    <t>Total - Housing Support</t>
  </si>
  <si>
    <t>Building Standards</t>
  </si>
  <si>
    <t>Funds a programme of research and professional advice to ensure the Building Standards system in Scotland delivers its regulatory requirements and supports the creation and renewal of safe and sustainable buildings that stand the test of time.</t>
  </si>
  <si>
    <t>Year on year variance reflects the difference between budgets at the start and end of the financial year. Local Government provides additional funding through fees in year to improve Building Standards services</t>
  </si>
  <si>
    <t>Total - Building Standards</t>
  </si>
  <si>
    <t>Total - Housing and Building Standards</t>
  </si>
  <si>
    <t>Cladding Remediation</t>
  </si>
  <si>
    <t>This budget supports the assessment and remediation of a range of buildings affected by unsafe cladding.</t>
  </si>
  <si>
    <t>Budget has increased to support remediation of assessed buildings with no linked developer.</t>
  </si>
  <si>
    <t>Total - Cladding Remediation</t>
  </si>
  <si>
    <t>Tackling Child Poverty and Social Justice</t>
  </si>
  <si>
    <t xml:space="preserve">Provides for a range of activities to drive forward our key mission to tackle poverty, in particular child poverty. This includes funding to tackle food insecurity, support advice services, Social Innovation Partnership, Fairer Future Partnerships and the delivery of the second round of the Child Poverty Practice Accelerator Fund. </t>
  </si>
  <si>
    <t>There has been an increase to the Tackling Child Poverty Delivery Fund which will allow the £50m commitment associated with Best Start Bright Futures to be delivered; debt levy funding from the UK has been provided in the allocation, rather than transferred in-year; funding for access to period products has been moved to Education portfolio; Social Innovation Partnerships (SIP) capital programme is not continuing</t>
  </si>
  <si>
    <t>Baby box</t>
  </si>
  <si>
    <t>Commitment to provide baby boxes to all new mothers.</t>
  </si>
  <si>
    <t>Total - Social Justice</t>
  </si>
  <si>
    <t>Communities Analysis</t>
  </si>
  <si>
    <t>The funding supports the Scottish Household Survey, including the Scottish House Condition Survey, which provides a detailed annual snapshot of how people in Scotland live. It also includes funding for Rent Service Scotland and analytical staff supporting the Social Justice portfolio.</t>
  </si>
  <si>
    <t>Increased budget to provide capital support for IT projects relating to housing data</t>
  </si>
  <si>
    <t>Total - Communities Analysis</t>
  </si>
  <si>
    <t>Total - Tackling Child Poverty and Social Justice</t>
  </si>
  <si>
    <t>Office of the Scottish Charity Regulator</t>
  </si>
  <si>
    <t xml:space="preserve">Provides funding for OSCR who are the independent registrar and regulator of charities in Scotland. </t>
  </si>
  <si>
    <t>Total - Office of the Scottish Charity Regulator</t>
  </si>
  <si>
    <t>Scottish Housing Regulator</t>
  </si>
  <si>
    <t>Provides independent regulation of social landlords, as established by the Housing (Scotland) Act 2010.</t>
  </si>
  <si>
    <t>Total - Scottish Housing Regulator</t>
  </si>
  <si>
    <t>Ukrainian Resettlement</t>
  </si>
  <si>
    <t>Supports the costs of welcoming Ukrainian displaced people to Scotland</t>
  </si>
  <si>
    <t>Reflects decreasing demand as Ukrainians integrate into Scotland and move into settled accommodation</t>
  </si>
  <si>
    <t>Total - Ukrainian Resettlement</t>
  </si>
  <si>
    <t>Transfer of Management of Development Funding (TMDF)  (LA Capital Specific Grant)</t>
  </si>
  <si>
    <t>To manage the housing supply programme  under the Transfer of Management of Development Funding (TMDF) arrangements. Budget is included in the total funding for the Affordable Housing Supply Programme.</t>
  </si>
  <si>
    <t>Education and Skills</t>
  </si>
  <si>
    <t>Learning</t>
  </si>
  <si>
    <t>Education Analytical Services</t>
  </si>
  <si>
    <t>Children and Families Analysis</t>
  </si>
  <si>
    <t>To support the provision of additional evidence to monitor, evaluate and develop policies to achieve National Outcomes relating to children.</t>
  </si>
  <si>
    <t>Change reflects in year transfers in 24-25 to support analytical activity, compared to the 25-26 starting budget position.</t>
  </si>
  <si>
    <t>Learning Analysis</t>
  </si>
  <si>
    <t>To provide evidence and analysis on Learning and to support the Directorate for Learning in the achievement, measurement and monitoring of relevant National Outcomes and Indicators.</t>
  </si>
  <si>
    <t xml:space="preserve">Change reflects in year transfers in 24-25 to support analytical activity, compared to the 25-26 starting budget position. </t>
  </si>
  <si>
    <t>Advanced Learning and Science Analysis</t>
  </si>
  <si>
    <t>To provide data, research and analysis to support the DG Education, Communities and Justice in the achievement, measurement and monitoring of relevant National Outcomes and Indicators.</t>
  </si>
  <si>
    <t>Information Management, Improvement and Evidence</t>
  </si>
  <si>
    <t>Develop electronic data exchanges between partners in the Scottish education system and beyond as well as promoting and supporting continuous improvement through the use, development and reporting of evidence and benchmarking information.</t>
  </si>
  <si>
    <t>Total - Education Analytical Services</t>
  </si>
  <si>
    <t>Improvement, Attainment and Wellbeing</t>
  </si>
  <si>
    <t>Communication Teams (Schools)</t>
  </si>
  <si>
    <t xml:space="preserve">"Engage for Education" and related events. </t>
  </si>
  <si>
    <t>Raising Attainment</t>
  </si>
  <si>
    <t>Budget for the Attainment Scotland Fund to support the Scottish Attainment Challenge, National Improvement Framework programmes and for the School Clothing Grant.</t>
  </si>
  <si>
    <t>Change reflects in year transfers in 24-25 to Local Government compared to the 25-26 starting budget position. Additional budget cover provided to uplift school clothing grant in line with inflation.</t>
  </si>
  <si>
    <t>Grant Aided Special Schools Indirect Capital</t>
  </si>
  <si>
    <t>Improvements to schools as part of a maintenance programme.</t>
  </si>
  <si>
    <t>Compensation Payments (SPPA)</t>
  </si>
  <si>
    <t>Pension contributions for former List D school staff.</t>
  </si>
  <si>
    <t>Fewer recipients of the scheme.</t>
  </si>
  <si>
    <t>Equalities, Inclusion and Additional Support for Learning</t>
  </si>
  <si>
    <t>Includes funding to "Grant Aided Special Schools" and for the implementation of additional support for learning including Enquire, CALL Scotland, Let's talk ASN, Scottish Sensory Centre, Dyslexia Scotland, Scottish Network for Able Pupils, Scottish Traveller Education Project and contribution towards Membership of the European Agency for Special Educational Needs and training of independent adjudicators.</t>
  </si>
  <si>
    <t>Change reflects in year transfers in 24-25 to Local Government compared to the 25-26 starting budget position. Budget includes additional funding provision for ASN, including an allocation for national programmes to support the workforce. Uplift also ensures budget cover for statutory services affected by inflation rises.</t>
  </si>
  <si>
    <t xml:space="preserve">Health and Wellbeing </t>
  </si>
  <si>
    <t>Supports implementation of "Health and Wellbeing" across the curriculum -  food and health, relationships, sexual health and parenthood education. It also provides national support for a range of projects promoting positive relationships, behaviour, mental health and wellbeing and engagement in schools and the national anti-bullying service.</t>
  </si>
  <si>
    <t>'Change reflects in year transfers in 24-25 to Local Government compared to the 25-26 starting budget position. Budget includes provision for expanding free school meals to those in receipt of the Scottish Child Payment in Primary 6 and Primary 7.</t>
  </si>
  <si>
    <t>Total - Improvement, Attainment and Wellbeing</t>
  </si>
  <si>
    <t>Workforce, Infrastructure &amp; Digital</t>
  </si>
  <si>
    <t>Teacher Training</t>
  </si>
  <si>
    <t>Funding to maintain teacher numbers, recruit and train student teachers, operate the teacher induction scheme and enable initiatives to support the structure of teachers’ professional learning in Scotland.</t>
  </si>
  <si>
    <t>'Change reflects in year transfers in 24-25 to Education Scotland and Local Government compared to the 25-26 starting budget position. Budget includes additional cover to uprate funding to maintain teacher numbers at previous levels.</t>
  </si>
  <si>
    <t>Teacher's Pay</t>
  </si>
  <si>
    <t>Funding to support our teaching profession by delivering the historic pay deal for our teachers, which has a cumulative value of 14.6% over 28 months.</t>
  </si>
  <si>
    <t>Change reflects in year transfers in 24-25 to Local Government compared to the 25-26 starting budget position.</t>
  </si>
  <si>
    <t>School Estate</t>
  </si>
  <si>
    <t>Supports Scottish Futures Trust’s management of the Scottish Government's school building programme; Architecture &amp; Design Scotland’s delivery of the schools programme; and the Scottish Arbitration Centre who provide the support service to the School Closures Review Panel.</t>
  </si>
  <si>
    <t>Change reflects in year transfers in 24-25 within Scottish Government compared to the 25-26 starting budget position.</t>
  </si>
  <si>
    <t>Technologies for Learning</t>
  </si>
  <si>
    <t>Funds Glow services, SWAN connectivity for education establishments, and practical support for digital learning and teaching. Capital funding will support targeted programme of digital inclusion.</t>
  </si>
  <si>
    <t>Schools Unitary Charges</t>
  </si>
  <si>
    <t>Scottish Government revenue funding commitments to local authorities to cover the unitary charge payments for Scotland’s Schools for the Future programme (SSF) and outcomes-based funding payments for Learning Estate Investment Programme (LEIP) projects.</t>
  </si>
  <si>
    <t>Uplift to ensure budget cover for Scottish Government outcomes based funding payments to Local Authorities in 25-26 related to LEIP and Schools for the Future projects.</t>
  </si>
  <si>
    <t>Jordanhill School</t>
  </si>
  <si>
    <t xml:space="preserve">Grant-maintained school budget for all aspects of operating and staffing the school. </t>
  </si>
  <si>
    <t>Uplift for essential operating costs including staff pay.</t>
  </si>
  <si>
    <t>Jordanhill School Indirect Capital</t>
  </si>
  <si>
    <t>Improvements to the school as part of a school maintenance programme.</t>
  </si>
  <si>
    <t>Uplift to ensure budget cover for essential maintenance costs iincluding costs for essential boiler repairs as required in 25/26</t>
  </si>
  <si>
    <t>St Mary's Music School Grant Payments</t>
  </si>
  <si>
    <t>Funds aided places scheme which provides financial assistance for pupils attending St Mary’s Music School.</t>
  </si>
  <si>
    <t>Uplift to ensure budget covers additional VAT costs arising from the UK Government's policy change</t>
  </si>
  <si>
    <t>Learning and Support -Advice and Policy</t>
  </si>
  <si>
    <t>Resource to support delivery of a range of work across the wider business area.</t>
  </si>
  <si>
    <t>Allocation uplifted in line with actual spend in 24-25.</t>
  </si>
  <si>
    <t>Total - Workforce, Infrastructure and Digital</t>
  </si>
  <si>
    <t>Total - Learning</t>
  </si>
  <si>
    <t>Education Reform</t>
  </si>
  <si>
    <t>Curriculum</t>
  </si>
  <si>
    <t xml:space="preserve">Curriculum </t>
  </si>
  <si>
    <t>The funding supports a range of work across the Curriculum for Excellence, and includes funding to remove core curriculum charges and provide free instrumental music tuition.</t>
  </si>
  <si>
    <t>Total - Curriculum</t>
  </si>
  <si>
    <t>Schools Reform</t>
  </si>
  <si>
    <t>Funding to implement a range of education reforms to empower our teachers, parents and communities to deliver excellence and equity for our children.</t>
  </si>
  <si>
    <t>Budget uplift to deliver Education Reform programme, including the new Centre for Teaching Excellence, Qualifications Scotland, His Majesty's Inspectorate for Education and refocussed Education Scotland.</t>
  </si>
  <si>
    <t>SQA Development /Accommodation Costs</t>
  </si>
  <si>
    <t>Funds accommodation costs for SQA (including Education Scotland's share of the Optima Building, Glasgow).</t>
  </si>
  <si>
    <t xml:space="preserve">Scottish Qualifications Authority </t>
  </si>
  <si>
    <t>SG core grant-in-aid contribution towards operational costs and depreciation.</t>
  </si>
  <si>
    <t>Change reflects in year transfers received in 24-25 from Qualifications and Accreditation compared to the 25-26 starting budget position.</t>
  </si>
  <si>
    <t>Scottish Qualifications Authority - Capital</t>
  </si>
  <si>
    <t>SG core grant-in-aid contribution to capital activity.</t>
  </si>
  <si>
    <t>Budget uplift to allow digital investment to support qualifications reform and transition to Qualifications Scotland.</t>
  </si>
  <si>
    <t>Total - Education Reform</t>
  </si>
  <si>
    <t>Education Scotland</t>
  </si>
  <si>
    <t>Receipts</t>
  </si>
  <si>
    <t>Pay</t>
  </si>
  <si>
    <t>Salary costs for the national improvement agency for education in Scotland. Staff costs support the Government’s desire to ensure excellence and equity across the education system</t>
  </si>
  <si>
    <t>Uplift to cover workforce costs,</t>
  </si>
  <si>
    <t xml:space="preserve">Other </t>
  </si>
  <si>
    <t>Activities to support the Government’s desire to ensure excellence and equity across the education system</t>
  </si>
  <si>
    <t>Change reflects in year transfers received in 24-25 compared to the 25-26 starting budget position.</t>
  </si>
  <si>
    <t>Depreciation</t>
  </si>
  <si>
    <t>Depreciation of ES assets.</t>
  </si>
  <si>
    <t>Revised depreciation costs.</t>
  </si>
  <si>
    <t>Total - Education Scotland</t>
  </si>
  <si>
    <t>Children and Families</t>
  </si>
  <si>
    <t>Children's Rights, Protection and Justice</t>
  </si>
  <si>
    <t>SCRA - Resource</t>
  </si>
  <si>
    <t>Maintains funding for Scottish Children’s Reporter Administration (SCRA) statutory responsibilities and recruitment of additional staffing resource to meet demands of Care and Justice Act. Supports SCRA's continued involvement in Promise-related reform work re children’s hearings redesign and development of trial and test projects to improve the hearings system for children and young people, including meeting obligations under UNCRC.</t>
  </si>
  <si>
    <t xml:space="preserve">Change reflects in year transfers in 24-25 to SCRA to support its activity, compared to the 25-26 starting budget position. </t>
  </si>
  <si>
    <t>SCRA - Indirect Capital</t>
  </si>
  <si>
    <t>Maintenance and improvement of hearings centres across Scotland per statutory duties</t>
  </si>
  <si>
    <t xml:space="preserve">Change reflects planned maintenance refurbishment in Glasgow and Dundee  in 2025-26 </t>
  </si>
  <si>
    <t>Children's Hearings Scotland (CHS) - Resource</t>
  </si>
  <si>
    <t>Supports Children’s Hearings Scotland (CHS) capacity to meet demands of Care and Justice Act and maintain capacity in current system. Funding allows for more full-time resource, removing the inherent instability of reliance on volunteers for operational roles. Supports recruitment campaigns of hundreds of additional panel members to address current and future demand and supports ongoing children’s hearings redesign.</t>
  </si>
  <si>
    <t xml:space="preserve">Change reflects in year transfers in 24-25 to CHS to support its activity, compared to the 25-26 starting budget position. </t>
  </si>
  <si>
    <t>Children's Hearings Scotland (CHS) - Indirect Capital</t>
  </si>
  <si>
    <t>Maintenance and improvement of digital  hearings systems and provision of IT equipment to volunteer panel members. (see increase in volunteer numbers above)</t>
  </si>
  <si>
    <t xml:space="preserve">Changes reflect provision of IT equipment to rolling cohort of volunteers - volunteer numbers will need to increase with the implementation of the Children (Care and Justice) Act as it will expand the size and scope of the hearings system to include 16 and 17 year olds. </t>
  </si>
  <si>
    <t>Children's Hearings work</t>
  </si>
  <si>
    <t>Support to and administration of National Safeguarder Panel including training and performance management of safeguarders. Delivery of advocacy support for young people in the hearings system.</t>
  </si>
  <si>
    <t>Preventing Offending by Young People/Whole Systems Approach</t>
  </si>
  <si>
    <t xml:space="preserve">Supports delivery of whole system approach. Meets the costs of secure care accommodation placements for sentenced young people. Supports improvement work to divert high risk young people from offending behaviour, to provide alternatives to secure care and to provide custody and manage young people safely in their communities.  </t>
  </si>
  <si>
    <t xml:space="preserve">Change reflects in year transfers in 24-25 to support activity to support preventing offending compared to the 25-26 starting budget position. </t>
  </si>
  <si>
    <t>UNCRC Incorporation and Children and Young People's Rights Implementation</t>
  </si>
  <si>
    <t>Preparation for implementation of the incorporation of the United Nations Convention on the Rights of the Child (UNCRC) into Scots law.  Core funding to key partners to support the children's rights agenda. Supports engagement with children and young people and promotion of children's rights under part 1 of the  Children and Young People (Scotland) Act 2014.</t>
  </si>
  <si>
    <t xml:space="preserve">Change reflects in year transfers in 24-25 to support other areas of work which help to ensure children's access to  their rights, compared to 25-26 starting position. </t>
  </si>
  <si>
    <t>Child Protection</t>
  </si>
  <si>
    <t xml:space="preserve">Funding for core child protection and frontline support for projects that help vulnerable children and families such as the Partnership Drugs Initiative (PDI) which helps identify best practice for those working with families affected by substance misuse. Delivery of the Scottish Guardianship service , the Independent Child Trafficking Guardianship Service, Bairns' Hoose and Joint investigative interviews.  </t>
  </si>
  <si>
    <t>Change reflects in-year transfers  to Child Protection in 24-25  to support  Bairns' Hoose and guardianship service compared to the 25-26 starting position.</t>
  </si>
  <si>
    <t>Total - Children's Rights, Protection and Justice</t>
  </si>
  <si>
    <t>Creating Positive Futures</t>
  </si>
  <si>
    <t>Parenting, Play &amp; Family Support</t>
  </si>
  <si>
    <t xml:space="preserve">Supports the delivery of parenting, play and family support, Bookbug book gifting programme for children in their early years and PlayTalkRead </t>
  </si>
  <si>
    <t xml:space="preserve">Change represents in-year transfer to the Justice portfolio in 24-25 against 25-26 starting position. </t>
  </si>
  <si>
    <t>Capital Grants</t>
  </si>
  <si>
    <t xml:space="preserve">Provides funding during 2025-26 towards the refurbishment of play parks over the term of this parliament. 2025-26 is the final year of the commitment. </t>
  </si>
  <si>
    <t xml:space="preserve">Change reflects uplift to support play park renewal across Scotland. Difference between 2025-26 starting  budget and 2024-25 is  in-year transfers to local authorities of £15m  in 24-25.  A similiar transfer will take place in 2025-26 when the final £25m capital funding will  be transferred in-year to local authorities. </t>
  </si>
  <si>
    <t>Children Young People Families Early Intervention Fund (CYPFEIF) and (CYPFAL) Fund</t>
  </si>
  <si>
    <t>Children, Young People Families and Adult Learning Fund (CYPFAL)  provides core funding of third sector organisations across Scotland delivering early intervention and prevention work with children, adult learners and families. This is in addition to the CYPFEIF.</t>
  </si>
  <si>
    <t xml:space="preserve">No reduction in core funding to third sector organisations. Minor savings forecast from support costs. </t>
  </si>
  <si>
    <t>Children &amp; Young People Improvement Collaborative</t>
  </si>
  <si>
    <t>The Children and Young People Improvement Collaborative (CYPIC) supports schools and services to be as good as they can be by using quality improvement to test, measure and implement better ways of working that are more effective and responsive to the needs of children, young people and families.</t>
  </si>
  <si>
    <t>Supporting Families with Disabled Children</t>
  </si>
  <si>
    <t xml:space="preserve">Supporting improved outcomes for disabled children and young people, including development of a National Transitions Strategy. </t>
  </si>
  <si>
    <t xml:space="preserve">Change represents in year transfers in 24-25 against 25-26 starting position. </t>
  </si>
  <si>
    <t>Children and Families-Advice and Policy</t>
  </si>
  <si>
    <t>Strategic Policy and business support across all of Children and Families directorate.</t>
  </si>
  <si>
    <t>Total - Creating Positive Futures</t>
  </si>
  <si>
    <t>Disclosure Scotland</t>
  </si>
  <si>
    <t>Disclosure Scotland Operational Costs</t>
  </si>
  <si>
    <t>Disclosure Scotland (DS) provides a comprehensive and responsive disclosure service, enhancing public safety through enabling safer recruitment decisions and also delivers protection services through the Protection of Vulnerable Groups Scheme ("the PVG Scheme"); a membership scheme for those individuals in regulated work with children or vulnerable adults or those individuals volunteering in such a capacity.</t>
  </si>
  <si>
    <t xml:space="preserve">Change reflects in year transfers in 24-25 to Disclosure Scotland to support its activity, compared to the 25-26 starting budget position. </t>
  </si>
  <si>
    <t>Total - Disclosure Scotland</t>
  </si>
  <si>
    <t>Office of Chief Social Work Adviser</t>
  </si>
  <si>
    <t>Scottish Social Services Council Resource</t>
  </si>
  <si>
    <t xml:space="preserve">This funds the SSSC (an SG NDPB) to deliver SG policy on upskilling and regulating the social services workforce. This underpins the prevention agenda by ensuring that people are supported and protected by a high quality and skilled workforce. It also funds postgraduate bursaries and practice learning placements  to support the supply of social workers in Scotland. </t>
  </si>
  <si>
    <t xml:space="preserve">Change reflects in year transfers in 24-25 to SSSC to support its activity, compared to the 25-26 starting budget position. </t>
  </si>
  <si>
    <t>Workforce Development</t>
  </si>
  <si>
    <t>This provides investment in development of the social services workforce in Scotland – in line with the public service reform focus on the workforce.</t>
  </si>
  <si>
    <t>The 24-25 budget excludes funding for a Real Living Wage uplift, which was transferred to local government in year . The 25-26 budget reflects funding to support payment of the Real Living Wage to the Children's Social Care workforce and we anticipate a similar in-year transfer to take place.</t>
  </si>
  <si>
    <t>Total - Office of Chief Social Work Adviser</t>
  </si>
  <si>
    <t>Care Experience - Whole Family Wellbeing</t>
  </si>
  <si>
    <t>Improving Lives for People with Care Experience</t>
  </si>
  <si>
    <t xml:space="preserve">Activity and budget merged into The Promise budget line in 2024-25. </t>
  </si>
  <si>
    <t>Getting it Right for Every Child</t>
  </si>
  <si>
    <t xml:space="preserve">Supports national implementation of GIRFEC approach and practice. </t>
  </si>
  <si>
    <t>The Promise</t>
  </si>
  <si>
    <t>Delivery of Keeping the Promise, including cost of The Promise Scotland,  development of a Good Childhood and supporting children’s hearings redesign.</t>
  </si>
  <si>
    <t>Supports our ongoing commitment under our Keeping The Promise Implementation Plan. 24-25 budget appears lower compared to 25-26 as it reflects in-year transfers including to support delivery of secure care and Bairns' Hoose.  A similar transfer is planned for 25-26</t>
  </si>
  <si>
    <t>Whole Family Wellbeing Funding</t>
  </si>
  <si>
    <t>Funding for local Children's Services Planning Partnerships to develop and scale up preventative holistic family support, and for national activity to support transformation, learning and sharing of good practice.</t>
  </si>
  <si>
    <t>24-25 budget appears lower after in-year transfer to Children's Services Planning Partnerships via the local government general revenue grant, to deliver element 1 of the Whole Family Wellbeing Programme. A similar transfer to local government will take place in-year in 25-26.</t>
  </si>
  <si>
    <t>Total - Care Experience - Whole Family Wellbeing</t>
  </si>
  <si>
    <t>Early Learning and Childcare</t>
  </si>
  <si>
    <t>ELC Expansion</t>
  </si>
  <si>
    <t>Supports the delivery of early learning and childcare policy to continue implementation of 1140 hours, funding activity that directly supports children and families as well as supporting local authorities in delivery, supporting including the training and upskilling of the workforce and supporting sector sustainability. Funds the early years contribution to the childcare Early Adopter Communities.</t>
  </si>
  <si>
    <t>Change reflects funding transferred to local government to support an uplift in payment of the Real Living Wage for staff in the private, voluntary and independent sectors who deliver funded early learning and childcare. Difference between 25-26 starting budget and 24-25 is a result of in year transfers to support key initiatives in 2024-25.</t>
  </si>
  <si>
    <t>School Age Childcare</t>
  </si>
  <si>
    <t xml:space="preserve">Programme is committed to building a system of school age childcare for Scotland. Currently funds the Childcare Early Adopter Communities, Access to Childcare projects and the SFA ‘Extra Time Programme’. Collectively funding SACC services for over 4500 children and their families. Primary driver is tackling poverty and the target families are those most at risk of living in poverty (through the lens of the 6 priority family types). Also funding the design of a future digital childcare service. Flat cash position will sustain delivery. Additional funding to support further testing and delivery of breakfast club provision. </t>
  </si>
  <si>
    <t xml:space="preserve">Difference between 25-26 starting budget and 24-25 is a result of in year transfers to support key initiatives. Increase in capital reflects anticipated spend with projects focused on utilising infrastructure which already exists within communities with a focus on improving or bringing existing resource back into use, and a focus on digital solutions. Additional funding to support further testing and delivery of breakfast club provision. </t>
  </si>
  <si>
    <t>Holiday Meal Alternative</t>
  </si>
  <si>
    <t>Delivers holiday free school meal alternative cash payments for families across all 32 local authorities. All families qualifying for free school meal eligibility (based on low-income measures) can receive a cash payment per child per day across all school holiday periods. Tackling poverty focus.</t>
  </si>
  <si>
    <t xml:space="preserve">Funding line separated from the school age childcare budget in 24-25. Funding does not appear for 24-25 as it was transferred to local government as an in year transfer. A similar in year transfer will take place in 25-26. </t>
  </si>
  <si>
    <t xml:space="preserve">Total - Early Learning and Childcare </t>
  </si>
  <si>
    <t>Total - Children and Families</t>
  </si>
  <si>
    <t>Higher Education Student Support</t>
  </si>
  <si>
    <t>DEL</t>
  </si>
  <si>
    <t>Student Support and Tuition Fee Payments</t>
  </si>
  <si>
    <t xml:space="preserve">Tuition fee payments to institutions, grants and bursaries to students and funds to higher education institutions to further support students. </t>
  </si>
  <si>
    <t>Reduction to budget reflects a forecast reduction in demand. 2024-25 also includes in year budget transfers which will be repeated in 2025-26.</t>
  </si>
  <si>
    <t>Student Loan Company Administration Costs</t>
  </si>
  <si>
    <t>The cost of administering Scottish students' loans.</t>
  </si>
  <si>
    <t>Saving identified following review of line requirement.</t>
  </si>
  <si>
    <t>Student Loan Interest Subsidy to Bank</t>
  </si>
  <si>
    <t>Cost of interest subsidy to banks for historic loan book.</t>
  </si>
  <si>
    <t>Cost of Providing Student Loans (RAB charge - Non Cash)</t>
  </si>
  <si>
    <t>This is based on the future loan write-offs and interest subsidies.</t>
  </si>
  <si>
    <t>Technical adjustment based on current Economist estimations.</t>
  </si>
  <si>
    <t>Student Awards Agency for Scotland (SAAS) - Operating Costs - Resource</t>
  </si>
  <si>
    <t>Funding of the Student Awards Agency for Scotland including staff, accommodation, IT and administration costs.</t>
  </si>
  <si>
    <t>Increase in non-cash requirement.</t>
  </si>
  <si>
    <t>Student Awards Agency for Scotland - Operating Costs - Capital</t>
  </si>
  <si>
    <t>Funding of the Student Awards Agency for Scotland's capital projects for administering student support.</t>
  </si>
  <si>
    <t>HESS DEL Total</t>
  </si>
  <si>
    <t>Net Student Loans Advanced</t>
  </si>
  <si>
    <t>Student loan advances net of student loan repayments for Scottish domiciled students.  Covers maintenance loans, tuition fee loans for postgraduate students and tuition fee loans for students studying in the rest of the UK.</t>
  </si>
  <si>
    <t>Based on current projections and Bank of England base rate projections</t>
  </si>
  <si>
    <t>Capitalised Interest</t>
  </si>
  <si>
    <t>Capitalised interest on student loans.</t>
  </si>
  <si>
    <t>Capitalised interest is the interest charged on the loan balance and changes as the Bank of England base rates moves</t>
  </si>
  <si>
    <t>Student Loans Fair Value Adjustment</t>
  </si>
  <si>
    <t>Loan valuation adjustment.</t>
  </si>
  <si>
    <t> Student loans are valued at fair value in accordance with IFRS9; the value is determined using a discounted cashflow model and this change reflects the in-year movement.</t>
  </si>
  <si>
    <t>Student Loan Sale Subsidy Impairment Adjustments</t>
  </si>
  <si>
    <t>Sale subsidy adjustment.</t>
  </si>
  <si>
    <t> </t>
  </si>
  <si>
    <t>HESS AME Total</t>
  </si>
  <si>
    <t>Total Higher Education Student Support</t>
  </si>
  <si>
    <t>Scottish Funding Council</t>
  </si>
  <si>
    <t>Scottish Funding Council Administration</t>
  </si>
  <si>
    <t xml:space="preserve">Funding for the staff and operating costs of the Scottish Funding Council (including depreciation). </t>
  </si>
  <si>
    <t>The addition of a capital operating costs programme relating to SFC transformation.</t>
  </si>
  <si>
    <t>College Operational Expenditure</t>
  </si>
  <si>
    <t>Scotlands college sector delivery education and training across Scotland, supporting Scotland's community and workforce needs.  This figure reflects the planned overall gross resource expenditure for the college sector.</t>
  </si>
  <si>
    <t>College Operational Income</t>
  </si>
  <si>
    <t xml:space="preserve">This is the estimated level of income expected to be generated from sources other than SG grant-in-aid. </t>
  </si>
  <si>
    <t>Net College Resource</t>
  </si>
  <si>
    <t>College Not for Profit (NPD) Expenditure</t>
  </si>
  <si>
    <t>College NPD Expenditure</t>
  </si>
  <si>
    <t>This represents funding being made available to cover 2025-26 unitary charge payments for college NPD projects.</t>
  </si>
  <si>
    <t>Increased in line with inflationary increases.</t>
  </si>
  <si>
    <t>College Depreciation Costs</t>
  </si>
  <si>
    <t xml:space="preserve">Non-cash budget to cover college depreciation charges. </t>
  </si>
  <si>
    <t>Non cash adjustment for depreciation charges.</t>
  </si>
  <si>
    <t>College Capital Expenditure</t>
  </si>
  <si>
    <t>This figure reflects the estimated planned overall aggregate capital expenditure for the college sector and includes college estate maintenance costs as well as any new build or refurbishment capital costs.</t>
  </si>
  <si>
    <t>Reduction reflects profiled spend on multi year capital projects. Additional funding provided for college estates.</t>
  </si>
  <si>
    <t>College Capital Receipts</t>
  </si>
  <si>
    <t>Estimate of college capital receipts.</t>
  </si>
  <si>
    <t>Net College Capital</t>
  </si>
  <si>
    <t>Higher Education Resource</t>
  </si>
  <si>
    <t xml:space="preserve">Grant-in-aid funding to the Scottish Funding Council for onward allocation to Scotland’s universities to support delivery of core teaching activities, including controlled places funded by ABR/SBR transfers from Health Directorate. </t>
  </si>
  <si>
    <t xml:space="preserve">Change between 2024-25 ABR position and 2025-26 reflects in year budget transfers from Health and Education.  Addtional funds provided to support students and increase in unit costs. </t>
  </si>
  <si>
    <t>Higher Education Capital</t>
  </si>
  <si>
    <t xml:space="preserve">Grant-in-aid funding to the Scottish Funding Council for onward allocation to Scotland's universities for research and innovation activity, as well as contributory funding to capital maintenance. </t>
  </si>
  <si>
    <t>Small inflationary increase.</t>
  </si>
  <si>
    <t>Higher Education Financial Transactions (Expenditure)</t>
  </si>
  <si>
    <t>Higher Education Financial Transactions (Income)</t>
  </si>
  <si>
    <t>Income from the repayment of loans.</t>
  </si>
  <si>
    <t>Increase due to the profiling of loan repayments.</t>
  </si>
  <si>
    <t>Total - Scottish Funding Council</t>
  </si>
  <si>
    <t>Lifelong Learning and Skills</t>
  </si>
  <si>
    <t>Lifelong Learning</t>
  </si>
  <si>
    <t>International Activity</t>
  </si>
  <si>
    <t>The IES is focused on three key themes:  attracting and diversifying the international student population; maximising the economic benefits of international higher education; and promoting Scotland’s as a world leader in research and knowledge exchange. The international HE budget funds activities which contribute to these joint ambitions. For example, Destination Scotland targeted marketing activity and the Scottish Education Exchange Programme Test and Learn project which supports Scotland's colleges and universities to establish and develop international partnerships.</t>
  </si>
  <si>
    <t>2025-26 reflects the full budget which will reduce in year when budget transfers take place.</t>
  </si>
  <si>
    <t>Student Support &amp; Wellbeing</t>
  </si>
  <si>
    <t xml:space="preserve">Includes funding to support the work of the Commissioner for Fair Access, the Student Support Review, Equally Safe and mental health projects and research or legal costs relating to student support or widening access. </t>
  </si>
  <si>
    <t>Community Learning &amp; Development</t>
  </si>
  <si>
    <t>Support to key sector strategic partners and to follow-up the Independent Review of CLD</t>
  </si>
  <si>
    <t>Small reduction due to the completion of the Erasmus+ programme.</t>
  </si>
  <si>
    <t>Reform Programme</t>
  </si>
  <si>
    <t>Funding to support stakeholder engagement on reform of the post-school education system.</t>
  </si>
  <si>
    <t>Budget increase to support the development and delivery of the post school education and skills reform programme</t>
  </si>
  <si>
    <t>Qualifications and Accreditation</t>
  </si>
  <si>
    <t xml:space="preserve">Grant funding to the SQA for its work to accredit and validate vocational qualifications and funding for the promotion of the Scottish Credit and Qualifications Framework. </t>
  </si>
  <si>
    <t>Lifelong Learning &amp; Skills Total Operating Costs (TOC)</t>
  </si>
  <si>
    <t>Resource to support delivery of a range of advice and policy work across the Directorate for Lifelong Learning and Skills.</t>
  </si>
  <si>
    <t>Increase to align with the actual operating costs for the Directorate.</t>
  </si>
  <si>
    <t>Total - Lifelong Learning</t>
  </si>
  <si>
    <t>Skills</t>
  </si>
  <si>
    <t>Skills Programmes</t>
  </si>
  <si>
    <t>Grant funding to third sector organisations to support young people most at risk of not reaching a positive destination, to make a successful transition to employment, education or training.  Grant funding to Developing the Young Workforce, which facilitates the link between schools and employers, to increase opportunities for work-based learning, work inspiration and mentoring for young people, including those disengaging from school and further from the labour market.</t>
  </si>
  <si>
    <t>No significant change.</t>
  </si>
  <si>
    <t xml:space="preserve">Education Maintenance Allowance </t>
  </si>
  <si>
    <t>EMA provides payments to 16-19 year olds from low-income households to overcome financial barriers to stay on in learning, including school, college or Learning Agreement.</t>
  </si>
  <si>
    <t>Reduction in line with forecast demand for 2025-26.</t>
  </si>
  <si>
    <t>Total - Skills</t>
  </si>
  <si>
    <t>Skills Development Scotland</t>
  </si>
  <si>
    <t xml:space="preserve">Grant-in-aid funding for SDS to deliver national training interventions, including apprenticeships, delivery of the Scottish Government’s national redundancy service (PACE) and Scotland's careers information advice and guidance services.  </t>
  </si>
  <si>
    <t>Total - Skills Development Scotland</t>
  </si>
  <si>
    <t>Total Lifelong Learning and Skills (level 2)</t>
  </si>
  <si>
    <t>Total Education and Skills</t>
  </si>
  <si>
    <t>Local Government Grant</t>
  </si>
  <si>
    <t>Raising Attainment (LA Resource Specific Grant)</t>
  </si>
  <si>
    <t>Pupil Equity Funding to be issued directly to headteachers</t>
  </si>
  <si>
    <t>Change reflects in year transfers in 24-25 within Scottish Government compared to the 25-26 starting budget position. The total funding allocation for PEF has not changed from 24-25.</t>
  </si>
  <si>
    <t xml:space="preserve">Local Government Grant </t>
  </si>
  <si>
    <t>Total - Local Government Grant</t>
  </si>
  <si>
    <t>Transport</t>
  </si>
  <si>
    <t>Deputy First Minister, Economy and Gaelic</t>
  </si>
  <si>
    <t xml:space="preserve">Rural Affairs, Land Reform and Islands </t>
  </si>
  <si>
    <t>Agricultural Support and Related Services</t>
  </si>
  <si>
    <t>Pillar 1 - Basic Payments</t>
  </si>
  <si>
    <t xml:space="preserve">Funding which is a direct replacement for former EU funds (European Agricultural Guarantee Fund (EAGF)).
This funding provides direct support to farmers and crofters resulting in stability in food production, and enabling them to shift to producing food more sustainably, mitigate and adapt to climate change and protect and restore nature.   
</t>
  </si>
  <si>
    <t>No Change.</t>
  </si>
  <si>
    <t>Total - Pillar 1 - Basic Payments</t>
  </si>
  <si>
    <t>Pillar 1 - Greening Payments</t>
  </si>
  <si>
    <t xml:space="preserve">Funding which is a direct replacement for former EU funds (European Agricultural Guarantee Fund (EAGF)).
This funding (which is paid on top of the Basic Payment Scheme) provides direct support to mainly arable farmers for measures beneficial for the climate and environment.  
</t>
  </si>
  <si>
    <t>Total - Pillar 1 - Greening Payments</t>
  </si>
  <si>
    <t>Other Pillar 1 Payments</t>
  </si>
  <si>
    <t xml:space="preserve">Funding which is a direct replacement for former EU funds (European Agricultural Guarantee Fund (EAGF)).
This budget is demand led and includes support to specialist beef and sheep producers,and for fruit and vegetables producers.                                                                                                                                                                                                                                                                                                                                                                                                                                                                                                                                                                                                                                                                                                                                                                                                                                                                                                                                                                                                                                                                                                                                                                                                                                                                                                                                                                                                </t>
  </si>
  <si>
    <t>Total - Other Pillar 1 Payments</t>
  </si>
  <si>
    <t>Convergence Funding</t>
  </si>
  <si>
    <t xml:space="preserve">This budget line is now absorbed in other key areas of the RAI budget involved in transition to new rural funding framework and agricultural transformation. </t>
  </si>
  <si>
    <t>2024-25 budget included one off funding for floodbank support claims from Storm Babet.</t>
  </si>
  <si>
    <t>Total - Convergence Funding</t>
  </si>
  <si>
    <t>Agricultural Transformation</t>
  </si>
  <si>
    <t>Agricultural Transformation Fund</t>
  </si>
  <si>
    <t xml:space="preserve">Support for the Scottish agricultural sector in the delivery of Scotland’s statutory emissions reduction targets through protecting and improving the natural environment; reducing greenhouse gas emissions from farming operations; supporting sustainable farming and sustainable land use. </t>
  </si>
  <si>
    <t>Capital allocation increased to £20m, returned deferred budget for the purpose of progressing transformation and reform of the agriculture and food and drink industries.</t>
  </si>
  <si>
    <t>Total - Agricultural Transformation</t>
  </si>
  <si>
    <t>Technical Assistance</t>
  </si>
  <si>
    <t>This budget supports transition costs associated with the new Rural Development programme and the Scottish Rural Network. It is also for monitoring and evaluation and links into the ARC Bill's Support Plan for future.</t>
  </si>
  <si>
    <t>Total - Technical Assistance</t>
  </si>
  <si>
    <t>Business Development</t>
  </si>
  <si>
    <t>Business Development Resource</t>
  </si>
  <si>
    <t>Budget provides support for innovation, to keep Scottish Producers competitive and improve business practices within the industry, including for Monitor farms, Knowledge Transfer, the Farm Advisory Service, Scottish Land Matching Service and support for small producers.</t>
  </si>
  <si>
    <t>Minor change</t>
  </si>
  <si>
    <t>Business Development Capital</t>
  </si>
  <si>
    <t>Budget supports business viability and competitiveness, as well as creating and safeguarding employment in rural areas, including crofting.</t>
  </si>
  <si>
    <t>Business Development - Financial Transactions (Expenditure)</t>
  </si>
  <si>
    <t>Business Development - Financial Transactions (Income)</t>
  </si>
  <si>
    <t>Total - Business Development</t>
  </si>
  <si>
    <t>Less Favoured Area Support Scheme</t>
  </si>
  <si>
    <t>An area based scheme which helps target additional support to farmers and crofters on the most marginal land. Objectives include enabling people to remain on the land to contribute to the maintenance of a viable rural community and promote sustainable farming and crofting.</t>
  </si>
  <si>
    <t>Total - Less Favoured Area Support Scheme</t>
  </si>
  <si>
    <t>Agri Environmental Measures</t>
  </si>
  <si>
    <t>Agri Environmental Measures Resource</t>
  </si>
  <si>
    <t>This budget enables ongoing payments to be made for previous capital awards, helping to mitigate and adapt to climate change and maintain measures which protect and restore nature.</t>
  </si>
  <si>
    <t>Agri Environmental Measures Capital</t>
  </si>
  <si>
    <t>This budget provides funding to farmers and land managers to undertake measures of agri-environment benefit, including to mitigate and adapt to climate change and to protect and restore nature, especially in Sites of Special Scientific Interest (SSSI).</t>
  </si>
  <si>
    <t>This line is expected to be funded in full, with a further £4.15 million allocated as part of the Government's wider climate change package. This will be transferred in-year from the NZE portfolio.</t>
  </si>
  <si>
    <t>Total - Agri Environmental Measures</t>
  </si>
  <si>
    <t>Forestry</t>
  </si>
  <si>
    <t>Farm Woodland Schemes</t>
  </si>
  <si>
    <t>This scheme closed in 1992 however there is an on-going commitment to fund 277 scheme participants.  The purpose of this scheme was to encourage farmers to convert agricultural land to woodlands with annual payments of up to 40 years to compensate for the loss of agricultural income. The last payment is due in 2031.</t>
  </si>
  <si>
    <t>Farm Woodland Premium Scheme</t>
  </si>
  <si>
    <t>This scheme closed in 2002.  The scheme was designed to encourage the creation of new woodlands on farms to enhance the environment and as a productive alternative land use. Commitments ceased in 2022.</t>
  </si>
  <si>
    <t>No budget required as last payment made in 2022.</t>
  </si>
  <si>
    <t>Farmland Premium Scheme</t>
  </si>
  <si>
    <t>This scheme closed in 2006.  The scheme was  designed to encourage the creation of new woodlands on farms to enhance the environment and as a productive alternative land use.  Commitments ceased in 2023.</t>
  </si>
  <si>
    <t>No budget required as last payment made in 2023.</t>
  </si>
  <si>
    <t>Total - Forestry</t>
  </si>
  <si>
    <t>Science and Advice for Scottish Agriculture</t>
  </si>
  <si>
    <t>Potato Cyst Nematode (PCN) Improvement Strategy</t>
  </si>
  <si>
    <t>Funds collaborative research to safeguard the longer-term viability of Scotland's potato and bulb industries from the devastating effect of Potato Cyst Nematode.</t>
  </si>
  <si>
    <t>Total - Science and Advice for Scottish Agriculture</t>
  </si>
  <si>
    <t>Agricultural Reform Programme</t>
  </si>
  <si>
    <t>National Test Programme</t>
  </si>
  <si>
    <t>Support for farmers and crofters to commence activity in transforming Scottish Agriculture, supporting food production, climate change mitigation and biodiversity enhancement.</t>
  </si>
  <si>
    <t>Allocation is reduced, reflecting take up in previous years and forecast demand.  </t>
  </si>
  <si>
    <t>Development Support</t>
  </si>
  <si>
    <t xml:space="preserve"> -</t>
  </si>
  <si>
    <t>Delivery Costs - Resource</t>
  </si>
  <si>
    <t xml:space="preserve">Funding includes new £3m capital allocation, reflecting the current phase of the Agricultural Reform Programme. </t>
  </si>
  <si>
    <t>Total - Agricultural Reform Programme</t>
  </si>
  <si>
    <t>Crofting Assistance</t>
  </si>
  <si>
    <t>Crofting Building Grants &amp; Loans Scheme Income</t>
  </si>
  <si>
    <t>Receipts of principal loan repayments.</t>
  </si>
  <si>
    <t>No repayments forecast.</t>
  </si>
  <si>
    <t>Crofting Building Grants &amp; Loans Scheme Costs</t>
  </si>
  <si>
    <t>Funding for remaining Crofting Building Grants &amp; Loans Scheme (CBGLS) and new Croft House Grant (CHG) Payments.</t>
  </si>
  <si>
    <t>Aligns with capital allocation</t>
  </si>
  <si>
    <t>Line relates to Crofting Building Grants &amp; Loans Scheme (CBGLS) and new Croft House Grant (CHG) housing grant payments.</t>
  </si>
  <si>
    <t>No payments forecast.</t>
  </si>
  <si>
    <t>Interest received on Crofting Building Grants &amp; Loans Scheme</t>
  </si>
  <si>
    <t>Interest received from loans to crofters.</t>
  </si>
  <si>
    <t>Total - Crofting Assistance</t>
  </si>
  <si>
    <t>ARE Operations</t>
  </si>
  <si>
    <t>This budget line covers the ongoing costs of essential maintenance, including IT development, business staff, and hardware and software purchases, particularly for the Rural Payments and Inspections Division (RPID) payment system.  It also provides funding for large items of essential scientific and specialist equipment to support the on-going activities of professionals to protect against, detect and test diseases efficiently, safely and effectively. </t>
  </si>
  <si>
    <t xml:space="preserve">Increased allocation to reflect essential maintenance costs of estates managed by RPID. </t>
  </si>
  <si>
    <t>This budget reflects the cost of the staff resource for the Agriculture and Rural Econony Directorate. This includes Agricultural Officers and administrative staff in 16 Area Offices providing support and carrying out inspections;  Science and Advice for Scottish Agriculture (SASA) staff who undertake plant health and diseases and other scientific functions; land reform and land use; wider Agricultural and Rural Development and Community Divisions. It covers the revenue costs of managing and running our IT systems that support a variety of legacy and existing rural support schemes.</t>
  </si>
  <si>
    <t>Increase reflects staff costs, including inflationary and employment costs, which are partially offset by savings achieved by greater operational efficiencies.</t>
  </si>
  <si>
    <t>Depreciation cost of capital assets including the Gogarbank building and IT systems and stud farm.</t>
  </si>
  <si>
    <t>Technical accounting change.</t>
  </si>
  <si>
    <t>Resource Receipts</t>
  </si>
  <si>
    <t>Income generated mainly by Science and Advice for Scottish Agriculture (SASA) Division, in relation to statutory fees and charges and chargeable scientific contracts.  Examples being work for the Technology Strategy Board, New Zealand government and Health and Safety Executive (HSE). In addition some income from Rural Payments and Inspections Division (RPID) for estate management fees and from the Bull Stud Farm.</t>
  </si>
  <si>
    <t>Capital Receipts</t>
  </si>
  <si>
    <t>Total - ARE Operations</t>
  </si>
  <si>
    <t xml:space="preserve">EU Income </t>
  </si>
  <si>
    <t>Market Support Receipts</t>
  </si>
  <si>
    <t>Other EU Income</t>
  </si>
  <si>
    <t xml:space="preserve">The end of the transition period for claims for EC funding supporting legacy projects under the European Agricultural Fund for Rural Development (EAFRD) for the co-financed Scottish Rural Development Programme (SRDP) was reached on 31 December 2023. </t>
  </si>
  <si>
    <t xml:space="preserve">Total - EU Income </t>
  </si>
  <si>
    <t>Total - Agricultural Support and Related Services</t>
  </si>
  <si>
    <t>Rural Services</t>
  </si>
  <si>
    <t>Agricultural and Horticultural Advice and Support</t>
  </si>
  <si>
    <t>Public Good Advice</t>
  </si>
  <si>
    <t>Supports a range of agricultural policy functions and initiatives designed to help agricultural transformation and reform.  This includes advisory functions and initiatives that support delivery of challenging Scottish Government climate change targets.</t>
  </si>
  <si>
    <t>Commodities &amp; Plant Health - Current</t>
  </si>
  <si>
    <t>Budget line not currently used.</t>
  </si>
  <si>
    <t>Total - Agricultural and Horticultural Advice and Support</t>
  </si>
  <si>
    <t>Animal Health</t>
  </si>
  <si>
    <t>Bee Health - Current (NAT)</t>
  </si>
  <si>
    <t>Bee Health - Current (EU)</t>
  </si>
  <si>
    <t>Veterinary Grants</t>
  </si>
  <si>
    <t>Allows crofters to access subsidised veterinary treatment for their livestock.</t>
  </si>
  <si>
    <t>Animal Diseases</t>
  </si>
  <si>
    <t>This budget line primarily covers the delivery of animal health in Scotland through the Animal &amp; Plant Health Agency and on-going payment of compensation where animals have been compulsorily slaughtered for Bovine Tuberculosis under the Tuberculosis (Scotland) Order 2007 and associated payments for haulage and slaughter.</t>
  </si>
  <si>
    <t>Total - Animal Health</t>
  </si>
  <si>
    <t>Crofting Commission</t>
  </si>
  <si>
    <t>Crofting Commission - Depreciation</t>
  </si>
  <si>
    <t>Depreciation of Capital assets</t>
  </si>
  <si>
    <t>Crofting Commission - Current</t>
  </si>
  <si>
    <t>The Crofting Commission regulates and promotes the interests of crofting in Scotland to secure the future of crofting. This budget is to ensure that crofting is regulated to deliver strong crofting communities, through tackling absenteeism and neglect, whilst delivering Scottish Government priorities to support delivery of the Croft Development Plan, to reduce vacancies and absenteeism, and support delivery of agricultural transformation.</t>
  </si>
  <si>
    <t>Total - Crofting Commission</t>
  </si>
  <si>
    <t>Food Industry Support</t>
  </si>
  <si>
    <t>Market Development Scheme</t>
  </si>
  <si>
    <t>Food and Drink</t>
  </si>
  <si>
    <t>Provides support for Scotland’s Food and Drink Policy and Ministerial priorities, including funding for Scotland Food and Drink to deliver its new strategy, for delivery of Good Food Nation Act measures, for local food and organic food activity, and food education.</t>
  </si>
  <si>
    <t>Increase reflects resource needed to implement requirements of Good Food Nation (Scotland) Act</t>
  </si>
  <si>
    <t>Total - Food Industry Support</t>
  </si>
  <si>
    <t>Community Led Local Delivery</t>
  </si>
  <si>
    <t>Leader</t>
  </si>
  <si>
    <t>This budget supports economic, social and environmental wellbeing, by supporting community projects and capacity building to overcome inequalities in rural areas.</t>
  </si>
  <si>
    <t xml:space="preserve">The resource allocation is reduced and the capital allocation increased, which will support capital investment in rural and island areas. </t>
  </si>
  <si>
    <t>Total - Community Led Local Delivery</t>
  </si>
  <si>
    <t>Rural Economy and Communities</t>
  </si>
  <si>
    <t>Rural Cohesion</t>
  </si>
  <si>
    <t xml:space="preserve">Rural Cohesion </t>
  </si>
  <si>
    <t>The Rural Cohesion Budget funds projects and programmes, which help to address inequalities for people in rural communities, including support for mental health and wellbeing.</t>
  </si>
  <si>
    <t>Support for Agricultural Training (LANTRA)</t>
  </si>
  <si>
    <t>Supports Lantra’s (the Sector Skills Council for Land-based industries) Scottish operation, involving a range of projects and initiatives to improve skills development and labour market information in the land-based sector and Farm Business Advisor Accreditation scheme for Scotland.</t>
  </si>
  <si>
    <t>Total - Rural Economy and Communities</t>
  </si>
  <si>
    <t>Veterinary Surveillance</t>
  </si>
  <si>
    <t xml:space="preserve">This budget funds the collection of information on diseases and infections in animals from a variety of sources which include the diagnostic laboratory network operated by Scotland's Rural College (SRUC).  Routine information is also provided by the Moredun Research Institute, the Animal Health agency and the Meat Hygiene Service.  Veterinary surveillance helps to ensure that Scotland’s livestock are healthy and productive.  </t>
  </si>
  <si>
    <t>Total - Veterinary Surveillance</t>
  </si>
  <si>
    <t>Total - Rural Services</t>
  </si>
  <si>
    <t>Marine Funding</t>
  </si>
  <si>
    <t>EU Fisheries Grants</t>
  </si>
  <si>
    <t>EU Fisheries Grants Resource</t>
  </si>
  <si>
    <t>Fisheries and Aquaculture</t>
  </si>
  <si>
    <t xml:space="preserve">The budget related to the European Maritime and Fisheries Fund (EMFF) which has now closed, final claims submitted by 31 December 2023. </t>
  </si>
  <si>
    <t>EU Fisheries Grants Capital</t>
  </si>
  <si>
    <t>Total - EU Fisheries Grants</t>
  </si>
  <si>
    <t>Fisheries Harbour Grants</t>
  </si>
  <si>
    <t>Scottish Government grant scheme to aid emergency repair works at fishery harbours.</t>
  </si>
  <si>
    <t>Net reduction due to inclusion of anticipated financial transactions income.</t>
  </si>
  <si>
    <t>Total - Fisheries Harbour Grants</t>
  </si>
  <si>
    <t>Marine Fund Scotland</t>
  </si>
  <si>
    <t>Marine Fund Scotland (MFS) replaces the European Maritime and Fisheries Fund (EMFF) and  is focused on supporting projects that deliver outcomes for Scotland's Blue Economy Vision.</t>
  </si>
  <si>
    <t>No change to the initial budget in 2024-25 (this is shown at £14.0 million due to an in-year transfer of £0.5 million being made to the Scottish Funding Council relating to a successful MFS application).</t>
  </si>
  <si>
    <t>Total - Marine Fund Scotland</t>
  </si>
  <si>
    <t>Marine EU Income</t>
  </si>
  <si>
    <t xml:space="preserve">The income related to the European Maritime and Fisheries Fund (EMFF) which has now closed, final claims submitted by 31 December 2023. </t>
  </si>
  <si>
    <t>Total - Marine EU Income</t>
  </si>
  <si>
    <t>Total - Marine Funding</t>
  </si>
  <si>
    <t>Marine Directorate</t>
  </si>
  <si>
    <t>Marine</t>
  </si>
  <si>
    <t>Marine Scotland</t>
  </si>
  <si>
    <t>The budget covers the net resource and capital requirements of Marine Directorate.  Marine Directorate is responsible for the integrated management of Scotland’s seas. The Directorate has responsibility for the sustainable management of our fisheries and aquaculture industries and freshwater fisheries resources.  It also has responsibility for marine planning and the licensing of activities in the marine environment, alongside associated compliance and enforcement capability and ensuring a sound scientific evidence base exists to inform our marine policies. Directorate activities are focussed towards delivering our Blue Economy Vision that by 2045 Scotland’s shared stewardship of our marine environment supports ecosystem health, improved livelihoods, economic prosperity, social inclusion and wellbeing.</t>
  </si>
  <si>
    <t xml:space="preserve">The Marine Directorate 2024-25 budget shown includes £5 million of Coastal Communities payments deferred from 2023-24, disregarding this there has been an increase of £1.6 million on the original 2024-25 budget. </t>
  </si>
  <si>
    <t>Total - Marine Directorate</t>
  </si>
  <si>
    <t>Islands</t>
  </si>
  <si>
    <t>Carbon Neutral Islands</t>
  </si>
  <si>
    <t>Islands Plan</t>
  </si>
  <si>
    <t>The Carbon Neutral Islands project is well underway and is working to demonstrate the low carbon potential of islands as hubs of innovation in relation to renewable energy, climate change mitigation and resilience, whilst positively impacting on the island economy, facilties and general wellbeing by allowing for reinvestment in the community.</t>
  </si>
  <si>
    <t>This line is expected to be funded in full, with the addition of £1.6 million capital, as part of the Government's wider climate change package. This will be transferred in-year from the NZE portfolio.</t>
  </si>
  <si>
    <t>Islands Bond</t>
  </si>
  <si>
    <t>This budget line is not currently used.</t>
  </si>
  <si>
    <t>Continued, island-specific support for delivery of the National Islands Plan as required by the Islands (Scotland) Act 2018.  This investment will help to address pervasive problems for island communities, drive economic stability, support wellbeing for islanders and contribute to population growth.</t>
  </si>
  <si>
    <t>Capital and resource funding have been increased to support delivery of the National Islands Plan in 2025-26.</t>
  </si>
  <si>
    <t>Total - Islands</t>
  </si>
  <si>
    <t>Land Reform</t>
  </si>
  <si>
    <t>Ongoing implementation and development of land reform policy, including progressing the  Land Reform Bill; ongoing support for community ownership through the Scottish Land Fund; handling of community right to buy casework;  sponsorship of the Scottish Land Commission; and support for Regional Land Use Partnerships.</t>
  </si>
  <si>
    <t>Scottish Land Commission</t>
  </si>
  <si>
    <t>Funds the Scottish Land Commission (SLC) to deliver statutory commitments and Ministerial priorities (budget primarily funds SLC staff).</t>
  </si>
  <si>
    <t>Total - Land Reform</t>
  </si>
  <si>
    <t>Scottish Forestry</t>
  </si>
  <si>
    <t>Program and Running Costs</t>
  </si>
  <si>
    <t xml:space="preserve">This funding is used to deliver Scottish Government's forestry strategy and functions, including  governance arrangements, forestry policy, the processing and assessment of woodland creation applications, the award of grants, compliance and regulation, the promotion of sustainable forest management and investigation and protection of tree health.  </t>
  </si>
  <si>
    <t xml:space="preserve">Increase reflects staff costs, including inflationary and employment costs, which are partially offset by savings achieved by greater operational efficiencies, as well as the increased resource due to the increased capital allocation. </t>
  </si>
  <si>
    <t>Depreciation of inherited assets and IFRS 16 assets,  plus cross border charges are also partly classified as depreciation. Capital relates to new leases in 2025/26.</t>
  </si>
  <si>
    <t>Technical accounting change</t>
  </si>
  <si>
    <t>Woodland Grants</t>
  </si>
  <si>
    <t xml:space="preserve">Forestry grants support delivery of Scottish Government's climate change targets through woodland creation and tree planting, including on farms and next to rivers, and to restore and protect Scotland's Atlantic Rainforest. </t>
  </si>
  <si>
    <t xml:space="preserve">Increased allocation to support woodland creation. </t>
  </si>
  <si>
    <t>Tri-party Cross Border Agreement</t>
  </si>
  <si>
    <t>This funding supports the provision of cross border forestry functions and research as set out and agreed in the Tri-party Memorandum of Understanding. The encompassed areas of shared interest include research commissioning and delivery (including inventory and statistics), Plant Health, UK Forestry Standard and Woodland Carbon Code, forestry economics advice and support for international forestry policy.</t>
  </si>
  <si>
    <t>EC Receipts</t>
  </si>
  <si>
    <t xml:space="preserve">No longer applicable - no further EU funding. </t>
  </si>
  <si>
    <t>Total - Scottish Forestry</t>
  </si>
  <si>
    <t>Forestry and Land Scotland</t>
  </si>
  <si>
    <t>The resource budget will support the sustainable management of Scotland's national forests and land.</t>
  </si>
  <si>
    <t>The capital budget will support the expansion of Scotland’s national forests and land, supporting landscape scale land use change, community and partnership working, woodland creation, biodiversity and peatland restoration, consistent with the Scottish Government’s objectives.</t>
  </si>
  <si>
    <t>Reduced allocation to reflect contractual commitments.</t>
  </si>
  <si>
    <t>Total - Forestry and Land Scotland</t>
  </si>
  <si>
    <t>Natural Resources &amp; Peatlands</t>
  </si>
  <si>
    <t>Natural Resources and Peatland</t>
  </si>
  <si>
    <t>Natural Resources</t>
  </si>
  <si>
    <t xml:space="preserve">Wildlife policy and management and delivery of Atlantic Rainforest restoration. </t>
  </si>
  <si>
    <t>Increased investment in Atlantic Rainforest restoration.  This line will benefit from the addition of a further £1.5 million capital, as part of the Government's wider climate change package. This will be transferred in-year from the NZE portfolio.</t>
  </si>
  <si>
    <t>Peatlands</t>
  </si>
  <si>
    <t>Funding in response to the twin crises of climate change and the loss of biodiversity, to intensify our efforts to restore degraded peatland in order to help lock in carbon and reduce peatland emissions, and to deliver co-benefits for biodiversity, water quality, natural flood management and community amenity.</t>
  </si>
  <si>
    <t>Increased funding to intensify our efforts to restore degraded peatland in order to help lock in carbon and reduce peatland emissions, and to deliver co-benefits for biodiversity, water quality, natural flood management and community amenity.</t>
  </si>
  <si>
    <t>Total - Natural Resources and Peatland</t>
  </si>
  <si>
    <t>National Parks</t>
  </si>
  <si>
    <t>LL&amp;TT  NPA  Capital</t>
  </si>
  <si>
    <t>Capital expenditure on infrastructure assets.</t>
  </si>
  <si>
    <t xml:space="preserve">In line with capital spending plans to deliver Park Strategic Plan. </t>
  </si>
  <si>
    <t>LL&amp;TT NPA Resource - Staff Costs</t>
  </si>
  <si>
    <t>Staff costs for Loch Lomond and The Trossachs National Park Authority.</t>
  </si>
  <si>
    <t>Budget uplift in response to increased staff costs, including impact of prior years pay award.</t>
  </si>
  <si>
    <t>LL&amp;TT NPA Resource - Depreciation</t>
  </si>
  <si>
    <t>Charges relating to depreciation of capital items.</t>
  </si>
  <si>
    <t>LL&amp;TT NPA Resource - Other</t>
  </si>
  <si>
    <t>Programme and other Operating expenditure for delivery of Loch Lomond and The Trossachs National Park Partnership Plan (NPPP).</t>
  </si>
  <si>
    <t xml:space="preserve">Minor budget adjustment following review of spending plans. </t>
  </si>
  <si>
    <t>Cairngorms NPA Capital</t>
  </si>
  <si>
    <t>Overall position is stable on 2024-25 Budget Bill allocation. Further in-year budget transfers will be made for ongoing programmes such as Peatland Restoration.</t>
  </si>
  <si>
    <t>Cairngorms NPA Resource - Staff Costs</t>
  </si>
  <si>
    <t>Staff costs for Cairngorms National Park Authority.</t>
  </si>
  <si>
    <t>Budget uplift in response to increased staff costs including impact of prior years pay award.</t>
  </si>
  <si>
    <t>Cairngorms NPA Resource -Depreciation</t>
  </si>
  <si>
    <t>Cairngorms NPA Resource - Other</t>
  </si>
  <si>
    <t>Programme and other operating expenditure for delivery of Cairngorms National Park Partnership Plan (NPPP).</t>
  </si>
  <si>
    <t>Increased investment to deliver the Park Strategic Plan.</t>
  </si>
  <si>
    <t>Total - National Parks</t>
  </si>
  <si>
    <t>Total -Natural Resources and Peatlands</t>
  </si>
  <si>
    <t>Research, Analysis and Other Services</t>
  </si>
  <si>
    <t>Economic and Other Surveys</t>
  </si>
  <si>
    <t xml:space="preserve">Economic and Other Surveys </t>
  </si>
  <si>
    <t>This funding supports standalone economic and social science research and statistics to inform policy development and complete statutory reporting such as impact assessments across agriculture and the environment portfolios.</t>
  </si>
  <si>
    <t>Total - Economic and Other Surveys</t>
  </si>
  <si>
    <t>Programmes of Research</t>
  </si>
  <si>
    <t>Programmes of Research – Resource</t>
  </si>
  <si>
    <t>This funding provides the central source of research to inform the government’s Climate Change Plan, Biodiversity Strategy, Agricultural Transformation Programme and many other initiatives. It also funds First Ministers Environmental Council.
It funds scientific research at our Main Research Providers, James Hutton Institute, SRUC, Moredun Research Institute, Rowett Institute and Biostatistics Scotland; in addition some monies through Centres of Expertise will fund research led at Glasgow and Edinburgh Universities amongst others to deliver the Environment, Natural Resources and Agriculture research programme.</t>
  </si>
  <si>
    <t>adjusted in line with long term investment in  the Environment, Natural Resources and Agriculture research programme</t>
  </si>
  <si>
    <t>Programmes of Research – Capital</t>
  </si>
  <si>
    <t>This funding provides the central source of research to inform the government’s Climate Change Plan, Biodiversity Strategy, Agricultural Transformation Programme and many other initiatives.  It funds scientific research at our Main Research Providers, James Hutton Institute, SRUC, Moredun Research Institute, Rowett Institute and Biostatistics Scotland; in addition some monies through Centres of Expertise will fund research led at Glasgow and Edinburgh Universities amongst others to deliver the Environment, Natural Resources and Agriculture research programme.</t>
  </si>
  <si>
    <t>minor change</t>
  </si>
  <si>
    <t>Programmes of Research – Depreciation</t>
  </si>
  <si>
    <t xml:space="preserve">technical accounting change </t>
  </si>
  <si>
    <t>Programmes of Research (Income)</t>
  </si>
  <si>
    <t>Rental receipts from Scottish Government land and buildings leased to Main Research Providers.</t>
  </si>
  <si>
    <t>Total - Programmes of Research</t>
  </si>
  <si>
    <t>Royal Botanic Garden Edinburgh (RBGE)</t>
  </si>
  <si>
    <t>RBGE Resource - Staff Costs</t>
  </si>
  <si>
    <t>Staff costs to deliver RBGE Corporate Plan.</t>
  </si>
  <si>
    <t>Provision has been made to offset pay and national insurance increases, combined with ongoing public service reform efficiency objectives.</t>
  </si>
  <si>
    <t>RBGE Resource - Other</t>
  </si>
  <si>
    <t>Operating expenditure to deliver RBGE Corporate Plan.</t>
  </si>
  <si>
    <t>Forward spending plans to deliver 2025-26 annual operational delivery plan (subject to increased income).</t>
  </si>
  <si>
    <t>RBGE Resource - Income</t>
  </si>
  <si>
    <t>Funding from charitable status, commercial activity and other income.</t>
  </si>
  <si>
    <t>projected income for 2025-26</t>
  </si>
  <si>
    <t>RBGE Capital</t>
  </si>
  <si>
    <t>For renewal of infrastructure at the RBGE, including delivery of the Edinburgh Biomes programme, and ongoing maintenance.</t>
  </si>
  <si>
    <t xml:space="preserve">capital expenditure to reflect the scheduled phases of the Edinburgh Biomes programme during 2025/26 </t>
  </si>
  <si>
    <t>RBGE Depreciation</t>
  </si>
  <si>
    <t>Total - Royal Botanic Garden Edinburgh (RBGE)</t>
  </si>
  <si>
    <t xml:space="preserve">Strategic Policy, Research and Sponsorship </t>
  </si>
  <si>
    <t>Contract Research Fund</t>
  </si>
  <si>
    <t>closed fund</t>
  </si>
  <si>
    <t>NA</t>
  </si>
  <si>
    <t>Strategic Policy and Sponsorship</t>
  </si>
  <si>
    <t>Funding for Environment Strategy and other strategic environmental policy development, sponsorship functions, and to stimulate responsible private investment in the restoration of nature and enhancement of Scotland’s natural capital.</t>
  </si>
  <si>
    <t xml:space="preserve">The increase in funding reflects the renewed commitment to the Facility for Investment Ready Nature in Scotland (FIRNS). </t>
  </si>
  <si>
    <t xml:space="preserve">Total - Strategic Policy, Research and Sponsorship </t>
  </si>
  <si>
    <t>Total - Research, Analysis and Other Services</t>
  </si>
  <si>
    <t>TOTAL Rural Affairs and Islands</t>
  </si>
  <si>
    <t>Digital</t>
  </si>
  <si>
    <t>Digital Connectivity</t>
  </si>
  <si>
    <t>Connectivity - Capital (Expenditure)</t>
  </si>
  <si>
    <t>The budget of c£97.53m forms part of a £600 million+ public investment in the R100 broadband programme - encompassing three contracts with BT and a demand-led voucher scheme, all of which are now in deployment.</t>
  </si>
  <si>
    <t>Change reflects spend profiles over the life of the programme in line with contracts.</t>
  </si>
  <si>
    <t>Connectivity - Capital (Income)</t>
  </si>
  <si>
    <t>As part of the agreement between Scottish Ministers and BT, under the Digital Scotland Superfast Broadband programme, SG was entitled to a clawback of funds. The final tranche of Gainshare income of c£67.7m will be realised in 25-26.</t>
  </si>
  <si>
    <t xml:space="preserve">Realisation of Gainshare income in accordance with agreement with Scottish Ministers and BT. </t>
  </si>
  <si>
    <t>Connectivity - Resource</t>
  </si>
  <si>
    <t xml:space="preserve">This budget supports delivery of Ministers' digital connectivity policy priorities.  It provides for staff and programme support costs – those developing and delivering policy and supporting the delivery of flagship digital infrastructure projects such as R100 and Project Gigabit - and will be used in conjunction with capital funds. </t>
  </si>
  <si>
    <t>Increase reflecting support of capital programme.</t>
  </si>
  <si>
    <t>Total - Digital Connectivity</t>
  </si>
  <si>
    <t>Digital Economy</t>
  </si>
  <si>
    <t>Digital Growth Fund Financial Transactions (Income)</t>
  </si>
  <si>
    <t>Income in relation to loan repayments and investment realisations.</t>
  </si>
  <si>
    <t>The scheme completed in 2022-23.</t>
  </si>
  <si>
    <t>Total - Digital Economy</t>
  </si>
  <si>
    <t>Digital Strategy</t>
  </si>
  <si>
    <t>Digital infrastructure is part of Scotland’s critical national infrastructure, and the adoption of technology and the success of our tech sector is central to Scotland’s economic and societal resilience. This includes delivering on key programmes which will transform government, create a world class tech ecosystem and drive digital inclusion that will enable everybody to have the opportunity of benefiting from digital technology and ensure that investments are innovative, cost effective and integrated across the public sector.</t>
  </si>
  <si>
    <t>Includes £1.4m cross portfolio transfer from Directorate for Digital (Digital Strategy) to Directorate for Local Government &amp; Housing General Resource Grant to cover Digital Public Services sponsorship costs.</t>
  </si>
  <si>
    <t>Total - Digital Strategy</t>
  </si>
  <si>
    <t>Total - Digital</t>
  </si>
  <si>
    <t>Employability</t>
  </si>
  <si>
    <t>Employability and Workforce Skills</t>
  </si>
  <si>
    <t xml:space="preserve">This budget represents a continuation of investment in all-age devolved employability services delivered through our No One Left Behind approach. This includes parental employability support in line with the Government's commitment to eradicate child poverty.  
These services provide place-based, person-centred support for participants on a voluntary basis, with a focus on groups we know face continued structural barriers to employment, including disabled people and those with long term health conditions. </t>
  </si>
  <si>
    <t>Changed to reflect the fact FSS has closed to new referrals. Support now routed through No One Left Behind (NOLB).</t>
  </si>
  <si>
    <t>Employability-Fair Start Scotland</t>
  </si>
  <si>
    <t xml:space="preserve">This budget represents the delivery tail of Fair Start Scotland (FSS) services, which closed to new referrals in March 2024. Support for those who have already started on the service will continue, with this amount contractually committed to cover outcomes achieved as a result of this delivery tail. </t>
  </si>
  <si>
    <t>Change reflects the fact FSS has closed to new referrals. Support now routed through No One Left Behind (NOLB).</t>
  </si>
  <si>
    <t>Fair Work and Labour Market Strategy</t>
  </si>
  <si>
    <t>This budget represents  continuing investment to support the promotion of fair work across the economy, resourcing the Fair Work Convention, supporting real Living Wage accreditation and support for trade unions and Union Learning.</t>
  </si>
  <si>
    <t>Minor changes.</t>
  </si>
  <si>
    <t>Total - Employability</t>
  </si>
  <si>
    <t xml:space="preserve">Total - Employability </t>
  </si>
  <si>
    <t>Enterprise, Trade and Investment</t>
  </si>
  <si>
    <t>Enterprise</t>
  </si>
  <si>
    <t>Industrial Transformation</t>
  </si>
  <si>
    <t xml:space="preserve">To meet existing commitments. Funding for Clyde Mission Heat Decarbonisation fund to commence in 2025/26.   </t>
  </si>
  <si>
    <t>ESF Programme Operation</t>
  </si>
  <si>
    <t>This funding is to cover the support costs of European Structural Funds (ESF) programmes as the scheme winds down.</t>
  </si>
  <si>
    <t>The reduction primarily reflects the scheme ending.</t>
  </si>
  <si>
    <t>Self-Isolation Support Grants</t>
  </si>
  <si>
    <t>Scheme ended.</t>
  </si>
  <si>
    <t>Total - Enterprise</t>
  </si>
  <si>
    <t>Scottish Enterprise</t>
  </si>
  <si>
    <t>Scottish Enterprise (resource)</t>
  </si>
  <si>
    <t xml:space="preserve">Scottish Enterprise is Scotland's national development agency. Scottish Enterprise’s budget will support its work to improve business and community resilience, protect and create jobs and help deliver an economic recovery that is fair, sustainable and green. It will also support its work to increase the value of Scottish exports and attract new international investment to Scotland. </t>
  </si>
  <si>
    <t>Represents a 0.5% increase on Scottish Enterprise's opening position in 2024-25 i.e. prior to in-year transfers.</t>
  </si>
  <si>
    <t>Scottish Enterprise (capital)</t>
  </si>
  <si>
    <t xml:space="preserve">The capital budget will support relevant elements of the activities described above. </t>
  </si>
  <si>
    <t>Represents a 4% increase on Scottish Enterprise's opening position in 2024-25 i.e. prior to in-year transfers. Reflects SG's mission to grow the economy, and the opportunities for investment, including in support of SG's Net Zero ambitions.</t>
  </si>
  <si>
    <t>Scottish Enterprise (non-cash)</t>
  </si>
  <si>
    <t>For depreciation of Scottish Enterprise’s assets, including its estate.</t>
  </si>
  <si>
    <t>Scottish Enterprise Financial Transactions (Expenditure)</t>
  </si>
  <si>
    <t>Financial transactions funding can be used for loans and equity investment to the general public, third sector or private sector organisations that are not in the public sector. The expenditure reflects the gross FT spending power of Scottish Enterprise.</t>
  </si>
  <si>
    <t>Represents a 5% increase on Scottish Enterprise's gross FT spending power in 2024-25.</t>
  </si>
  <si>
    <t>Scottish Enterprise Financial Transactions (Income)</t>
  </si>
  <si>
    <t>Total - Scottish Enterprise</t>
  </si>
  <si>
    <t>Highlands and Islands Enterprise</t>
  </si>
  <si>
    <t>Highlands and Islands Enterprise (resource)</t>
  </si>
  <si>
    <t xml:space="preserve">Highlands and Islands Enterprise (HIE) is the Scottish Government's economic development agency for the Highlands and Islands. HIE’s budget will support its work to improve business and community resilience, protect and create jobs and help deliver an economic recovery that is fair, sustainable and green. </t>
  </si>
  <si>
    <t>No significant change - budgets maintained at 2024-25 levels.</t>
  </si>
  <si>
    <t>Highlands and Islands Enterprise (capital)</t>
  </si>
  <si>
    <t>Represents a 9% increase on HIE's opening position in 2024-25 i.e. prior to in-year transfers. Reflects SG's mission to grow the economy, and the opportunities for investment, including in support of SG's Net Zero ambitions.</t>
  </si>
  <si>
    <t>Highlands and Islands Enterprise FT's (Expenditure)</t>
  </si>
  <si>
    <t>Highlands and Islands Enterprise FT's (Income)</t>
  </si>
  <si>
    <t>Highlands and Islands Enterprise (non-cash)</t>
  </si>
  <si>
    <t>For depreciation of Highlands and Islands Enterprise’s assets, including its estate.</t>
  </si>
  <si>
    <t>Other</t>
  </si>
  <si>
    <t>Total - Highlands and Islands Enterprise</t>
  </si>
  <si>
    <t>Innovation, Entreprenurship and International Trade and Investment</t>
  </si>
  <si>
    <t>Low Carbon Economy</t>
  </si>
  <si>
    <t xml:space="preserve">This programme flowed rom the outcome of the Capital Spending Review with a focus on supporting our low carbon economy ambitions.  It included Green Jobs Fund (Supply Chain Development) and Low Carbon Heating.  </t>
  </si>
  <si>
    <t xml:space="preserve">No spend anticipated in 2025-26. </t>
  </si>
  <si>
    <t>Innovation, Enterprise and Entrepreneurship</t>
  </si>
  <si>
    <t>This budget will contribute towards the Scottish Government’s ambition to establish Scotland as a top performing start-up economy by cultivating a culture of innovation and high growth entrepreneurship. This will involve further developing our clustering approach to aid businesses in high value areas and scaling up advanced manufacturing platforms in areas of potential comparative advantage.</t>
  </si>
  <si>
    <t xml:space="preserve">Despite challenging financial circumstances this budget has increased significantly  in comparison to last financial year. It includes an additional £15m Enterprise package to deliver several key Programme for Government commitments. It will increase the number of women starting and scaling businesses by implementing key recommendations of Ana Stewart and Mark Logan’s review of gender equality in entrepreneurship. This reflects the priority the Scottish Government places on growing the economy through creating and scaling new and innovative businesses. It will also support the development of business clusters in areas where Scotland has a competitive advantage such data, digital and AI, health and life sciences, advanced manufacturing, and the energy transition.
</t>
  </si>
  <si>
    <t xml:space="preserve">Social Enterprise </t>
  </si>
  <si>
    <t>This budget supports the delivery of SG's Social Enteprise Strategy and 2024-26 Action Plan. The Action Plan sets out the support SG will provide to help grow the social and economic impact of Scotlands social enteprises which is vital to achieve our vision for a Wellbeing Economy</t>
  </si>
  <si>
    <t>International Trade and Investment</t>
  </si>
  <si>
    <t xml:space="preserve">The budget supports activity by the Scottish Government and by public and private partners to increase exports and attract inward and capital investment to Scotland. In line with the Green Industrial Strategy,  this includes a strong focus on seizing the domestic and global opportunities from the transition to net zero. The budget also supports work to take forward the recommendations of the First Minister's Investor Panel and associated 2024/25 Programme for Government commitments.  </t>
  </si>
  <si>
    <t>The RDEL budget for 2025-26 remains at the same levels as 2024-25. The 39.2% RDEL increase includes £4m outward Autumn Budget Revision (ABR) transfers to Scottish Development International which have been excluded from 2024-25 post ABR budget. The additional CDEL and FT budget received as part of ABR from Net Zero and Energy in 2024-25 will be transferred outwards as part of the Spring Budget Revision (SBR) to Scottish Enterprise, the Scottish National Investment Bank and the Highland and Islands Enterprise for delivery of the Offshore Wind Investment Programme.</t>
  </si>
  <si>
    <t>Financial Transaction Support - Scottish Growth Scheme (Expenditure)</t>
  </si>
  <si>
    <t>To support Scottish Growth Scheme investment.</t>
  </si>
  <si>
    <t>Increase due to recapitalisation of Scottish Growth Scheme.</t>
  </si>
  <si>
    <t>Financial Transaction Support - Scottish Growth Scheme (Income)</t>
  </si>
  <si>
    <t>Reflects income forecasts from investment activity for the new financial year.</t>
  </si>
  <si>
    <t>Total - Innovation, Entreprenurship and International Trade and Investment</t>
  </si>
  <si>
    <t>South of Scotland Enterprise</t>
  </si>
  <si>
    <t xml:space="preserve">South of Scotland Enterprise (SOSE) is the Scottish Government's economic development agency for the South of Scotland. SOSE’s budget will support its work to improve business and community resilience, protect and create jobs and help deliver an economic recovery that is fair, sustainable and green. </t>
  </si>
  <si>
    <t>Represents a 0.6% increase on SOSE's opening Resource position in 2024-25 i.e. prior to in-year transfers and an 8.5% increase on its opening Capital position in the same year. Reflects SG's mission to grow the economy, and the opportunities for investment, including in support of SG's Net Zero ambitions</t>
  </si>
  <si>
    <t>South of Scotland Enterprise FT income</t>
  </si>
  <si>
    <t>Total - South of Scotland Enterprise</t>
  </si>
  <si>
    <t>Total - Enterprise, Trade and Investment</t>
  </si>
  <si>
    <t>Economic and Scientific Advice</t>
  </si>
  <si>
    <t>Economic Strategy</t>
  </si>
  <si>
    <t xml:space="preserve">Business Engagement and National Strategy for Economic Transformation </t>
  </si>
  <si>
    <t>Supports costs relating to delivery of the National Strategy for Economic Transformation and provides for the staff and programmes costs supporting Business and Better Regulation. This budget will enable our continued engagement with business representative organisations, industry bodies and business leaders to ensure engagement is meaningful and targeted to support delivery of our priorities.</t>
  </si>
  <si>
    <t>The Business and Better Regulation Directorate was set up in September 2023 by re-prioritising existing posts. The increased costs reflect the revised staff deployment alongside pay and inflationary costs within the DGE area.</t>
  </si>
  <si>
    <t>Total - Economic Strategy</t>
  </si>
  <si>
    <t>Science Engagement and Advice</t>
  </si>
  <si>
    <t xml:space="preserve">This supports commitments within the STEM Strategy, including grant funding for Scotland's four science centres (including funds to support running costs and widening access), grants to science festivals and other public science engagement initiatives that support STEM learning and literacy for all ages, as well as running and project costs for the Scottish Science Advisory Council, which supports the Chief Scientific Adviser for Scotland in providing science advice across the Scottish Government. </t>
  </si>
  <si>
    <t>No movement.</t>
  </si>
  <si>
    <t>Total Science Engagement and Advice</t>
  </si>
  <si>
    <t>Office of the Chief Economic Adviser</t>
  </si>
  <si>
    <t>Procurement of data and specific technical assistance to strengthen understanding of key developments in the economy and public finances and support statutory functions around the publication of official statistics. Helps improve the advice and support provided to the First Minister and Cabinet Secretary for Finance, Constitution and Economy. It does this by the procurement of data (a significant part of the budget buys survey data that feeds employment/unemployment figures for Scotland). The budget helps maintain an analytical infrastructure to support statisticians around Scottish Government and across the 20 or so producers of official statistics in Scotland, providing efficiencies through doing things once across Scotland. It provides specific technical assistance to strengthen understanding of key developments (currently focussed on the economy and public finances).</t>
  </si>
  <si>
    <t>Minor movement.</t>
  </si>
  <si>
    <t>Total Office of the Chief Economic Adviser</t>
  </si>
  <si>
    <t>Total - Economic and Scientific Advice</t>
  </si>
  <si>
    <t>Scottish National Investment Bank</t>
  </si>
  <si>
    <t>This budget will be invested by the Scottish National Investment Bank.</t>
  </si>
  <si>
    <t>The Bank no longer requires Resource budget, as it is now able to fund its operating costs from income. The Bank will receive a Capital allocation to support its investment plans for the year ahead.</t>
  </si>
  <si>
    <t>Scottish National Investment Bank Financial Transactions (Expenditure)</t>
  </si>
  <si>
    <t xml:space="preserve">This budget supports the Scottish National Investment Bank’s investment plans for the coming year. Combined with capital the overall increase provides £207m gross funding in 2025-26.  </t>
  </si>
  <si>
    <t>SNIB Financial Transactions (Income)</t>
  </si>
  <si>
    <t>Income in relation to repayment of initial Scottish National Investment Bank investments.</t>
  </si>
  <si>
    <t>Income from investments is variable year on year.</t>
  </si>
  <si>
    <t>Total - Scottish National Investment Bank</t>
  </si>
  <si>
    <t>Organisational Readiness</t>
  </si>
  <si>
    <t>Strategy and Delivery</t>
  </si>
  <si>
    <t>This budget supports the Scottish Government's strategy, delivery and central analysis function.</t>
  </si>
  <si>
    <t>The budget has changed for practical reasons, due to the reinstatement of a baseline following a transfer of function in previous years, and the transfer of the analysis budget from the Response and Readiness line.</t>
  </si>
  <si>
    <t xml:space="preserve">Resilience </t>
  </si>
  <si>
    <t xml:space="preserve">This budget contributes to a safe and secure Scotland by supporting effective government, demand-led multi-agency and community preparedness for and response to emergencies and other incidents.  </t>
  </si>
  <si>
    <t>Not material change.</t>
  </si>
  <si>
    <t>Office of the Chief Researcher</t>
  </si>
  <si>
    <t>The budget supports the social research profession within the Scottish Government, supporting research, capacity-building via the SG research internship scheme, other strategic investments in skills development.  It pays for SG to access key data/evidence to inform policy development, and is used for research and evaluation of policy effectiveness in cross-cutting and high priority areas.</t>
  </si>
  <si>
    <t>Response and Readiness</t>
  </si>
  <si>
    <t>To support organisational response, including the establishment and operation of, and response to, public inquiries.</t>
  </si>
  <si>
    <t>Reduction reflects movement of budget relating to analysis from this budget line in to ‘Strategy and Delivery'.</t>
  </si>
  <si>
    <t>Total - Organisational Readiness</t>
  </si>
  <si>
    <t>Government Business and Constitutional Relations</t>
  </si>
  <si>
    <t>Local Government Elections</t>
  </si>
  <si>
    <t>Supports the delivery of preparation for the local government elections in 2027 and the running costs of the Electoral Management Board.</t>
  </si>
  <si>
    <t xml:space="preserve">Next local government election is 2027. </t>
  </si>
  <si>
    <t>Boundaries Scotland</t>
  </si>
  <si>
    <t>Boundary Commission</t>
  </si>
  <si>
    <t xml:space="preserve">Supports independent review of electoral and administrative boundaries for local government in Scotland and of Scottish Parliament constituency boundaries.          </t>
  </si>
  <si>
    <t>Scottish Parliamentary Elections</t>
  </si>
  <si>
    <t>To support delivery of Scottish Parliament electoral reform and policy developments.</t>
  </si>
  <si>
    <t>Government Business and Constitutional Relations Policy and Coordination</t>
  </si>
  <si>
    <t>To support government business and constitution relations aspects of the portfolio.</t>
  </si>
  <si>
    <t>Includes minor (£30k) transfer to support FOI costs. The budget has been restricted across two directorates but continues to support the operational and delivery costs of the strategic coordination, government business and constitution relations aspects of the portfolio.</t>
  </si>
  <si>
    <t>Total Government Business and Constitutional Relations</t>
  </si>
  <si>
    <t>Regeneration</t>
  </si>
  <si>
    <t>Regeneration Programmes</t>
  </si>
  <si>
    <t xml:space="preserve">These budgets deliver placed based, community led, investment and regeneration which is targeted to support our most fragile and disadvantaged communities - reducing inequalities and tackling poverty, supporting town centre regeneration and Clyde Gateway.  These programmes are delivered in partnership with COSLA, local authorities and local communities to ensure they deliver the greatest collective benefit. </t>
  </si>
  <si>
    <t>Overall budget for regeneration has been increased, following a £4.2m increase in Capital between 2024/25 and 2025/26 to increase our support to place-based community-led regeneration in our most disadvantaged communities.</t>
  </si>
  <si>
    <t>Regeneration Programmes - FT Income</t>
  </si>
  <si>
    <t>SPRUCE Income</t>
  </si>
  <si>
    <t>Cities Investment and Strategy</t>
  </si>
  <si>
    <t>The Cities Investment &amp; Strategy budget funds current activity related to the 12 City and Regional Growth Deals and ensures the 20 year Scottish Government commitment to the extensive infrastructure investment programme that aims to drive economic growth across the regions and secure benefits for all in Scotland.  The budget also funds a contribution to the Scottish Cities Alliance and other regional investment activities.</t>
  </si>
  <si>
    <t xml:space="preserve">Includes £8m for Corran Ferry now contained within this budget line as part of the Inverness and Highland City Deal funding allocation. </t>
  </si>
  <si>
    <t>Total - Cities Investment and Strategy</t>
  </si>
  <si>
    <t>Growth Accelerator</t>
  </si>
  <si>
    <t>Supports Growth Accelerators in Edinburgh City Centre, Dundee Waterfront and Stornoway Deep Water  - which combine public and private investment to transform cities and regions.</t>
  </si>
  <si>
    <t>Reflects legal commitments.</t>
  </si>
  <si>
    <t>Total - Growth Accelerator</t>
  </si>
  <si>
    <t>Ferguson Marine</t>
  </si>
  <si>
    <t>Support for Ferguson Marine to complete the build out of MV Glen Rosa and support investment to improve business capability.</t>
  </si>
  <si>
    <t xml:space="preserve">Ownership of the MV Glen Sannox vessel has passed from Ferguson Marine to CMAL and post-delivery works on that vessel will be minimal in 25/26.  </t>
  </si>
  <si>
    <t>Total - Ferguson Marine</t>
  </si>
  <si>
    <t>Tourism &amp; Major Events</t>
  </si>
  <si>
    <t>Tourism</t>
  </si>
  <si>
    <t>VisitScotland (Resource)</t>
  </si>
  <si>
    <t>Supporting VisitScotland in its role as our national tourism and events organisation; to contribute to a vibrant and dynamic visitor economy, growing its value to Scotland, and creating better places for people to live, work and visit.</t>
  </si>
  <si>
    <t xml:space="preserve">This represents an increase of 0.5% on VisitScotland's opening position in 2024-25 i.e. prior to in-year transfers. </t>
  </si>
  <si>
    <t>VisitScotland (Capital)</t>
  </si>
  <si>
    <t>For support of VisitScotland's change programme, including estates review, ICT resources and investment in their digital strategy.</t>
  </si>
  <si>
    <t>Updated requirement relating to fixed costs.</t>
  </si>
  <si>
    <t>VisitScotland (Non Cash)</t>
  </si>
  <si>
    <t>For depreciation of VisitScotland's assets, including its estate.</t>
  </si>
  <si>
    <t xml:space="preserve">Current requirement. </t>
  </si>
  <si>
    <t>Tourism special projects</t>
  </si>
  <si>
    <t>£2.0m of funding supports inclusive tourism elements and design of the Inverness Castle Experience project. VisitScotland will continue to manage and administer the Rural Tourism Infrastructure Fund in collaboration with partners, totalling up to £4.0m. There is up to £2.0m for VisitScotland and partners to further grow international connectivity and increase spread footfall; and to support activity that encourages dispersal of visitors to lesser known destinations and experiences.</t>
  </si>
  <si>
    <t>The re-introduction and significant expansion of the Rural Tourism Infrastructure Fund will provide critical economic support to tourist hotspots and community infrastructure projects, as well as designing and implementing digital solutions to support visitor management of rural areas. Tourism is an important economic growth area for the whole of Scotland, reflecting additional resource to encourage further geographical spread of visitor spend.</t>
  </si>
  <si>
    <t>Total - Tourism</t>
  </si>
  <si>
    <t>Major Events</t>
  </si>
  <si>
    <t xml:space="preserve">This supports a number of major and mega events hosted in Scotland, including the Orkney 2025 Island Games, EURO 2028 and golf events such as The Open. </t>
  </si>
  <si>
    <t xml:space="preserve">Budget for major events is often transferred to other delivery bodies in year, most often to VisitScotland, and so actual spend in previous years is not directly comparable to the 2025/26 budget allocation. That spend in turn will be represented as an increase in VisitScotland budget lines. Major events by their nature require a long term financial commitment to plan and then deliver. Each major event/project has a different budget commensurate with it's scale and profiling of the total budget for each usually varies each year across the project, with the highest spend in the delivery year itself. For this reason the Major Events budget line will vary from year to year depending on the profiling of each project. </t>
  </si>
  <si>
    <t>Total - Major Events</t>
  </si>
  <si>
    <t>Total - Tourism and Major Events</t>
  </si>
  <si>
    <t>Gaelic</t>
  </si>
  <si>
    <t>Bòrd na Gàidhlig (Alba)</t>
  </si>
  <si>
    <t>Funding for Bòrd na Gàidhlig supports a wide range of Gaelic development activities including Early Years, Adult Learning, Gaelic arts and publishing. This funding also supports the implementation of Gaelic plans. Contributes to Education at all levels, involved in delivering 0-3 to adult in formal and informal settings.</t>
  </si>
  <si>
    <t xml:space="preserve">The Gaelic and Scots programmes has received an additional £4.7m resource funding from 2024-25 to support the delivery of the Scottish Languages Bill. </t>
  </si>
  <si>
    <t>Gaelic Indirect Capital</t>
  </si>
  <si>
    <t xml:space="preserve">This budget assists local authorities with the expansion of Gaelic medium education by supporting small- or medium-sized projects where there is a demand for increased provision.  </t>
  </si>
  <si>
    <t>An increase of £1m to a total of £5m capital budget support in 2025/26.</t>
  </si>
  <si>
    <t>Gaelic Schools</t>
  </si>
  <si>
    <t xml:space="preserve">This budget assists local authorities and Gaelic bodies with the expansion of Gaelic medium education by supporting small- or medium-sized projects where there is a demand for increased provision.  </t>
  </si>
  <si>
    <t>Budget retained.</t>
  </si>
  <si>
    <t>Gaelic Broadcasting</t>
  </si>
  <si>
    <t>This budget goes to the company MG ALBA which is in partnership with the BBC to deliver the Gaelic television channel, BBC ALBA. The funding also covers radio, online and training initiatives.</t>
  </si>
  <si>
    <t>Gaelic Education, Culture and Arts</t>
  </si>
  <si>
    <t xml:space="preserve">This budget supports the Gaelic activities of Sabhal Mòr Ostaig and Storlann which is the national centre producing support for pupils, parents and teachers in Gaelic education.  </t>
  </si>
  <si>
    <t>Scots Language Development</t>
  </si>
  <si>
    <t xml:space="preserve">This budget is directed towards the activities of the Scots Language Centre and Scottish Language Dictionaries and their support of Scots language.  </t>
  </si>
  <si>
    <t>Gaelic Development</t>
  </si>
  <si>
    <t>The budget will be allocated to support ministerial priorities that promote the learning, speaking and use of the Gaelic language in Scotland.</t>
  </si>
  <si>
    <t>Total - Gaelic</t>
  </si>
  <si>
    <t>Redress, Relations and Response</t>
  </si>
  <si>
    <t>Scottish Child Abuse Inquiry</t>
  </si>
  <si>
    <t>Supports the governments commitment to fully meet the costs of the Independent Scottish Child Abuse Inquiry.</t>
  </si>
  <si>
    <t>No material change.</t>
  </si>
  <si>
    <t>Redress Statutory Scheme Payments</t>
  </si>
  <si>
    <t>Provides financial redress to survivors of historical in-care child abuse.</t>
  </si>
  <si>
    <t xml:space="preserve">Change reflects in-year transfers in 2024-25 compared to starting position in 2025-26.  </t>
  </si>
  <si>
    <t>Redress Statutory Scheme Delivery</t>
  </si>
  <si>
    <t>Provides delivery of statutory payments and support for survivors during and after their application.</t>
  </si>
  <si>
    <t>Redress Scotland</t>
  </si>
  <si>
    <t>Provides independent assessment of and final decision on applications to the Redress Scheme.</t>
  </si>
  <si>
    <t>Total - Redress, Relations and Response</t>
  </si>
  <si>
    <t>TOTAL DFMEG</t>
  </si>
  <si>
    <t>Local Government Gaelic Grant</t>
  </si>
  <si>
    <t>Gaelic (LA Resource Specific Grant)</t>
  </si>
  <si>
    <t xml:space="preserve">Provides support to 27 Local Authorities to deliver Gaelic education at all levels - from early years to adult learning. </t>
  </si>
  <si>
    <t xml:space="preserve">Local Government Gaelic Grant </t>
  </si>
  <si>
    <t>Total - Local Government Gaelic Grant</t>
  </si>
  <si>
    <t xml:space="preserve">Supports funding across a number of areas including Fraunhofer, Green Freeports being delivered at both Inverness and the Cromarty Firth, and the Firth of Forth to deliver clusters of high value, green industry: delivering both jobs and support for a Just Transition to a greener economy, alongside support to commence the Heat Decarbonisation Fund as part of Clyde Mission.             </t>
  </si>
  <si>
    <t>Rail Services</t>
  </si>
  <si>
    <t>Rail Infrastructure Improvement and Rolling Stock Projects</t>
  </si>
  <si>
    <t>Improvements to rail infrastructure and capital maintenance and improvement to rolling stock and associated assets.</t>
  </si>
  <si>
    <t>Profile of annual expenditure changes in line with the level of committed Rail Enhancement projects and maintenance spend. In 2025-26 this will progress electrification to East Kilbride and in Fife in addition to further work to enable replacement of rail fleets.</t>
  </si>
  <si>
    <t>Supports the provision of ScotRail and Caledonian Sleeper passenger rail services and oversight by Scottish Rail Holdings as head of the government owned group. Also includes the Fixed Track Access Charges that are paid to Network Rail for the maintenance of the network, and capitalisation of leases for rail fleet under International Financial Reporting Standard 16.</t>
  </si>
  <si>
    <t>Resource funding uplift reflects increased operating costs, including the cost of pay settlements and changes to employers NIC. The reduction in capital funding relates to the timing of lease renewals for fleet and, as a technical accounting adjustment, has no practical impact on operational delivery.</t>
  </si>
  <si>
    <t>Network Infrastructure</t>
  </si>
  <si>
    <t>Supports the costs of maintenance, safe operation and renewal of the Scottish rail network by Network Rail and associated costs (along with the Fixed Track Access Charges funded via ScotRail above).</t>
  </si>
  <si>
    <t>Profile of committed Network Rail Grant to support net expenditure on Operations, Maintenance and Renewals, reflecting the agreed funding for the second year of the five year Control Period (CP7). </t>
  </si>
  <si>
    <t>Total - Rail Services</t>
  </si>
  <si>
    <t>Concessionary Fares and Bus Services</t>
  </si>
  <si>
    <t>Concessionary Fares</t>
  </si>
  <si>
    <t>Reflects forecast levels based on expected demand and fare inflation.  Final outturn will be dependent upon demand. Further increase to extend concessionary ferry travel schemes and to introduce free bus travel for asylum seekers.</t>
  </si>
  <si>
    <t>Smartcard Programme</t>
  </si>
  <si>
    <t>Provides funding for bus infrastructure systems to recognise Smartcards, supporting smart and digital travel improvements including providing all public and active travel information as open data, making Traveline Scotland fit for our future purposes, to encourage more sustainable travel.</t>
  </si>
  <si>
    <t xml:space="preserve">Small movement to reflect increases in operational costs. </t>
  </si>
  <si>
    <t>Support for Bus Services</t>
  </si>
  <si>
    <t xml:space="preserve">Funding for Network Support Grant, which provides support to the bus industry across Scotland to benefit passengers by helping operators to keep fares down enabling them to run services that might not otherwise be commercially viable, especially in rural and island locations; helps sustain the economy; and reduces costs to local authorities of supporting non-commercial but socially necessary services. </t>
  </si>
  <si>
    <t>No significant movement on the resource funded Network Support Grant, funding reflects forecast demand. 
The 2024-25 Budget included funding for the Community Bus Fund which has now ceased - capital funding to support improved infrastructure for bus services now sitting within the Bus Infrastructure Fund.</t>
  </si>
  <si>
    <t>Total - Concessionary Fares and Bus Services</t>
  </si>
  <si>
    <t>Sustainable Travel, Low Carbon and Other Transport</t>
  </si>
  <si>
    <t>Agency Administration Costs</t>
  </si>
  <si>
    <t>Transport Agency – Wages and Salaries</t>
  </si>
  <si>
    <t>Active Travel, Low Carbon and Other Transport</t>
  </si>
  <si>
    <t xml:space="preserve">Covers salaries and wage-related costs of Transport Scotland staff. </t>
  </si>
  <si>
    <t>Increase reflects increased paybill as a result of changes to employers NIC and pay settlements.</t>
  </si>
  <si>
    <t>Transport Agency – Goods and Services</t>
  </si>
  <si>
    <t>Covers capital expenditure of accommodation and other non-direct administration expenditure.</t>
  </si>
  <si>
    <t xml:space="preserve">2024-25 Budget reflects costs associated with the move to Bothwell Street premises, including fit-out, which are not recurring. </t>
  </si>
  <si>
    <t>Total - Agency Administration Costs</t>
  </si>
  <si>
    <t>Scottish Canals</t>
  </si>
  <si>
    <t>Scottish Canals – resource</t>
  </si>
  <si>
    <t>Covers operational expenditure by Scottish Canals and non-cash budget cover for depreciation charges.</t>
  </si>
  <si>
    <t>Reflects an increase in operating costs associated with maintaining Scotland's canal network, including impact of changes to employers NIC and public sector pay settlements.</t>
  </si>
  <si>
    <t>Scottish Canals – capital</t>
  </si>
  <si>
    <t>Supports capital expenditure by Scottish canals.</t>
  </si>
  <si>
    <t>Total - Scottish Canals</t>
  </si>
  <si>
    <t>Strategic Transport Projects Review</t>
  </si>
  <si>
    <t>Robust evidence underpins the prioritisation of projects. It also provides the evidence base for a review of the Strategic Transport Projects Review (STPR) and identifying the longer term pipeline of land-based infrastructure investments beyond 2030</t>
  </si>
  <si>
    <t xml:space="preserve">Reduction reflects the finalisation and publication of STPR2 in 2023-24. Funding for evidence and research now fully funded under Travel Strategy and Innovation.  
</t>
  </si>
  <si>
    <t>Support for Active and Sustainable Travel</t>
  </si>
  <si>
    <t>Support for Active Travel</t>
  </si>
  <si>
    <t xml:space="preserve">Investment in Active and Sustainable Travel infrastructure programmes, including the Active Travel Infrastructure Fund, completion of Places for Everyone projects, National Cycling Network and People and Place, Regional Transport Partnerships, and Bikeability. This Budget line also delivers the Bus Infrastructure Fund. </t>
  </si>
  <si>
    <t>Total - Support for Active and Sustainable Travel</t>
  </si>
  <si>
    <t>Low Carbon Transport Loan Schemes</t>
  </si>
  <si>
    <t>Low Carbon Transport Loan Schemes Expenditure</t>
  </si>
  <si>
    <t>Funding for Low Carbon Transport Loans, administered through the Energy Saving Trust.</t>
  </si>
  <si>
    <t>Low Carbon Transport Loan Schemes Income</t>
  </si>
  <si>
    <t>Forecast level of Low Carbon Transport Loan repayments.</t>
  </si>
  <si>
    <t>Total - Low Carbon Transport Loan Schemes</t>
  </si>
  <si>
    <t>Low Carbon Programme</t>
  </si>
  <si>
    <t>Low Carbon Programmes</t>
  </si>
  <si>
    <t xml:space="preserve">Funds a number of new and continuing low carbon and climate positive activities, including ScotZEB 2, LEZ Support, Freight Facilities Grant, HGV Residual Value Support Grant, and Electric Vehicle Infrastructure Fund. </t>
  </si>
  <si>
    <t xml:space="preserve">Uplift reflects commitment to low carbon activities and the introduction of the HGV Residual Value Support Grant, Rural and Islands Infrastructure Fund and Transport Just Transition Skills Grant. </t>
  </si>
  <si>
    <t>Total - Low Carbon Programmes</t>
  </si>
  <si>
    <t>Edinburgh Tram Inquiry</t>
  </si>
  <si>
    <t>Used to fund the completion of the Edinburgh Tram Inquiry.</t>
  </si>
  <si>
    <t>Inquiry now complete.</t>
  </si>
  <si>
    <t>Travel Strategy and Innovation</t>
  </si>
  <si>
    <t>Funds support for Regional Transport Partnerships, funding the Mobility and Access Committee for Scotland and the Scottish Roadworks Commissioner. Also includes provision for transport research, strategy, planning, appraisal and business cases and capital grant for Strathclyde Partnership for Transport's Subway Modernisation Programme.</t>
  </si>
  <si>
    <t>Total - Sustainable Travel, Low Carbon and Other Transport</t>
  </si>
  <si>
    <t>Trunk Road Network: Safety, Adaptation, Maintenance and Improvement</t>
  </si>
  <si>
    <t>Capital Land and Works</t>
  </si>
  <si>
    <t xml:space="preserve">Provides for design and further development of trunk road schemes, including the upgrade to dual carriageway of the A9, A83 improvements, and funding for progress with other schemes in the Trunk Road Network Programme, including A96 improvements. </t>
  </si>
  <si>
    <t>The increase reflects the progress of the A9 Dualling Programme, including the construction of the Tomatin to Moy section and the commitment to progress procurement and development of remaining sections of the programme. The increase in investment also provides for the continuing improvements to the A83 Rest and Be Thankful and the A96 Corridor including the Inverness to Nairn Bypass.</t>
  </si>
  <si>
    <t>Tay Road Bridge Authority</t>
  </si>
  <si>
    <t>Tay Road Bridge Capital Grant</t>
  </si>
  <si>
    <t>Funds capital grant expenditure on maintenance and operation of the Tay Road Bridge.</t>
  </si>
  <si>
    <t xml:space="preserve">No significant change - allocation matches profiled capital maintenance work. 
 </t>
  </si>
  <si>
    <t>Tay Road Bridge Resource Grant</t>
  </si>
  <si>
    <t>Funds resource grant expenditure on maintenance and operation of the Tay Road Bridge.</t>
  </si>
  <si>
    <t xml:space="preserve">Increase reflects additional operational and maintenance costs forecast. </t>
  </si>
  <si>
    <t>Total - Tay Road Bridge Authority</t>
  </si>
  <si>
    <t>Critical Safety, Maintenance and Infrastructure</t>
  </si>
  <si>
    <t>Adaptation and Resilience</t>
  </si>
  <si>
    <t xml:space="preserve">Funds Trunk Road Adaptation Schemes to improve the resilience of trunk roads to the effects of climate change and severe weather events, Trunk Road Casualty Reduction schemes and interventions and Traffic Scotland operational commitments. </t>
  </si>
  <si>
    <t xml:space="preserve">Change reflects uplift in funding for essential adaptation schemes to improve the trunk road network's resilience to climate and weather events. Also reflects increased requirement for casualty reduction measures and Traffic Scotland contractual requirements and essential asset renewal.   </t>
  </si>
  <si>
    <t>Bridge Strengthening and Repairs</t>
  </si>
  <si>
    <t>Funds the highest priority repairs alongside safety critical work, inspections and essential bridge maintenance.</t>
  </si>
  <si>
    <t xml:space="preserve">Funding reflects assessment of strengthening and repair programme requirements in 2025-26. </t>
  </si>
  <si>
    <t>Woodside Viaduct</t>
  </si>
  <si>
    <t xml:space="preserve">Essential propping works to protect the integrity and maintain operation of the M8 Woodside Viaducts prior to permanent structural repairs and refurbishment. Also funds early development work in relation to permanent intervention. </t>
  </si>
  <si>
    <t xml:space="preserve">Funding reflects the spend profile of the programme of works and the target completion date of essential propping works in 2026. </t>
  </si>
  <si>
    <t>Trunk Roads Structural Repairs</t>
  </si>
  <si>
    <t>Funds the highest priority essential road carriageway repairs to maintain the safety of the trunk road network.</t>
  </si>
  <si>
    <t>Increase reflects safety critical carriageway repairs and capital maintenance requirement.</t>
  </si>
  <si>
    <t>Routine and Winter Maintenance</t>
  </si>
  <si>
    <t>Delivers routine, cyclical and winter maintenance to maintain safety, environment and amenity of trunk road network. Includes committed costs for Contract Price Fluctuation, audit services, trunk road electricity costs, asset management systems and other known demands.</t>
  </si>
  <si>
    <t xml:space="preserve">Increase reflects additional funding to address safety critical maintenance work required across the trunk road network. </t>
  </si>
  <si>
    <t>Safety Cameras</t>
  </si>
  <si>
    <t>Provision of road safety cameras in Scotland.</t>
  </si>
  <si>
    <t xml:space="preserve">No significant change - small uplift to reflect inflation and cost profile. Note that while totals have remained constant, £2 million of expenditure has been reclassified from resource to capital.  </t>
  </si>
  <si>
    <t xml:space="preserve">Other Trunk Road Expenditure </t>
  </si>
  <si>
    <t xml:space="preserve">Funds resource overheads related to road improvements and essential maintenance. Includes resilience and major events, asset management and procurement. </t>
  </si>
  <si>
    <t xml:space="preserve">No significant change - small uplift to reflect inflation and cost profile. </t>
  </si>
  <si>
    <t>Road Safety</t>
  </si>
  <si>
    <t>Provides capital funding for the Road Safety Improvement Fund, National Speed Management Review and the National Strategy for 20mph to support the Road Safety Framework 2030. Includes resource funding for education and road safety educational campaigns and support for partnership working under the Road Safety Framework to 2030.</t>
  </si>
  <si>
    <t xml:space="preserve">Increase reflects increased investment in Road Safety measures, in response to recent statistics and to support the Road Safety Framework to 2030. This includes additional provision for the National Speed Management Review and National Strategy for 20mph. 
</t>
  </si>
  <si>
    <t>Total - Critical Safety, Maintenance and Infrastructure</t>
  </si>
  <si>
    <t>Trunk Road Depreciation</t>
  </si>
  <si>
    <t>Provides non-cash budget to cover depreciation of the trunk road network.</t>
  </si>
  <si>
    <t xml:space="preserve">The trunk road depreciation charge is based on a range of factors, including road condition data and traffic volume and will therefore  fluctuate year on year. As non-cash budget, it cannot be deployed on other areas of expenditure. </t>
  </si>
  <si>
    <t>PPP Payments</t>
  </si>
  <si>
    <t>Transport PPP Finance Charge/ Capital</t>
  </si>
  <si>
    <t>Covers the repayment of the finance element of the Design and Build costs of sections of the M6/A74(M), M77, M80 and M8/73/74.</t>
  </si>
  <si>
    <t xml:space="preserve">PFI spend is determined by financial model for each scheme. Contractual spend in line with profile driven by model. </t>
  </si>
  <si>
    <t>Transport PPP Unitary Charge – Service Element</t>
  </si>
  <si>
    <t>Covers the service charges in respect of the operation of privately funded sections of the M6/A74(M), M77, M80 and M8/73/74 and AWPR/BT.</t>
  </si>
  <si>
    <t>Transport PPP Unitary Charge – Finance Charge/Interest Payable</t>
  </si>
  <si>
    <t>Covers the interest charges in respect of the privately funded sections of the M6/A74(M), M77, M80 and M8/73/74 and AWPR/BT.</t>
  </si>
  <si>
    <t>Total - PPP Payments</t>
  </si>
  <si>
    <t>Total - Trunk Road Network: Safety, Adaptation, Maintenance and Improvement</t>
  </si>
  <si>
    <t>Ferry Services</t>
  </si>
  <si>
    <t>Support for Ferry Services</t>
  </si>
  <si>
    <t>Clyde and Hebrides Ferry Services</t>
  </si>
  <si>
    <t>This covers the support provided for the Clyde and Hebrides ferry services, which includes connecting Scotland's islands, and ancillary costs relating to general ferry services.</t>
  </si>
  <si>
    <t>Reflects impact of increased operating costs (fuel, crew, pay and changes to employers NIC) and the introduction of new vessels to the fleet in 2025-26.</t>
  </si>
  <si>
    <t>Northern Isles Ferry Services</t>
  </si>
  <si>
    <t xml:space="preserve">This covers the support provided for the Northern Isles ferry services, which includes connecting Scotland's islands, and ancillary costs relating to general ferry services. </t>
  </si>
  <si>
    <t xml:space="preserve">Reflects strong revenue performance and efficiency measures. </t>
  </si>
  <si>
    <t>Loan Interest</t>
  </si>
  <si>
    <t>Interest receivable on loans advanced to Caledonian Maritime Assets Ltd (CMAL).</t>
  </si>
  <si>
    <t>Increase in loan interest associated with loans to CMAL for the new vessels being added to the fleet  in 2024-25 and 2025-26.</t>
  </si>
  <si>
    <t>Total - Support for Ferry Services</t>
  </si>
  <si>
    <t>Vessels and Piers</t>
  </si>
  <si>
    <t>Piers and Harbours Grants</t>
  </si>
  <si>
    <t>Provides grants to port operators for improvement to piers and harbours, particularly to support ferry services to and from Scotland's islands.</t>
  </si>
  <si>
    <t>Reflects the profile of increased port investment works progressing through procurement and construction stage in the coming year.</t>
  </si>
  <si>
    <t>CMAL - Voted Loans</t>
  </si>
  <si>
    <t>Provides for loans to Caledonian Maritime Assets Ltd (CMAL) for procurement of vessels for operation on the Clyde and Hebrides Ferry Services and Northern Isles Ferry Services networks.</t>
  </si>
  <si>
    <t>Reflects the increased amount of construction for a number of vessel investment projects progressing through the coming financial year.</t>
  </si>
  <si>
    <t>CMAL – Capital Receipts</t>
  </si>
  <si>
    <t>Repayment of loans by CMAL.</t>
  </si>
  <si>
    <t>Reflects the profile of loan repayments by CMAL which is increased due to loans advanced for new vessels.</t>
  </si>
  <si>
    <t>Total - Vessels and Piers</t>
  </si>
  <si>
    <t>Total - Ferry Services</t>
  </si>
  <si>
    <t>Air Services</t>
  </si>
  <si>
    <t>Highlands and Islands Airports Ltd</t>
  </si>
  <si>
    <t>Highlands and Islands Airports Ltd – Resource Grant</t>
  </si>
  <si>
    <t>Supports Highlands and Islands Airports Ltd in maintaining and operating its airports, to facilitate connectivity to and from Scotland's islands and remote areas.</t>
  </si>
  <si>
    <t xml:space="preserve">No change which reflects efficiency measures and revenue growth which are projected to off-set inflation and other cost increases. </t>
  </si>
  <si>
    <t>Highlands and Islands Airports Ltd – Capital Grant</t>
  </si>
  <si>
    <t xml:space="preserve">Capital investment required to ensure airports operate safely and in accordance with regulatory requirements, supporting connectivity to remote rural areas and Scottish islands. </t>
  </si>
  <si>
    <t xml:space="preserve">Reflects the profile of Highland and Islands Airports Ltd's capital programme. </t>
  </si>
  <si>
    <t>Highlands and Islands Airports Ltd – Depreciation Charge</t>
  </si>
  <si>
    <t xml:space="preserve">Non-cash budget cover for depreciation charges. </t>
  </si>
  <si>
    <t xml:space="preserve">Reflects an increase in the depreciation charge for HIAL </t>
  </si>
  <si>
    <t>Total - Highlands and Islands Airports Ltd</t>
  </si>
  <si>
    <t>Other Air Services</t>
  </si>
  <si>
    <t>Support for Air Services</t>
  </si>
  <si>
    <t>Supports Scotland’s direct international connectivity, lifeline Public Service Obligation air services, and the Highlands and Islands Air Discount Scheme (ADS)</t>
  </si>
  <si>
    <t>Total - Air Services</t>
  </si>
  <si>
    <t>TOTAL TRANSPORT</t>
  </si>
  <si>
    <t>Cycling, Walking &amp; Safer Routes</t>
  </si>
  <si>
    <t>Grants to local authorities to fund improvements to infrastructure to support cycling, walking and safer streets.</t>
  </si>
  <si>
    <t>No change to funding available: budget transferred to Local Government at Autumn Budget Revision in 2024-25</t>
  </si>
  <si>
    <t>Inter-Island Connectivity</t>
  </si>
  <si>
    <t>Grant to support inter island ferry services.</t>
  </si>
  <si>
    <t>Increase to support the development of inter-island connectivity, including free inter-island ferry travel for U22s (Orkney, Shetland and Western Isles). The 2024-25 comparative reflects the amount transferred from the General Revenue Grant at the Autumn Budget Revision (£13.9 million)</t>
  </si>
  <si>
    <t>Regional Transport Partnership</t>
  </si>
  <si>
    <t>A general capital grant to Strathclyde Partnership for Transport, for their transport investment programme. This grant, combined with funding from their constituent local authorities, funds delivery of capital projects which contribute to the National Transport Strategy and the maintenance and renewal of existing transport infrastructure in the region.</t>
  </si>
  <si>
    <t>Not funded in 2024-25 due to prioritisation of reduced capital budgets. Reintroduced to provide funding for contractual and essential spend, necessary for the safe running of SPT’s transport operations. </t>
  </si>
  <si>
    <t>Central Government Grants to Local Authorities Level 2 Total</t>
  </si>
  <si>
    <t xml:space="preserve">This maintains the Active and Sustainable Travel programme delivered in 2024-25, as amended at the fiscal statement in September 2024. 2024-25 comparator figures do not reflect the September amendment. There is a further £23.9 million specific capital grant to local government (Cycling, Walking and Safer Routes). The line also includes the Bus Infrastructure Fund which is a new fund for 2025-26 and is the successor to the Bus Partnership Fund and the Community Bus Fund. </t>
  </si>
  <si>
    <t>Loan fund increased to £20 million in 2025-26 to support transition to electric vehicles, with a particular focus on those on lower incomes.</t>
  </si>
  <si>
    <t>Forecasts are subject to change depending on the flow of repayments expected from grant recipients, and are dependent on the level of loan funding currently in circulation. Income reduces due to lower value of loans issued in 2024-25.</t>
  </si>
  <si>
    <t>2025-26 increase is driven by the profile of payments of capital grant funding for Strathclyde Partnership for Transport's Subway Modernisation Programme. The 2024-25 comparative does not include funding to be allocated at the Spring Budget Revision.</t>
  </si>
  <si>
    <t xml:space="preserve">PPP spend is determined by financial model for each scheme. Contractual spend in line with profile driven by model. </t>
  </si>
  <si>
    <t>Rural Affairs, Land Reformand Islands</t>
  </si>
  <si>
    <t>Net Zero and Energy</t>
  </si>
  <si>
    <t>Offshore Wind Supply Chain</t>
  </si>
  <si>
    <t>Offshore Wind</t>
  </si>
  <si>
    <t xml:space="preserve">To support offshore wind supply chain to leverage private investment in ports, manufacturing and assembly work to support major supply chain opportunities to Scotland.   </t>
  </si>
  <si>
    <t>To support our commitment to invest up to £500m for offshore wind supply chain</t>
  </si>
  <si>
    <t>Offshore Wind FT Expenditure</t>
  </si>
  <si>
    <t xml:space="preserve">Offshore Wind FT Income </t>
  </si>
  <si>
    <t>Total - Offshore Wind Supply Chain</t>
  </si>
  <si>
    <t>Energy Transitions</t>
  </si>
  <si>
    <t>Energy</t>
  </si>
  <si>
    <t>Energy - Energy Industries</t>
  </si>
  <si>
    <t>The energy industries budget supports the transition to a net zero Scotland by promoting industrial decarbonisation across the economy, reducing energy costs and emissions through the Scottish Industrial Energy Transformation Fund; encourages innovation in the development of hydrogen as an energy source ; continues our commitment to support businesses in the North East of Scotland grow and diversify via the Energy Transition Fund; and will support early stage investment in Carbon Capture and Storage and Hydrogen; and will support investment at the Grangemouth facility to ensure a sustainable, long term future for the area. Includes support for Wave Energy Scotland.</t>
  </si>
  <si>
    <t>Onshore Electricity, Strategy and Consents</t>
  </si>
  <si>
    <t xml:space="preserve">Energy Consents Unit processes applications for onshore wind farms, battery storage and other energy related projects. </t>
  </si>
  <si>
    <t>Total - Energy</t>
  </si>
  <si>
    <t>CARES Recovery</t>
  </si>
  <si>
    <t>CARES Recovery - Resource</t>
  </si>
  <si>
    <t>See below</t>
  </si>
  <si>
    <t>Increase relating to GB Energy activity and increased funding to promote the benefits of energy transition.</t>
  </si>
  <si>
    <t>CARES Recovery - Capital</t>
  </si>
  <si>
    <t xml:space="preserve">CARES supports communities across Scotland to develop local community energy projects.
To date, CARES has advised over 1,000 organisations, offered funding of over £61 million to over 800 projects throughout Scotland, and helped support the direct installation of 58.6 MW of renewable energy. This has included community owned wind and hydro, decarbonising community buildings, installing solar PV on faith buildings, developing community action plans, innovation studies, and helping local communities invest in commercial renewable energy projects.
</t>
  </si>
  <si>
    <t>Increase in funding relating to GB Energy and investment in community owned energy.</t>
  </si>
  <si>
    <t>Total - CARES Recovery</t>
  </si>
  <si>
    <t>Total - Energy Transitions</t>
  </si>
  <si>
    <t>Green Economy</t>
  </si>
  <si>
    <t>Green Jobs Fund</t>
  </si>
  <si>
    <t>This line remains for legacy comparator purposes only.</t>
  </si>
  <si>
    <t>Green Growth Accelerator</t>
  </si>
  <si>
    <t>Energy Efficiency and Decarbonisation</t>
  </si>
  <si>
    <t>Operating Costs</t>
  </si>
  <si>
    <t>This spend relates to staff costs</t>
  </si>
  <si>
    <t xml:space="preserve">Reflects realignment of staff pay </t>
  </si>
  <si>
    <t xml:space="preserve">This budget supports progress towards our climate change targets and aligns with the proposals in the recent consultations on a Heat in Buildings Bill and Social Housing Net Zero Standard.  It funds support for households and buildings to install energy efficiency measures and clean heating systems across domestic (private and social housing), non-domestic and public sectors; development of heat network regulations and legislation and funding to support investment in heat networks; provision of programmes of advice and support to encourage the continued uptake of energy efficiency and clean heating.  </t>
  </si>
  <si>
    <t>Increase relates to additional capital allocations to support the commitment to provide £1.8 billion of funding for Heat in Buildings.</t>
  </si>
  <si>
    <t>Energy Efficiency and Decarbonisation Financial Transactions</t>
  </si>
  <si>
    <t>The Scottish Government will look to maximise the opportunity for Financial Transactions for key loan schemes that fund installation of energy efficiency measures and clean heating.</t>
  </si>
  <si>
    <t>Increase in Financial Transactions budget included in this line for 2025-26, reflects additional availability of Financial Transactions allocations compared to 2024-25.</t>
  </si>
  <si>
    <t>Energy Efficiency and Decarbonisation Financial Transactions (Income)</t>
  </si>
  <si>
    <t>Repayment of previous energy efficiency and clean heating loans.</t>
  </si>
  <si>
    <t>Increase in Financial Transactions income budget for 2025-26 based on increase in loans provided in previous years.</t>
  </si>
  <si>
    <t>Total - Energy Efficiency and Decarbonisation</t>
  </si>
  <si>
    <t>Environmental Services</t>
  </si>
  <si>
    <t>Environmental Quality</t>
  </si>
  <si>
    <t xml:space="preserve">Noise and Air Quality Action </t>
  </si>
  <si>
    <t xml:space="preserve">Policy development and implementation to support air quality, including maintenance, servicing and upgrading of local authority air quality monitors in the Scottish monitoring network, and associated services including data analysis and modelling. </t>
  </si>
  <si>
    <t>Continued investment to deliver the priority of improving air quality across Scotland.</t>
  </si>
  <si>
    <t>Water Environment</t>
  </si>
  <si>
    <t>Action to protect and improve Scotland’s water environment for the benefit of people, wildlife and the economy. This also includes Divisional staff costs.</t>
  </si>
  <si>
    <t>Continued investment to deliver the priority of improving  Scotland's water environment in line with commitments in the River Basin Management Plan.</t>
  </si>
  <si>
    <t>Flood Risk Management</t>
  </si>
  <si>
    <t xml:space="preserve">Flooding policy development, promotion of best practice and support for actions to raise awareness and increase community and household resilience to the devastating impact of flooding and coastal change.  </t>
  </si>
  <si>
    <t>New capital allocation to support the delivery of flood resilience actions consistent with the Flood Resilience Strategy.</t>
  </si>
  <si>
    <t>Total - Environmental Quality</t>
  </si>
  <si>
    <t>Nature Restoration</t>
  </si>
  <si>
    <t>Policy development and implementation to manage and restore Scotland's biodiversity and landscapes, including provision of the Nature Restoration Fund and continued commitment to the Central Scotland Green Network.</t>
  </si>
  <si>
    <t>Reduction in capital to reflect ongoing programme plans, maintaining delivery of commitment to the Nature Restoration Fund.</t>
  </si>
  <si>
    <t>Total - Nature Restoration</t>
  </si>
  <si>
    <t>Scottish Environment Protection Agency</t>
  </si>
  <si>
    <t>SEPA Capital</t>
  </si>
  <si>
    <t>capital reduced in line with spending plans for ongoing digitisation programme and maintenance plans</t>
  </si>
  <si>
    <t>SEPA Resource - Staff Costs</t>
  </si>
  <si>
    <t>For delivery of statutory functions: the regulation of activities or processes that may pollute water, air or land; the regulation of waste storage, transport, treatment and disposal; the regulation of keeping and disposing of radioactive materials; the management of radioactive waste and; running Scotland's flood warning systems.</t>
  </si>
  <si>
    <t>Provision has been made to offset pay uplift and national insurance increase, in tandem with ongoing public service reform objectives to improve efficiency</t>
  </si>
  <si>
    <t>SEPA Resource - Depreciation</t>
  </si>
  <si>
    <t>SEPA Resource - Other</t>
  </si>
  <si>
    <t>Programme and other Operating expenditure incurred by SEPA.</t>
  </si>
  <si>
    <t>no signicant change</t>
  </si>
  <si>
    <t>SEPA Income</t>
  </si>
  <si>
    <t>Charging schemes and other resource income.</t>
  </si>
  <si>
    <t>Total - Scottish Environment Protection Agency</t>
  </si>
  <si>
    <t>NatureScot</t>
  </si>
  <si>
    <t>NatureScot Resource - Staff costs</t>
  </si>
  <si>
    <t>Staff costs to undertake statutory functions and deliver NatureScot Corporate Plan.</t>
  </si>
  <si>
    <t>Provision has been made to offset pay uplift and national insurance increase, combined with ongoing public service reform objectives. Further in year budget transfers will be made for ongoing initiaitves such as the peatland restoration programme which is included in comparator information, but not the 2025-26 allocation.</t>
  </si>
  <si>
    <t>NatureScot Resource Consumption - Depreciation</t>
  </si>
  <si>
    <t>NatureScot Resource - other</t>
  </si>
  <si>
    <t>Programme and other Operating expenditure to deliver statutory functions and NatureScot Corporate Plan.</t>
  </si>
  <si>
    <t>Overall position is stable on 2024-25 Budget Bill allocation. Further budget transfers will be made for ongoing programmes such as Peatland Restoration.</t>
  </si>
  <si>
    <t>NatureScot capital</t>
  </si>
  <si>
    <t>Capital expenditure on infrastructure assets and competitive streams of Nature Restoration Fund.</t>
  </si>
  <si>
    <t>Total - NatureScot</t>
  </si>
  <si>
    <t>Zero Waste</t>
  </si>
  <si>
    <t>Delivering policies to progress Scotland’s transition to a circular economy by reducing waste and promoting sustainable consumption, increasing re-use and recycling of our resources and decarbonising the disposal of waste. This includes major delivery programmes for extended producer responsibility and modernising recycling services through the co-design of a new Household Recycling Code of Practice.</t>
  </si>
  <si>
    <t>Reduction in resource budget to reflect Zero Waste Scotland becoming an NDPB and their operating and delivery costs being reported in a separate budget line.</t>
  </si>
  <si>
    <t>Total - Zero Waste</t>
  </si>
  <si>
    <t>Zero Waste Scotland</t>
  </si>
  <si>
    <t>ZWS Resource - Staff costs</t>
  </si>
  <si>
    <t>Zero Waste Scotland now a newly formed Non Departmental Public Body (NDPB) effective from October 2024, previoulsy funded from Scottish Government Zero Waste line. Staff costs to deliver initial phase of new corporate plan, focused on rewiring the economy, and delivery of corporate statutory duties, enabled via the Circular Economy (Scotland) Act 2024.</t>
  </si>
  <si>
    <t xml:space="preserve">Zero Waste Scotland now a newly formed Non Departmental Public Body (NDPB) effective from October 2024, previously funded from Zero Waste line. </t>
  </si>
  <si>
    <t>ZWS Resource - Depreciation</t>
  </si>
  <si>
    <t>ZWS Resource - other</t>
  </si>
  <si>
    <t xml:space="preserve">Zero Waste Scotland now a newly formed Non Departmental Public Body (NDPB) effective from October 2024, previoulsy funded from Scottish Government Zero Waste line. Programme and other operating expenditure to deliver initial phase of new corporate plan. </t>
  </si>
  <si>
    <t>Zero Waste Scotland now a newly formed Non Departmental Public Body (NDPB) effective from October 2024, previously funded from Zero Waste line.</t>
  </si>
  <si>
    <t>ZWS capital</t>
  </si>
  <si>
    <t>Total - Zero Waste Scotland</t>
  </si>
  <si>
    <t>Total - Environmental Services</t>
  </si>
  <si>
    <t>Environmental Standards Scotland</t>
  </si>
  <si>
    <t>Staff and operational costs for Environmental Standards Scotland, the independent body set up to fill the gap in environmental governance arising from Scotland's departure from the EU.</t>
  </si>
  <si>
    <t>This increase reflects technical accounting adjustments (IFRS16) for the organisation’s office accommodation and an adjustment to offset pay and National insurance contributions in 2025/26.</t>
  </si>
  <si>
    <t>Total - Environmental Standards Scotland</t>
  </si>
  <si>
    <t>Climate Change</t>
  </si>
  <si>
    <t xml:space="preserve">Climate Action and Policy </t>
  </si>
  <si>
    <t>Climate Change Action and Policy line supports both the policy development and implementation work needed to take forward our statutory responsibilities under Scotland’s Climate Change Act, as well as the Independent Just Transition Commission, supporting climate change leadership in the public sector alongside  the implementation of the Public Bodies Duties provisions of the Climate Change Act.  The budget also funds both our Climate Justice Fund which supports programmes to address Loss and Damage and our work with the Under 2 Coalition.</t>
  </si>
  <si>
    <t>Increase in funding to deliever Climate Change policy initiatives as part of commitment to delivering net zero.</t>
  </si>
  <si>
    <t>Just Transition Fund</t>
  </si>
  <si>
    <t>The funding will support delivery of the £500 million ten year Just Transition Fund funding existing multiyear projects.</t>
  </si>
  <si>
    <t>Additional investment in Climate Change initiatives.</t>
  </si>
  <si>
    <t>Total - Climate Change</t>
  </si>
  <si>
    <t>Scottish Water</t>
  </si>
  <si>
    <t>Interest On Voted Loans</t>
  </si>
  <si>
    <t>This represents the interest payable to the Scottish Government in respect of loans issued to date.</t>
  </si>
  <si>
    <t>Increaes in line with interest generated from loans issued in previous years.</t>
  </si>
  <si>
    <t>Voted Loans</t>
  </si>
  <si>
    <t xml:space="preserve">This represents the loans payable in support of Scottish Water’s investment programme for the period 2021-27. </t>
  </si>
  <si>
    <t>Hydro Nation</t>
  </si>
  <si>
    <t>This provides support for the Hydro Nation agenda, to support management of Scotland's water environment to best advantage.</t>
  </si>
  <si>
    <t>Increase relates to additional investment in Hydro Nation activities.</t>
  </si>
  <si>
    <t>Drinking Water Quality Regulator</t>
  </si>
  <si>
    <t>This provision is to support the Drinking Water Quality Regulator for Scotland in carrying out its duties under the Water Industry (Scotland) Act 2002.</t>
  </si>
  <si>
    <t>Private Water</t>
  </si>
  <si>
    <t xml:space="preserve">The Private Water budget supports actions to sustain and improve the health of the people of Scotland through good safe drinking water.  </t>
  </si>
  <si>
    <t>Total - Scottish Water</t>
  </si>
  <si>
    <t>TOTAL NZE</t>
  </si>
  <si>
    <t>Constitution, External Affairs and Culture</t>
  </si>
  <si>
    <t>Data Sheet</t>
  </si>
  <si>
    <t>Constitution, External Affairs  and Culture</t>
  </si>
  <si>
    <t>Arts and Culture</t>
  </si>
  <si>
    <t>Creative Scotland</t>
  </si>
  <si>
    <t>Creative Scotland Multi-Year Funding</t>
  </si>
  <si>
    <t xml:space="preserve">Creative Scotland multi year funding </t>
  </si>
  <si>
    <t>Previously combined with Operating Costs line and some funding contained in Other Arts and Activity line. Overall funding has increased in 25/26,</t>
  </si>
  <si>
    <t>Youth Music Initiative</t>
  </si>
  <si>
    <t>Ring-fenced funding for Youth Music Initiative</t>
  </si>
  <si>
    <t>Previously included in Other Arts and Activity line.</t>
  </si>
  <si>
    <t>Screen Scotland</t>
  </si>
  <si>
    <t>Ring-fenced funding for Screen Scotland</t>
  </si>
  <si>
    <t>Previously included in Other Arts and Activity line. Funding has increased in 25/26 by £2m.</t>
  </si>
  <si>
    <t xml:space="preserve">Creative Scotland Operating Costs </t>
  </si>
  <si>
    <t>Core funding for Creative Scotland operational costs</t>
  </si>
  <si>
    <t>Previously combined with Creative Scotland Multi Year Funding line. Operating costs budget remains flat.</t>
  </si>
  <si>
    <t>CS Depreciation</t>
  </si>
  <si>
    <t xml:space="preserve">Non-cash budget to cover loss in value of fixed assets over the accounting period. </t>
  </si>
  <si>
    <t>Total - Creative Scotland</t>
  </si>
  <si>
    <t>National Cultural Collections</t>
  </si>
  <si>
    <t>National Museums of Scotland (NMS)</t>
  </si>
  <si>
    <t xml:space="preserve">Provides for the general operational costs of the NMS. </t>
  </si>
  <si>
    <t>Increased funding for 25.26 public sector pay policy.</t>
  </si>
  <si>
    <t>NMS Capital</t>
  </si>
  <si>
    <t xml:space="preserve">Capital projects for redevelopment, repairs, maintenance and IT upgrade. </t>
  </si>
  <si>
    <t>Decrease reflects changing profiles of capital projects</t>
  </si>
  <si>
    <t>NMS Depreciation</t>
  </si>
  <si>
    <t>For depreciation of NMS assets, including its estate.</t>
  </si>
  <si>
    <t>National Galleries of Scotland (NGS)</t>
  </si>
  <si>
    <t xml:space="preserve">Provides for the general operational costs of the NGS. </t>
  </si>
  <si>
    <t>NGS Capital</t>
  </si>
  <si>
    <t>Increase reflects changing profiles of capital projects</t>
  </si>
  <si>
    <t>NGS Depreciation</t>
  </si>
  <si>
    <t>For depreciation of NGS assets, including its estate.</t>
  </si>
  <si>
    <t>National Library of Scotland (NLS)</t>
  </si>
  <si>
    <t xml:space="preserve">Provides for the general operational costs of the NLS. </t>
  </si>
  <si>
    <t>NLS Capital</t>
  </si>
  <si>
    <t>Capital projects for redevelopment, repairs, maintenance and IT upgrade. Capital funding for acquisition of new material to enhance the collections.</t>
  </si>
  <si>
    <t>Decrease reflects changing profiles of capital projects.</t>
  </si>
  <si>
    <t>NLS Depreciation</t>
  </si>
  <si>
    <t>For depreciation of NLS assets, including its estate.</t>
  </si>
  <si>
    <t>Non National Museums</t>
  </si>
  <si>
    <t xml:space="preserve">Provides funding for museums and galleries across Scotland via Museums Galleries Scotland, and direct funding for the Scottish Maritime, Mining and Fisheries Museums.  </t>
  </si>
  <si>
    <t>Increase in capital - reflects changing profiles of capital projects.</t>
  </si>
  <si>
    <t>Non National Libraries</t>
  </si>
  <si>
    <t xml:space="preserve">Provides funding for non-national library improvement across Scotland via the Scottish Library and Information Council. </t>
  </si>
  <si>
    <t xml:space="preserve">Increase in funding to reflect inflation. </t>
  </si>
  <si>
    <t>Other Cultural Capital</t>
  </si>
  <si>
    <t xml:space="preserve">Funding for capital projects not undertaken by NDPBs. </t>
  </si>
  <si>
    <t>Reflects changing spend profiles for other cultural capital projects.</t>
  </si>
  <si>
    <t>Total - National Cultural Collections</t>
  </si>
  <si>
    <t xml:space="preserve">Other Arts and Activity  </t>
  </si>
  <si>
    <t>Culture Arts Delivery and Policy</t>
  </si>
  <si>
    <t xml:space="preserve">Supports operational delivery for Directorate for Culture and External Affairs teams. Supports the delivery of the Culture sector review; Creative Scotland review, public sector reform and implementation of Culture Strategy. </t>
  </si>
  <si>
    <t xml:space="preserve">Increased for 25.26 public sector pay policy. Supports the delivery of the Culture sector review; Creative Scotland review, public sector reform and implementation of Culture Strategy. </t>
  </si>
  <si>
    <t xml:space="preserve">Provides provides for revenue funding for other cultural opportunities and priorities including EXPO and Festivals. </t>
  </si>
  <si>
    <t>Previously included Sistema, V&amp;A Dundee, YMI and Screen Scotland and a portion of Creative Scotland Multi-Year Funding which are now split into separate lines. Includes doubling EXPO and expanding to other festivals.</t>
  </si>
  <si>
    <t>Sistema</t>
  </si>
  <si>
    <t>Provides revenue funding for Sistema Scotland.</t>
  </si>
  <si>
    <t>Previously included in Other Arts and Activity. Flat on 24.25.</t>
  </si>
  <si>
    <t>V&amp;A Dundee</t>
  </si>
  <si>
    <t>Provides revenue funding for V&amp;A Dundee.</t>
  </si>
  <si>
    <t xml:space="preserve">Previously included in Other Arts and Activity. </t>
  </si>
  <si>
    <t xml:space="preserve">Total - Other Arts and Activity </t>
  </si>
  <si>
    <t>National Performing Companies</t>
  </si>
  <si>
    <t>Scottish Opera</t>
  </si>
  <si>
    <t>Provides for the general operational costs and International Touring Fund.</t>
  </si>
  <si>
    <t>National Theatre of Scotland</t>
  </si>
  <si>
    <t>Royal Scottish National Orchestra (RSNO)</t>
  </si>
  <si>
    <t>Scottish Chamber Orchestra</t>
  </si>
  <si>
    <t>Scottish Ballet</t>
  </si>
  <si>
    <t>Total - National Performing Companies</t>
  </si>
  <si>
    <t>Total - Arts and Culture</t>
  </si>
  <si>
    <t>Historic Environment and Architecture</t>
  </si>
  <si>
    <t>Historic Environment Scotland</t>
  </si>
  <si>
    <t>HES-Running Costs</t>
  </si>
  <si>
    <t xml:space="preserve">Staff and operating costs including conservation of estate to protect and promote Scotland's historic environment. HES is the largest operator of paid visitor attractions in Scotland as well as the lead body for enabling and delivering Scotland's Historic Environment Strategy, Our Place in Time and providing advice on the management of Scotland's wider historic environment. Building, Archaeology and Voluntary Sector grants to third parties plus goods and services not included in administration and operating costs.    </t>
  </si>
  <si>
    <t>An efficiency saving has been applied, the impact of this should be mitigated through flexibilities provided inline with Public Service Reform.</t>
  </si>
  <si>
    <t>HES Depreciation and Impairment</t>
  </si>
  <si>
    <t>For depreciation of HES assets, including its estate.</t>
  </si>
  <si>
    <t>Total Level 3</t>
  </si>
  <si>
    <t>HES Direct Capital</t>
  </si>
  <si>
    <t>Investment towards restoring, enhancing and conserving our HES Properties in Care and associated visitor facing facilities across Scotland. Capital funding for corporate infrastructure.</t>
  </si>
  <si>
    <t>Reflects changing spend profile of capital projects.</t>
  </si>
  <si>
    <t>Less Income</t>
  </si>
  <si>
    <t>Supports HES operational expenditure.</t>
  </si>
  <si>
    <t>Total - Historic Environment Scotland</t>
  </si>
  <si>
    <t>Architecture and Design Scotland</t>
  </si>
  <si>
    <t>This sustains the statutory body covering A&amp;DS who support the practical promotion of good design in place-making and good architecture with the aim of achieving better outcomes in new development in Scotland.</t>
  </si>
  <si>
    <t>An efficiency saving. The remaining difference is transfers from other budget portfolios.</t>
  </si>
  <si>
    <t>Total - Architecture and Design Scotland</t>
  </si>
  <si>
    <t>Total - Historic Environment and Architecture</t>
  </si>
  <si>
    <t>National Records of Scotland</t>
  </si>
  <si>
    <t>Operational Costs</t>
  </si>
  <si>
    <t>Other Running Costs</t>
  </si>
  <si>
    <t>NRS Operational Costs</t>
  </si>
  <si>
    <t xml:space="preserve">Budget for NRS Core staff costs and  goods and services. </t>
  </si>
  <si>
    <t xml:space="preserve">No budget has been allocated for the Census Programme which cannot be delivered without budget. </t>
  </si>
  <si>
    <t>Depreciation Capital Charge</t>
  </si>
  <si>
    <t>For depreciation of NRS assets, including its estate.</t>
  </si>
  <si>
    <t>Budget aligned with NRS asset register and forecast depreciation charge.</t>
  </si>
  <si>
    <t>Capital Expenditure</t>
  </si>
  <si>
    <t>Capital projects for redevelopment, repairs, maintenance, IT upgrade and digital preservation of records.</t>
  </si>
  <si>
    <t>Increase reflects changing profiles of capital projects.</t>
  </si>
  <si>
    <t>Revenue raised through fees and charges, contract and rental income.</t>
  </si>
  <si>
    <t>Total - National Records of Scotland</t>
  </si>
  <si>
    <t xml:space="preserve">External Affairs Advice and Policy (Scotland) </t>
  </si>
  <si>
    <t>Supports operational delivery for Directorate for Culture and External Affairs teams.</t>
  </si>
  <si>
    <t>Minor changes</t>
  </si>
  <si>
    <t>International Development Administration</t>
  </si>
  <si>
    <t>Deletion of budget line for budget reattribution to Internationl Development and Humanitarian Aid</t>
  </si>
  <si>
    <t>Budget line attribution</t>
  </si>
  <si>
    <t>Scottish Affairs Office China</t>
  </si>
  <si>
    <t>Supports the running of the Scottish Government Office in Beijing and associated activities aligned with the National Performance Framework</t>
  </si>
  <si>
    <t>Scottish Affairs Office United States</t>
  </si>
  <si>
    <t>Supports the running of the Scottish Government Office in Washington and associated activities aligned with the National Performance Framework</t>
  </si>
  <si>
    <t>Scottish Affairs Office Canada</t>
  </si>
  <si>
    <t>Supports the running of the Scottish Government Office in Ottawa and associated activities aligned with the National Performance Framework</t>
  </si>
  <si>
    <t>International Development Fund</t>
  </si>
  <si>
    <t>Supports Development Programmes delivered by a range of organisations working with partners overseas and orovides immediate and effective assistance to reduce the threat to life and wellbeing of a large number of a population caused by disasters, disease and conflict</t>
  </si>
  <si>
    <t>Increased funding.</t>
  </si>
  <si>
    <t>International Relations</t>
  </si>
  <si>
    <t>Supports the delivery of Scottish Government international engagement</t>
  </si>
  <si>
    <t>3% reduction on 24/25 portfolio allocated budget</t>
  </si>
  <si>
    <t>Humanitarian Aid</t>
  </si>
  <si>
    <t>Brand Scotland Policy and Co-ordination</t>
  </si>
  <si>
    <t>Supports a range of activity aimed at enhancing Scotland’s global reputation through continuing commitment to the established Brand Scotland collaboration including tailored content and support for the SG International Network of Offices and maintenance of key international website Scotland.org. This budget also supports the Scottish Council on Global Affairs  - a hub for research and policy-informed, non-partisan debate on international relations and global politics.</t>
  </si>
  <si>
    <t>European Strategy</t>
  </si>
  <si>
    <t>Supports the delivery of Scottish Government European engagement</t>
  </si>
  <si>
    <t>Scottish Government Office Paris</t>
  </si>
  <si>
    <t>Supports the running of the Scottish Government Office in Paris and associated activities aligned with the National Performance Framework</t>
  </si>
  <si>
    <t>Scottish Government Office Copenhagen</t>
  </si>
  <si>
    <t>Supports the running of the Scottish Government Office in Copenhagen and associated activities aligned with the National Performance Framework</t>
  </si>
  <si>
    <t>Brussels Office</t>
  </si>
  <si>
    <t>Supports the running of the Scottish Government Office in Brussels and associated activities aligned with the National Performance Framework</t>
  </si>
  <si>
    <t>Scotland House: London</t>
  </si>
  <si>
    <t>Supports the running of the Scottish Government Office in London and associated activities aligned with the National Performance Framework</t>
  </si>
  <si>
    <t>Reflects IFRS 16 adjustments and other minor changes</t>
  </si>
  <si>
    <t>Scottish Government Office Dublin</t>
  </si>
  <si>
    <t>Supports the running of the Scottish Government Office in Dublin and associated activities aligned with the National Performance Framework</t>
  </si>
  <si>
    <t>Scottish Government Office Berlin</t>
  </si>
  <si>
    <t>Supports the running of the Scottish Government Office in Berlin and associated activities aligned with the National Performance Framework</t>
  </si>
  <si>
    <t>Total - International and European Relations</t>
  </si>
  <si>
    <t xml:space="preserve">British Irish Council </t>
  </si>
  <si>
    <t>The BIC budget covers the Scottish Government’s participation in British Irish Council activities including the SG contribution to the running costs of the BIC Standing Secretariat in Edinburgh.</t>
  </si>
  <si>
    <t>No changes to funding provided by the portfolio.</t>
  </si>
  <si>
    <t xml:space="preserve">Total - British Irish Council </t>
  </si>
  <si>
    <t>Total - External Affairs</t>
  </si>
  <si>
    <t>TOTAL Constitution, External Affairs and Culture</t>
  </si>
  <si>
    <t>Level 1</t>
  </si>
  <si>
    <t>Level 4</t>
  </si>
  <si>
    <t>Fiscal resource
2024-2025
(£millions)</t>
  </si>
  <si>
    <t>Non cash
2024-2025
(£millions)</t>
  </si>
  <si>
    <t>Capital
2024-2025
(£millions)</t>
  </si>
  <si>
    <t>Financial transactions
2024-2025
(£millions)</t>
  </si>
  <si>
    <t>UK funded annually managed expenditure
2024-2025
(£millions)</t>
  </si>
  <si>
    <t>Fiscal resource
2025-2026
(£millions)</t>
  </si>
  <si>
    <t>Non cash
2025-2026
(£millions)</t>
  </si>
  <si>
    <t>Capital
2025-2026
(£millions)</t>
  </si>
  <si>
    <t>Financial transactions
2025-2026
(£millions)</t>
  </si>
  <si>
    <t>UK funded annually managed expenditure
2025-2026
(£millions)</t>
  </si>
  <si>
    <t>Scottish budget
2025-2026
(£millions)</t>
  </si>
  <si>
    <t>Crown Office and Procurator Fiscal Service</t>
  </si>
  <si>
    <t>Scottish Parliament</t>
  </si>
  <si>
    <t>Audit Scotland</t>
  </si>
  <si>
    <t>Change 2025-26 on 2024-25</t>
  </si>
  <si>
    <t>Autumn Budget Revision 2024-25
2024-2025
(£millions)</t>
  </si>
  <si>
    <t>Additional funding will support increased running costs.  Includes transfer into budget line of funding to deliver Brave@Heart awards.</t>
  </si>
  <si>
    <t>Total Secure Scotland Veterans</t>
  </si>
  <si>
    <t>Total Victim/Witness Support</t>
  </si>
  <si>
    <t>Level 4 Data</t>
  </si>
  <si>
    <t>Scottish Budget: 2025-26</t>
  </si>
  <si>
    <t>£1.5 billion of ABR transfers processed.  Budget to budget increase includes £285m additional core grant uplift, £86.2m Teacher Pensions, £62.7 additional GRG uplift and £77.5m for LG pay</t>
  </si>
  <si>
    <t>Updated estimates from LAs and forecasts from SFC - increase is offset by reduction in GRG as SG gaurantees each council their share of GRG and distributable NDR</t>
  </si>
  <si>
    <t>£60m transferred at ABR - budget to budget increase includes £48.1m additional GeneralCapital Grant</t>
  </si>
  <si>
    <t>£24.5m transfferred at ABR.  Budget to budget comparison incldes £8.6m uplift for Inter Islands Connectivitiy</t>
  </si>
  <si>
    <t>£23.9m transferred at ABR.  Additional funding for Inter-islands connectivity £20m £40m for Climate Change, £12.4m for SPT and £2.6m for VDLF</t>
  </si>
  <si>
    <t xml:space="preserve">NHS Territorial Boards will receive allocation increases of  for 2024-25 compared to the 2023-24 Scottish Budget. This includes a baseline uplifts of 3%, presenting a real term increase of 0.6% and recurring allocations transferred to baseline funding, with a significant increase as a result of pay awards </t>
  </si>
  <si>
    <t>National Boards will receive a 3% baseline uplift, including recurring allocations transferred to baseline funding.</t>
  </si>
  <si>
    <t>Funding of primary medical services commissioned by NHS Boards and delivered through GP practices. We will use the performance and reform package bundle to deliver additional targeted enhanced services in General Practice. This will aim to increase overall GMS investment by a further £10.5m (beyond the initial £14m) and will be determined in-year with the profession and local areas.</t>
  </si>
  <si>
    <t>Funding is used to deliver payment of fees and allowances  to contractors who provide a full range of NHS preventive care and dental treatments, including universally free dental examinations. The 2025-26 budget includes additional funding to support dentistry reform and continued access to NHS services. We will use the performance and reform package bundle to deliver additional measures to support NHS dental workforce, both expanding the number of dental students in Scotland and training international dental care professionals already working in Scotland to articulate to full dentist status.</t>
  </si>
  <si>
    <t xml:space="preserve">This budget provides record investment in our Scottish eyecare system to maintain free universal NHS eye examinations, and to continue roll-out of our flagship Community Glaucoma Service, which is safely, sustainably and cost-effectively taking patients off hospital waiting lists.  It also funds NHS Optical Vouchers and a range of other grants and allowances. We will use the performance and reform package bundle to deliver further shifts in eyecare from hospital-based services to primary and community settings, moving 20,000 optometry patients out of hospital pathways by December 2026. </t>
  </si>
  <si>
    <t>Funding to deliver the mental health strategy delivery and work force action plans, specifically Mental Health Workforce &amp; Primary Care, Data &amp; Digital, Forensic Mental Health, Mental Health Performance, the Mental Health Outcomes Framework (including CAMHS and Psychological Therapies) and Mental Health Care, Quality and Standards.</t>
  </si>
  <si>
    <t>Funding to deliver the mental health strategy delivery plan.  This includes Perinatal and Early Years Mental Health, Children &amp; Young People’s Mental Health &amp; Crisis Services. Funding also supports Child &amp; Adolescent Mental Health Services and Eating Disorders, Mental Wellbeing &amp; Prevention (including the Communities Mental Health and Wellbeing Fund for adults), Suicide Prevention, Distress Intervention &amp; Self Harm and Mental Health Strategy &amp; Co-ordination.</t>
  </si>
  <si>
    <t xml:space="preserve">Includes pay uplift to support continuing delivery of programmes partially offset by the transfer of  budget to Local Government core funding for delivery of children and young people's community-based mental health and wellbeing support. </t>
  </si>
  <si>
    <t xml:space="preserve">Minimal movement in budget reflecting expected intake.
</t>
  </si>
  <si>
    <t>Largely reflects in year funding transfer to support the costs of musculoskeletal physiotherapists.</t>
  </si>
  <si>
    <t>Budget reflects anticipated spend.</t>
  </si>
  <si>
    <t>Package of support for Social Care for which the majority of funding is transferred to the Local Government settlement for investment in social care and integration.  This includes investment in delivering reform and improvement in the delivery of social care services in areas including dementia, Self-Directed Support and the Carers Act.</t>
  </si>
  <si>
    <t>This budget line covers a number of small value budgets such as Learning Disabilities - The same as you?, Adult Survivors of Childhood Sexual Abuse, the Health Directorate's contribution to the British Sign Language Bill and staff resource costs.</t>
  </si>
  <si>
    <t>Funding to alleviate financial costs for families visiting young in-patients. The fund is an expansion of the previous Neonatal Expenses Fund and now covers all in-patients under the age of 18.</t>
  </si>
  <si>
    <t>Increased funding to delivering specialist support across the country for these conditions.</t>
  </si>
  <si>
    <t>Includes a range of services including Openness and Learning Unit, Cochlear Implants, Community Care Section 10 grants and Quality and Safety budget. The budget also includes staff costs.</t>
  </si>
  <si>
    <t>In year transfer of funding to deliver the Scan for Safety Programme and Sexual Assault Response Coordination Service (SARCS) national awareness raising campaign.</t>
  </si>
  <si>
    <t>Minor movement, with funding reflecting anticipated demand.</t>
  </si>
  <si>
    <t>Social Care Support</t>
  </si>
  <si>
    <t>Climate Emergency</t>
  </si>
  <si>
    <t>Investment in local prevention, treatment, recovery and dealing with the consequences of problem alcohol and drug use. This includes an additional £1m funding to develop services for mothers who use drugs and their babies, and investment of a further £1.5m in broader drugs and alcohol services.</t>
  </si>
  <si>
    <t xml:space="preserve">Funds provided to support workforce costs, inlcuding pensions and pay settlement and to create an Offshore Wind Skills Programme and College Care Skills Programme </t>
  </si>
  <si>
    <t>Provides support for the delivery of concessionary travel schemes including the u22 and Older and Disabled Peoples Schemes and the bus fare cap pilot.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</si>
</sst>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quot;-&quot;"/>
    <numFmt numFmtId="165" formatCode="##,##0.000;\(##,##0.000\);\-"/>
    <numFmt numFmtId="166" formatCode="#,##0.000;[Red]\(#,##0.000\);&quot;-&quot;"/>
    <numFmt numFmtId="167" formatCode="#,##0.0"/>
    <numFmt numFmtId="168" formatCode="#,##0.000;[Red]\(#,##0.000\);\-"/>
    <numFmt numFmtId="169" formatCode="#,##0.000"/>
    <numFmt numFmtId="170" formatCode="0.0%"/>
    <numFmt numFmtId="171" formatCode="0.000"/>
    <numFmt numFmtId="172" formatCode="#,##0;[Red]\(#,##0\)"/>
    <numFmt numFmtId="173" formatCode="#,##0.000;\(#,##0.000\);\-"/>
    <numFmt numFmtId="174" formatCode="_(* #,##0.00_);_(* \(#,##0.00\);_(* &quot;-&quot;??_);_(@_)"/>
    <numFmt numFmtId="175" formatCode="#,##0;\(#,##0\)"/>
    <numFmt numFmtId="176" formatCode="#,##0.0_ ;[Red]\-#,##0.0\ "/>
  </numFmts>
  <fonts count="42" x14ac:knownFonts="1">
    <font>
      <sz val="11"/>
      <color theme="1"/>
      <name val="Calibri"/>
      <family val="2"/>
      <scheme val="minor"/>
    </font>
    <font>
      <sz val="11"/>
      <color theme="1"/>
      <name val="Calibri"/>
      <family val="2"/>
      <scheme val="minor"/>
    </font>
    <font>
      <sz val="11"/>
      <color theme="0"/>
      <name val="Calibri"/>
      <family val="2"/>
      <scheme val="minor"/>
    </font>
    <font>
      <sz val="12"/>
      <name val="Times New Roman"/>
      <family val="1"/>
    </font>
    <font>
      <sz val="12"/>
      <color theme="1"/>
      <name val="Arial"/>
      <family val="2"/>
    </font>
    <font>
      <sz val="10"/>
      <color theme="1"/>
      <name val="Arial"/>
      <family val="2"/>
    </font>
    <font>
      <b/>
      <sz val="16"/>
      <color theme="0"/>
      <name val="Clan-News"/>
    </font>
    <font>
      <sz val="10"/>
      <color rgb="FF006100"/>
      <name val="Arial"/>
      <family val="2"/>
    </font>
    <font>
      <b/>
      <sz val="12"/>
      <color theme="0"/>
      <name val="Clan-News"/>
    </font>
    <font>
      <sz val="12"/>
      <color theme="1"/>
      <name val="Clan-News"/>
    </font>
    <font>
      <b/>
      <sz val="18"/>
      <color theme="0"/>
      <name val="Clan-News"/>
    </font>
    <font>
      <sz val="10"/>
      <name val="Verdana"/>
      <family val="2"/>
    </font>
    <font>
      <sz val="12"/>
      <name val="Clan-News"/>
    </font>
    <font>
      <b/>
      <sz val="12"/>
      <name val="Clan-News"/>
    </font>
    <font>
      <b/>
      <sz val="12"/>
      <color indexed="9"/>
      <name val="Clan-News"/>
    </font>
    <font>
      <b/>
      <sz val="12"/>
      <color theme="1"/>
      <name val="Clan-News"/>
    </font>
    <font>
      <sz val="10"/>
      <color indexed="8"/>
      <name val="Arial"/>
      <family val="2"/>
    </font>
    <font>
      <b/>
      <sz val="12"/>
      <name val="Arial"/>
      <family val="2"/>
    </font>
    <font>
      <sz val="12"/>
      <color indexed="8"/>
      <name val="Clan-News"/>
    </font>
    <font>
      <sz val="12"/>
      <color indexed="17"/>
      <name val="Arial"/>
      <family val="2"/>
    </font>
    <font>
      <sz val="12"/>
      <color indexed="9"/>
      <name val="Clan-News"/>
    </font>
    <font>
      <sz val="10"/>
      <name val="Arial"/>
      <family val="2"/>
    </font>
    <font>
      <sz val="12"/>
      <color rgb="FF212121"/>
      <name val="Clan-News"/>
    </font>
    <font>
      <sz val="12"/>
      <color rgb="FF000000"/>
      <name val="Clan-News"/>
    </font>
    <font>
      <sz val="11"/>
      <color theme="1"/>
      <name val="Clan-News"/>
    </font>
    <font>
      <sz val="12"/>
      <color theme="0"/>
      <name val="Clan-News"/>
    </font>
    <font>
      <sz val="12"/>
      <color rgb="FF006100"/>
      <name val="Arial"/>
      <family val="2"/>
    </font>
    <font>
      <b/>
      <sz val="12"/>
      <color rgb="FFFF0000"/>
      <name val="Clan-News"/>
    </font>
    <font>
      <sz val="12"/>
      <color rgb="FFFF0000"/>
      <name val="Clan-News"/>
    </font>
    <font>
      <sz val="11"/>
      <name val="Calibri"/>
      <family val="2"/>
      <scheme val="minor"/>
    </font>
    <font>
      <b/>
      <sz val="12"/>
      <color theme="0" tint="-4.9989318521683403E-2"/>
      <name val="Clan-News"/>
    </font>
    <font>
      <sz val="14"/>
      <name val="Clan-News"/>
    </font>
    <font>
      <sz val="14"/>
      <color theme="1"/>
      <name val="Calibri"/>
      <family val="2"/>
      <scheme val="minor"/>
    </font>
    <font>
      <sz val="14"/>
      <color theme="1"/>
      <name val="Clan-News"/>
    </font>
    <font>
      <u/>
      <sz val="11"/>
      <color theme="10"/>
      <name val="Calibri"/>
      <family val="2"/>
      <scheme val="minor"/>
    </font>
    <font>
      <b/>
      <sz val="14"/>
      <name val="Clan-News"/>
    </font>
    <font>
      <b/>
      <sz val="10"/>
      <color theme="1"/>
      <name val="Clan-News"/>
    </font>
    <font>
      <b/>
      <sz val="14"/>
      <color theme="1"/>
      <name val="Clan-News"/>
    </font>
    <font>
      <sz val="11"/>
      <name val="Clan-News"/>
    </font>
    <font>
      <b/>
      <sz val="20"/>
      <color rgb="FFFFFFFF"/>
      <name val="Clan-News"/>
    </font>
    <font>
      <u/>
      <sz val="16"/>
      <color theme="10"/>
      <name val="Calibri"/>
      <family val="2"/>
      <scheme val="minor"/>
    </font>
    <font>
      <sz val="16"/>
      <color theme="1"/>
      <name val="Calibri"/>
      <family val="2"/>
      <scheme val="minor"/>
    </font>
  </fonts>
  <fills count="10">
    <fill>
      <patternFill patternType="none"/>
    </fill>
    <fill>
      <patternFill patternType="gray125"/>
    </fill>
    <fill>
      <patternFill patternType="solid">
        <fgColor rgb="FFC6EFCE"/>
      </patternFill>
    </fill>
    <fill>
      <patternFill patternType="solid">
        <fgColor rgb="FF000066"/>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8" tint="-0.499984740745262"/>
        <bgColor rgb="FF000000"/>
      </patternFill>
    </fill>
    <fill>
      <patternFill patternType="solid">
        <fgColor theme="8" tint="-0.499984740745262"/>
        <bgColor indexed="64"/>
      </patternFill>
    </fill>
    <fill>
      <patternFill patternType="solid">
        <fgColor rgb="FFFFFF00"/>
        <bgColor indexed="64"/>
      </patternFill>
    </fill>
  </fills>
  <borders count="27">
    <border>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theme="0"/>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indexed="64"/>
      </right>
      <top/>
      <bottom style="thin">
        <color indexed="64"/>
      </bottom>
      <diagonal/>
    </border>
    <border>
      <left style="medium">
        <color auto="1"/>
      </left>
      <right style="medium">
        <color auto="1"/>
      </right>
      <top/>
      <bottom/>
      <diagonal/>
    </border>
    <border>
      <left style="medium">
        <color indexed="64"/>
      </left>
      <right style="medium">
        <color indexed="64"/>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diagonal/>
    </border>
    <border>
      <left style="thin">
        <color theme="0"/>
      </left>
      <right/>
      <top style="thin">
        <color theme="0"/>
      </top>
      <bottom style="thin">
        <color theme="0"/>
      </bottom>
      <diagonal/>
    </border>
    <border>
      <left style="medium">
        <color indexed="64"/>
      </left>
      <right style="medium">
        <color indexed="64"/>
      </right>
      <top/>
      <bottom style="medium">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s>
  <cellStyleXfs count="23">
    <xf numFmtId="0" fontId="0" fillId="0" borderId="0"/>
    <xf numFmtId="9" fontId="1" fillId="0" borderId="0" applyFont="0" applyFill="0" applyBorder="0" applyAlignment="0" applyProtection="0"/>
    <xf numFmtId="0" fontId="3" fillId="0" borderId="0"/>
    <xf numFmtId="0" fontId="4" fillId="0" borderId="0"/>
    <xf numFmtId="0" fontId="5" fillId="0" borderId="0"/>
    <xf numFmtId="0" fontId="7" fillId="2" borderId="0" applyNumberFormat="0" applyBorder="0" applyAlignment="0" applyProtection="0"/>
    <xf numFmtId="0" fontId="11" fillId="0" borderId="0"/>
    <xf numFmtId="0" fontId="3" fillId="0" borderId="0"/>
    <xf numFmtId="0" fontId="16" fillId="0" borderId="0"/>
    <xf numFmtId="0" fontId="3" fillId="0" borderId="0"/>
    <xf numFmtId="0" fontId="19" fillId="0" borderId="0" applyNumberFormat="0" applyBorder="0" applyAlignment="0" applyProtection="0"/>
    <xf numFmtId="0" fontId="3" fillId="0" borderId="0"/>
    <xf numFmtId="0" fontId="21" fillId="0" borderId="0"/>
    <xf numFmtId="0" fontId="21" fillId="0" borderId="0"/>
    <xf numFmtId="0" fontId="4" fillId="0" borderId="0"/>
    <xf numFmtId="174" fontId="3" fillId="0" borderId="0" applyFont="0" applyFill="0" applyBorder="0" applyAlignment="0" applyProtection="0"/>
    <xf numFmtId="0" fontId="3" fillId="0" borderId="0"/>
    <xf numFmtId="0" fontId="26" fillId="2" borderId="0" applyNumberFormat="0" applyBorder="0" applyAlignment="0" applyProtection="0"/>
    <xf numFmtId="174" fontId="21" fillId="0" borderId="0" applyFont="0" applyFill="0" applyBorder="0" applyAlignment="0" applyProtection="0"/>
    <xf numFmtId="0" fontId="21" fillId="0" borderId="0"/>
    <xf numFmtId="0" fontId="34" fillId="0" borderId="0" applyNumberFormat="0" applyFill="0" applyBorder="0" applyAlignment="0" applyProtection="0"/>
    <xf numFmtId="0" fontId="5" fillId="0" borderId="0"/>
    <xf numFmtId="0" fontId="21" fillId="0" borderId="0"/>
  </cellStyleXfs>
  <cellXfs count="1044">
    <xf numFmtId="0" fontId="0" fillId="0" borderId="0" xfId="0"/>
    <xf numFmtId="0" fontId="0" fillId="0" borderId="0" xfId="0" applyAlignment="1">
      <alignment wrapText="1"/>
    </xf>
    <xf numFmtId="164" fontId="6" fillId="3" borderId="0" xfId="4" applyNumberFormat="1" applyFont="1" applyFill="1" applyAlignment="1">
      <alignment horizontal="center" vertical="center" wrapText="1"/>
    </xf>
    <xf numFmtId="166" fontId="8" fillId="3" borderId="0" xfId="5" applyNumberFormat="1" applyFont="1" applyFill="1" applyBorder="1" applyAlignment="1" applyProtection="1">
      <alignment horizontal="center" vertical="center" wrapText="1"/>
    </xf>
    <xf numFmtId="167" fontId="8" fillId="3" borderId="0" xfId="5" applyNumberFormat="1" applyFont="1" applyFill="1" applyBorder="1" applyAlignment="1" applyProtection="1">
      <alignment horizontal="center" vertical="center" wrapText="1"/>
    </xf>
    <xf numFmtId="0" fontId="8" fillId="3" borderId="0" xfId="4" applyFont="1" applyFill="1" applyAlignment="1">
      <alignment horizontal="center" vertical="center" wrapText="1"/>
    </xf>
    <xf numFmtId="0" fontId="8" fillId="3" borderId="8" xfId="4" applyFont="1" applyFill="1" applyBorder="1" applyAlignment="1">
      <alignment horizontal="center" vertical="center" wrapText="1"/>
    </xf>
    <xf numFmtId="0" fontId="9" fillId="0" borderId="0" xfId="3" applyFont="1"/>
    <xf numFmtId="164" fontId="10" fillId="3" borderId="11" xfId="4" applyNumberFormat="1" applyFont="1" applyFill="1" applyBorder="1" applyAlignment="1">
      <alignment horizontal="center" vertical="center" wrapText="1"/>
    </xf>
    <xf numFmtId="166" fontId="8" fillId="3" borderId="11" xfId="5" applyNumberFormat="1" applyFont="1" applyFill="1" applyBorder="1" applyAlignment="1" applyProtection="1">
      <alignment horizontal="center" vertical="center" wrapText="1"/>
    </xf>
    <xf numFmtId="167" fontId="8" fillId="3" borderId="11" xfId="5" applyNumberFormat="1" applyFont="1" applyFill="1" applyBorder="1" applyAlignment="1" applyProtection="1">
      <alignment horizontal="center" vertical="center" wrapText="1"/>
    </xf>
    <xf numFmtId="0" fontId="6" fillId="3" borderId="11" xfId="4" applyFont="1" applyFill="1" applyBorder="1" applyAlignment="1">
      <alignment horizontal="center" vertical="center" wrapText="1"/>
    </xf>
    <xf numFmtId="0" fontId="6" fillId="3" borderId="12" xfId="4" applyFont="1" applyFill="1" applyBorder="1" applyAlignment="1">
      <alignment horizontal="center" vertical="center" wrapText="1"/>
    </xf>
    <xf numFmtId="0" fontId="12" fillId="0" borderId="0" xfId="6" applyFont="1" applyAlignment="1">
      <alignment wrapText="1"/>
    </xf>
    <xf numFmtId="168" fontId="12" fillId="0" borderId="0" xfId="6" applyNumberFormat="1" applyFont="1" applyAlignment="1">
      <alignment horizontal="right"/>
    </xf>
    <xf numFmtId="168" fontId="13" fillId="0" borderId="0" xfId="6" applyNumberFormat="1" applyFont="1" applyAlignment="1">
      <alignment horizontal="right"/>
    </xf>
    <xf numFmtId="10" fontId="12" fillId="0" borderId="0" xfId="6" applyNumberFormat="1" applyFont="1" applyAlignment="1">
      <alignment horizontal="right"/>
    </xf>
    <xf numFmtId="0" fontId="12" fillId="0" borderId="0" xfId="6" applyFont="1" applyAlignment="1">
      <alignment horizontal="left" vertical="top" wrapText="1"/>
    </xf>
    <xf numFmtId="0" fontId="12" fillId="0" borderId="8" xfId="6" applyFont="1" applyBorder="1" applyAlignment="1">
      <alignment horizontal="left" vertical="top" wrapText="1"/>
    </xf>
    <xf numFmtId="0" fontId="14" fillId="3" borderId="4" xfId="7" applyFont="1" applyFill="1" applyBorder="1" applyAlignment="1">
      <alignment horizontal="left" vertical="center" wrapText="1"/>
    </xf>
    <xf numFmtId="169" fontId="14" fillId="3" borderId="4" xfId="7" applyNumberFormat="1" applyFont="1" applyFill="1" applyBorder="1" applyAlignment="1">
      <alignment horizontal="right" vertical="center"/>
    </xf>
    <xf numFmtId="0" fontId="14" fillId="3" borderId="4" xfId="7" applyFont="1" applyFill="1" applyBorder="1" applyAlignment="1">
      <alignment horizontal="right" vertical="center"/>
    </xf>
    <xf numFmtId="0" fontId="14" fillId="3" borderId="4" xfId="7" applyFont="1" applyFill="1" applyBorder="1" applyAlignment="1">
      <alignment horizontal="left" vertical="top" wrapText="1"/>
    </xf>
    <xf numFmtId="0" fontId="15" fillId="0" borderId="0" xfId="3" applyFont="1"/>
    <xf numFmtId="2" fontId="12" fillId="0" borderId="4" xfId="7" applyNumberFormat="1" applyFont="1" applyBorder="1" applyAlignment="1">
      <alignment horizontal="left" vertical="center" wrapText="1"/>
    </xf>
    <xf numFmtId="165" fontId="12" fillId="0" borderId="4" xfId="7" applyNumberFormat="1" applyFont="1" applyBorder="1" applyAlignment="1">
      <alignment horizontal="right" vertical="center"/>
    </xf>
    <xf numFmtId="165" fontId="13" fillId="5" borderId="4" xfId="7" applyNumberFormat="1" applyFont="1" applyFill="1" applyBorder="1" applyAlignment="1">
      <alignment horizontal="right" vertical="center"/>
    </xf>
    <xf numFmtId="170" fontId="12" fillId="0" borderId="4" xfId="7" applyNumberFormat="1" applyFont="1" applyBorder="1" applyAlignment="1">
      <alignment horizontal="right" vertical="center"/>
    </xf>
    <xf numFmtId="0" fontId="12" fillId="0" borderId="4" xfId="8" applyFont="1" applyBorder="1" applyAlignment="1">
      <alignment horizontal="left" vertical="top" wrapText="1"/>
    </xf>
    <xf numFmtId="0" fontId="12" fillId="0" borderId="4" xfId="2" applyFont="1" applyBorder="1" applyAlignment="1">
      <alignment horizontal="left" vertical="top" wrapText="1"/>
    </xf>
    <xf numFmtId="0" fontId="13" fillId="5" borderId="4" xfId="7" applyFont="1" applyFill="1" applyBorder="1" applyAlignment="1">
      <alignment horizontal="left" wrapText="1"/>
    </xf>
    <xf numFmtId="165" fontId="13" fillId="5" borderId="4" xfId="7" applyNumberFormat="1" applyFont="1" applyFill="1" applyBorder="1" applyAlignment="1">
      <alignment horizontal="right"/>
    </xf>
    <xf numFmtId="170" fontId="13" fillId="5" borderId="4" xfId="7" applyNumberFormat="1" applyFont="1" applyFill="1" applyBorder="1" applyAlignment="1">
      <alignment horizontal="right" vertical="center"/>
    </xf>
    <xf numFmtId="0" fontId="13" fillId="5" borderId="4" xfId="9" applyFont="1" applyFill="1" applyBorder="1" applyAlignment="1">
      <alignment horizontal="left" vertical="top" wrapText="1"/>
    </xf>
    <xf numFmtId="0" fontId="18" fillId="0" borderId="4" xfId="8" applyFont="1" applyBorder="1" applyAlignment="1">
      <alignment horizontal="left" vertical="top" wrapText="1"/>
    </xf>
    <xf numFmtId="165" fontId="12" fillId="0" borderId="0" xfId="6" applyNumberFormat="1" applyFont="1" applyAlignment="1">
      <alignment horizontal="right"/>
    </xf>
    <xf numFmtId="165" fontId="13" fillId="0" borderId="0" xfId="6" applyNumberFormat="1" applyFont="1" applyAlignment="1">
      <alignment horizontal="right"/>
    </xf>
    <xf numFmtId="170" fontId="12" fillId="0" borderId="0" xfId="6" applyNumberFormat="1" applyFont="1" applyAlignment="1">
      <alignment horizontal="right"/>
    </xf>
    <xf numFmtId="171" fontId="14" fillId="3" borderId="4" xfId="10" applyNumberFormat="1" applyFont="1" applyFill="1" applyBorder="1" applyAlignment="1" applyProtection="1">
      <alignment horizontal="left" vertical="top" wrapText="1"/>
    </xf>
    <xf numFmtId="165" fontId="20" fillId="3" borderId="4" xfId="10" applyNumberFormat="1" applyFont="1" applyFill="1" applyBorder="1" applyAlignment="1" applyProtection="1">
      <alignment horizontal="right" vertical="top"/>
    </xf>
    <xf numFmtId="165" fontId="14" fillId="3" borderId="4" xfId="10" applyNumberFormat="1" applyFont="1" applyFill="1" applyBorder="1" applyAlignment="1" applyProtection="1">
      <alignment horizontal="right" vertical="top"/>
    </xf>
    <xf numFmtId="170" fontId="14" fillId="3" borderId="4" xfId="10" applyNumberFormat="1" applyFont="1" applyFill="1" applyBorder="1" applyAlignment="1" applyProtection="1">
      <alignment horizontal="right" vertical="top"/>
    </xf>
    <xf numFmtId="165" fontId="14" fillId="3" borderId="4" xfId="7" applyNumberFormat="1" applyFont="1" applyFill="1" applyBorder="1" applyAlignment="1">
      <alignment horizontal="right" vertical="center"/>
    </xf>
    <xf numFmtId="170" fontId="14" fillId="3" borderId="4" xfId="7" applyNumberFormat="1" applyFont="1" applyFill="1" applyBorder="1" applyAlignment="1">
      <alignment horizontal="right" vertical="center"/>
    </xf>
    <xf numFmtId="0" fontId="12" fillId="0" borderId="4" xfId="7" applyFont="1" applyBorder="1" applyAlignment="1">
      <alignment horizontal="left" vertical="center" wrapText="1"/>
    </xf>
    <xf numFmtId="0" fontId="12" fillId="0" borderId="13" xfId="7" applyFont="1" applyBorder="1" applyAlignment="1">
      <alignment horizontal="left" vertical="top" wrapText="1"/>
    </xf>
    <xf numFmtId="0" fontId="12" fillId="0" borderId="4" xfId="8" applyFont="1" applyBorder="1" applyAlignment="1">
      <alignment vertical="center" wrapText="1"/>
    </xf>
    <xf numFmtId="165" fontId="12" fillId="0" borderId="4" xfId="8" applyNumberFormat="1" applyFont="1" applyBorder="1" applyAlignment="1">
      <alignment horizontal="right" vertical="center"/>
    </xf>
    <xf numFmtId="171" fontId="14" fillId="3" borderId="14" xfId="10" applyNumberFormat="1" applyFont="1" applyFill="1" applyBorder="1" applyAlignment="1" applyProtection="1">
      <alignment horizontal="left" vertical="top" wrapText="1"/>
    </xf>
    <xf numFmtId="165" fontId="14" fillId="3" borderId="0" xfId="10" applyNumberFormat="1" applyFont="1" applyFill="1" applyBorder="1" applyAlignment="1" applyProtection="1">
      <alignment horizontal="right" vertical="top"/>
    </xf>
    <xf numFmtId="170" fontId="14" fillId="3" borderId="0" xfId="10" applyNumberFormat="1" applyFont="1" applyFill="1" applyBorder="1" applyAlignment="1" applyProtection="1">
      <alignment horizontal="right" vertical="top"/>
    </xf>
    <xf numFmtId="0" fontId="14" fillId="3" borderId="15" xfId="7" applyFont="1" applyFill="1" applyBorder="1" applyAlignment="1">
      <alignment horizontal="left" vertical="center" wrapText="1"/>
    </xf>
    <xf numFmtId="165" fontId="14" fillId="3" borderId="0" xfId="7" applyNumberFormat="1" applyFont="1" applyFill="1" applyAlignment="1">
      <alignment horizontal="right" vertical="center"/>
    </xf>
    <xf numFmtId="170" fontId="14" fillId="3" borderId="0" xfId="7" applyNumberFormat="1" applyFont="1" applyFill="1" applyAlignment="1">
      <alignment horizontal="right" vertical="center"/>
    </xf>
    <xf numFmtId="0" fontId="12" fillId="0" borderId="4" xfId="8" applyFont="1" applyBorder="1" applyAlignment="1">
      <alignment horizontal="left" vertical="center" wrapText="1"/>
    </xf>
    <xf numFmtId="0" fontId="12" fillId="0" borderId="4" xfId="7" applyFont="1" applyBorder="1" applyAlignment="1">
      <alignment horizontal="left" vertical="top" wrapText="1"/>
    </xf>
    <xf numFmtId="171" fontId="14" fillId="3" borderId="4" xfId="10" applyNumberFormat="1" applyFont="1" applyFill="1" applyBorder="1" applyAlignment="1" applyProtection="1">
      <alignment horizontal="right" vertical="top" wrapText="1"/>
    </xf>
    <xf numFmtId="0" fontId="12" fillId="0" borderId="3" xfId="8" applyFont="1" applyBorder="1" applyAlignment="1">
      <alignment vertical="center" wrapText="1"/>
    </xf>
    <xf numFmtId="165" fontId="12" fillId="0" borderId="3" xfId="8" applyNumberFormat="1" applyFont="1" applyBorder="1" applyAlignment="1">
      <alignment horizontal="right" vertical="center"/>
    </xf>
    <xf numFmtId="171" fontId="14" fillId="3" borderId="14" xfId="10" applyNumberFormat="1" applyFont="1" applyFill="1" applyBorder="1" applyAlignment="1" applyProtection="1">
      <alignment horizontal="right" vertical="top" wrapText="1"/>
    </xf>
    <xf numFmtId="0" fontId="13" fillId="0" borderId="0" xfId="7" applyFont="1" applyAlignment="1">
      <alignment horizontal="left" vertical="center" wrapText="1"/>
    </xf>
    <xf numFmtId="165" fontId="12" fillId="0" borderId="0" xfId="7" applyNumberFormat="1" applyFont="1" applyAlignment="1">
      <alignment horizontal="right" vertical="center"/>
    </xf>
    <xf numFmtId="165" fontId="13" fillId="0" borderId="0" xfId="7" applyNumberFormat="1" applyFont="1" applyAlignment="1">
      <alignment horizontal="right" vertical="center"/>
    </xf>
    <xf numFmtId="170" fontId="13" fillId="0" borderId="0" xfId="7" applyNumberFormat="1" applyFont="1" applyAlignment="1">
      <alignment horizontal="right" vertical="center"/>
    </xf>
    <xf numFmtId="0" fontId="13" fillId="0" borderId="0" xfId="9" applyFont="1" applyAlignment="1">
      <alignment horizontal="left" vertical="top" wrapText="1"/>
    </xf>
    <xf numFmtId="0" fontId="12" fillId="0" borderId="5" xfId="8" applyFont="1" applyBorder="1" applyAlignment="1">
      <alignment horizontal="left" vertical="center" wrapText="1"/>
    </xf>
    <xf numFmtId="165" fontId="12" fillId="0" borderId="3" xfId="8" applyNumberFormat="1" applyFont="1" applyBorder="1" applyAlignment="1">
      <alignment horizontal="right" vertical="center" shrinkToFit="1"/>
    </xf>
    <xf numFmtId="0" fontId="12" fillId="0" borderId="4" xfId="6" applyFont="1" applyBorder="1" applyAlignment="1">
      <alignment horizontal="left" vertical="top" wrapText="1"/>
    </xf>
    <xf numFmtId="0" fontId="12" fillId="0" borderId="4" xfId="8" applyFont="1" applyBorder="1" applyAlignment="1">
      <alignment horizontal="left" vertical="center" wrapText="1" shrinkToFit="1"/>
    </xf>
    <xf numFmtId="165" fontId="12" fillId="0" borderId="4" xfId="8" applyNumberFormat="1" applyFont="1" applyBorder="1" applyAlignment="1">
      <alignment horizontal="right" vertical="center" shrinkToFit="1"/>
    </xf>
    <xf numFmtId="0" fontId="13" fillId="0" borderId="0" xfId="7" applyFont="1" applyAlignment="1">
      <alignment horizontal="left" wrapText="1"/>
    </xf>
    <xf numFmtId="165" fontId="12" fillId="0" borderId="0" xfId="7" applyNumberFormat="1" applyFont="1" applyAlignment="1">
      <alignment horizontal="right"/>
    </xf>
    <xf numFmtId="165" fontId="13" fillId="0" borderId="0" xfId="7" applyNumberFormat="1" applyFont="1" applyAlignment="1">
      <alignment horizontal="right"/>
    </xf>
    <xf numFmtId="170" fontId="13" fillId="0" borderId="0" xfId="7" applyNumberFormat="1" applyFont="1" applyAlignment="1">
      <alignment horizontal="right"/>
    </xf>
    <xf numFmtId="0" fontId="13" fillId="0" borderId="8" xfId="9" applyFont="1" applyBorder="1" applyAlignment="1">
      <alignment horizontal="left" vertical="top" wrapText="1"/>
    </xf>
    <xf numFmtId="0" fontId="12" fillId="0" borderId="13" xfId="11" applyFont="1" applyBorder="1" applyAlignment="1">
      <alignment horizontal="left" vertical="top" wrapText="1"/>
    </xf>
    <xf numFmtId="0" fontId="14" fillId="3" borderId="9" xfId="7" applyFont="1" applyFill="1" applyBorder="1" applyAlignment="1">
      <alignment horizontal="left" vertical="top" wrapText="1"/>
    </xf>
    <xf numFmtId="0" fontId="12" fillId="4" borderId="4" xfId="7" applyFont="1" applyFill="1" applyBorder="1" applyAlignment="1">
      <alignment horizontal="left" vertical="top" wrapText="1"/>
    </xf>
    <xf numFmtId="0" fontId="18" fillId="0" borderId="4" xfId="8" applyFont="1" applyBorder="1" applyAlignment="1">
      <alignment vertical="center" wrapText="1"/>
    </xf>
    <xf numFmtId="165" fontId="18" fillId="0" borderId="4" xfId="8" applyNumberFormat="1" applyFont="1" applyBorder="1" applyAlignment="1">
      <alignment horizontal="right" vertical="center"/>
    </xf>
    <xf numFmtId="0" fontId="9" fillId="0" borderId="4" xfId="0" applyFont="1" applyBorder="1" applyAlignment="1">
      <alignment horizontal="left" vertical="top" wrapText="1"/>
    </xf>
    <xf numFmtId="170" fontId="12" fillId="0" borderId="0" xfId="7" applyNumberFormat="1" applyFont="1" applyAlignment="1">
      <alignment horizontal="right" vertical="center"/>
    </xf>
    <xf numFmtId="0" fontId="13" fillId="0" borderId="4" xfId="9" applyFont="1" applyBorder="1" applyAlignment="1">
      <alignment horizontal="left" vertical="top" wrapText="1"/>
    </xf>
    <xf numFmtId="0" fontId="12" fillId="0" borderId="13" xfId="8" applyFont="1" applyBorder="1" applyAlignment="1">
      <alignment horizontal="left" vertical="top" wrapText="1"/>
    </xf>
    <xf numFmtId="0" fontId="12" fillId="0" borderId="7" xfId="8" applyFont="1" applyBorder="1" applyAlignment="1">
      <alignment vertical="center" wrapText="1"/>
    </xf>
    <xf numFmtId="0" fontId="12" fillId="0" borderId="0" xfId="8" applyFont="1" applyAlignment="1">
      <alignment vertical="center" wrapText="1"/>
    </xf>
    <xf numFmtId="0" fontId="12" fillId="0" borderId="5" xfId="8" applyFont="1" applyBorder="1" applyAlignment="1">
      <alignment vertical="center" wrapText="1"/>
    </xf>
    <xf numFmtId="0" fontId="12" fillId="0" borderId="4" xfId="12" applyFont="1" applyBorder="1" applyAlignment="1">
      <alignment horizontal="left" vertical="top" wrapText="1"/>
    </xf>
    <xf numFmtId="171" fontId="14" fillId="3" borderId="13" xfId="10" applyNumberFormat="1" applyFont="1" applyFill="1" applyBorder="1" applyAlignment="1" applyProtection="1">
      <alignment horizontal="left" vertical="top" wrapText="1"/>
    </xf>
    <xf numFmtId="0" fontId="12" fillId="0" borderId="3" xfId="8" applyFont="1" applyBorder="1" applyAlignment="1">
      <alignment horizontal="left" vertical="center" wrapText="1"/>
    </xf>
    <xf numFmtId="0" fontId="22" fillId="0" borderId="4" xfId="0" applyFont="1" applyBorder="1" applyAlignment="1">
      <alignment horizontal="left" vertical="top" wrapText="1"/>
    </xf>
    <xf numFmtId="0" fontId="12" fillId="0" borderId="4" xfId="0" applyFont="1" applyBorder="1" applyAlignment="1">
      <alignment horizontal="left" vertical="top" wrapText="1"/>
    </xf>
    <xf numFmtId="171" fontId="14" fillId="0" borderId="0" xfId="10" applyNumberFormat="1" applyFont="1" applyBorder="1" applyAlignment="1" applyProtection="1">
      <alignment horizontal="right" vertical="top" wrapText="1"/>
    </xf>
    <xf numFmtId="165" fontId="20" fillId="0" borderId="0" xfId="10" applyNumberFormat="1" applyFont="1" applyBorder="1" applyAlignment="1" applyProtection="1">
      <alignment horizontal="right" vertical="top"/>
    </xf>
    <xf numFmtId="165" fontId="14" fillId="0" borderId="0" xfId="10" applyNumberFormat="1" applyFont="1" applyBorder="1" applyAlignment="1" applyProtection="1">
      <alignment horizontal="right" vertical="top"/>
    </xf>
    <xf numFmtId="170" fontId="14" fillId="0" borderId="0" xfId="10" applyNumberFormat="1" applyFont="1" applyBorder="1" applyAlignment="1" applyProtection="1">
      <alignment horizontal="right" vertical="top"/>
    </xf>
    <xf numFmtId="171" fontId="14" fillId="0" borderId="2" xfId="10" applyNumberFormat="1" applyFont="1" applyBorder="1" applyAlignment="1" applyProtection="1">
      <alignment horizontal="left" vertical="top" wrapText="1"/>
    </xf>
    <xf numFmtId="171" fontId="14" fillId="0" borderId="3" xfId="10" applyNumberFormat="1" applyFont="1" applyBorder="1" applyAlignment="1" applyProtection="1">
      <alignment horizontal="left" vertical="top" wrapText="1"/>
    </xf>
    <xf numFmtId="0" fontId="12" fillId="4" borderId="13" xfId="7" applyFont="1" applyFill="1" applyBorder="1" applyAlignment="1">
      <alignment horizontal="left" vertical="top" wrapText="1"/>
    </xf>
    <xf numFmtId="0" fontId="23" fillId="0" borderId="4" xfId="0" applyFont="1" applyBorder="1" applyAlignment="1">
      <alignment horizontal="left" vertical="top" wrapText="1"/>
    </xf>
    <xf numFmtId="172" fontId="12" fillId="0" borderId="7" xfId="0" applyNumberFormat="1" applyFont="1" applyBorder="1" applyAlignment="1">
      <alignment vertical="center" wrapText="1"/>
    </xf>
    <xf numFmtId="0" fontId="9" fillId="0" borderId="0" xfId="3" applyFont="1" applyAlignment="1">
      <alignment vertical="center"/>
    </xf>
    <xf numFmtId="172" fontId="12" fillId="0" borderId="4" xfId="13" applyNumberFormat="1" applyFont="1" applyBorder="1" applyAlignment="1">
      <alignment vertical="center" wrapText="1"/>
    </xf>
    <xf numFmtId="0" fontId="13" fillId="5" borderId="4" xfId="7" applyFont="1" applyFill="1" applyBorder="1" applyAlignment="1">
      <alignment horizontal="left" vertical="top" wrapText="1"/>
    </xf>
    <xf numFmtId="0" fontId="12" fillId="0" borderId="0" xfId="9" applyFont="1" applyAlignment="1">
      <alignment horizontal="left" vertical="top" wrapText="1"/>
    </xf>
    <xf numFmtId="0" fontId="12" fillId="0" borderId="8" xfId="9" applyFont="1" applyBorder="1" applyAlignment="1">
      <alignment horizontal="left" vertical="top" wrapText="1"/>
    </xf>
    <xf numFmtId="0" fontId="12" fillId="0" borderId="19" xfId="7" applyFont="1" applyBorder="1" applyAlignment="1">
      <alignment vertical="center" wrapText="1"/>
    </xf>
    <xf numFmtId="0" fontId="12" fillId="0" borderId="4" xfId="7" applyFont="1" applyBorder="1" applyAlignment="1">
      <alignment vertical="center" wrapText="1"/>
    </xf>
    <xf numFmtId="0" fontId="13" fillId="0" borderId="5" xfId="7" applyFont="1" applyBorder="1" applyAlignment="1">
      <alignment horizontal="left" wrapText="1"/>
    </xf>
    <xf numFmtId="165" fontId="12" fillId="0" borderId="5" xfId="7" applyNumberFormat="1" applyFont="1" applyBorder="1" applyAlignment="1">
      <alignment horizontal="right"/>
    </xf>
    <xf numFmtId="165" fontId="13" fillId="0" borderId="5" xfId="7" applyNumberFormat="1" applyFont="1" applyBorder="1" applyAlignment="1">
      <alignment horizontal="right"/>
    </xf>
    <xf numFmtId="170" fontId="13" fillId="0" borderId="5" xfId="7" applyNumberFormat="1" applyFont="1" applyBorder="1" applyAlignment="1">
      <alignment horizontal="right" vertical="center"/>
    </xf>
    <xf numFmtId="0" fontId="12" fillId="0" borderId="5" xfId="9" applyFont="1" applyBorder="1" applyAlignment="1">
      <alignment horizontal="left" vertical="top" wrapText="1"/>
    </xf>
    <xf numFmtId="0" fontId="12" fillId="0" borderId="7" xfId="9" applyFont="1" applyBorder="1" applyAlignment="1">
      <alignment horizontal="left" vertical="top" wrapText="1"/>
    </xf>
    <xf numFmtId="0" fontId="8" fillId="3" borderId="0" xfId="8" applyFont="1" applyFill="1" applyAlignment="1">
      <alignment horizontal="right" wrapText="1"/>
    </xf>
    <xf numFmtId="165" fontId="8" fillId="3" borderId="0" xfId="8" applyNumberFormat="1" applyFont="1" applyFill="1" applyAlignment="1">
      <alignment horizontal="right"/>
    </xf>
    <xf numFmtId="170" fontId="8" fillId="3" borderId="0" xfId="8" applyNumberFormat="1" applyFont="1" applyFill="1" applyAlignment="1">
      <alignment horizontal="right"/>
    </xf>
    <xf numFmtId="0" fontId="13" fillId="0" borderId="0" xfId="6" applyFont="1" applyAlignment="1">
      <alignment horizontal="left" vertical="top" wrapText="1"/>
    </xf>
    <xf numFmtId="0" fontId="13" fillId="0" borderId="8" xfId="6" applyFont="1" applyBorder="1" applyAlignment="1">
      <alignment horizontal="left" vertical="top" wrapText="1"/>
    </xf>
    <xf numFmtId="0" fontId="13" fillId="0" borderId="4" xfId="7" applyFont="1" applyBorder="1" applyAlignment="1">
      <alignment horizontal="left" vertical="center" wrapText="1"/>
    </xf>
    <xf numFmtId="165" fontId="13" fillId="0" borderId="4" xfId="7" applyNumberFormat="1" applyFont="1" applyBorder="1" applyAlignment="1">
      <alignment horizontal="right" vertical="center"/>
    </xf>
    <xf numFmtId="0" fontId="18" fillId="0" borderId="13" xfId="8" applyFont="1" applyBorder="1" applyAlignment="1">
      <alignment horizontal="left" vertical="top" wrapText="1"/>
    </xf>
    <xf numFmtId="0" fontId="9" fillId="0" borderId="0" xfId="3" applyFont="1" applyAlignment="1">
      <alignment wrapText="1"/>
    </xf>
    <xf numFmtId="170" fontId="9" fillId="0" borderId="0" xfId="3" applyNumberFormat="1" applyFont="1"/>
    <xf numFmtId="0" fontId="9" fillId="0" borderId="0" xfId="3" applyFont="1" applyAlignment="1">
      <alignment horizontal="left" vertical="top"/>
    </xf>
    <xf numFmtId="0" fontId="9" fillId="0" borderId="8" xfId="3" applyFont="1" applyBorder="1" applyAlignment="1">
      <alignment horizontal="left" vertical="top"/>
    </xf>
    <xf numFmtId="0" fontId="0" fillId="5" borderId="10" xfId="0" applyFill="1" applyBorder="1"/>
    <xf numFmtId="164" fontId="6" fillId="3" borderId="15" xfId="4" applyNumberFormat="1" applyFont="1" applyFill="1" applyBorder="1" applyAlignment="1">
      <alignment vertical="center" wrapText="1"/>
    </xf>
    <xf numFmtId="166" fontId="8" fillId="3" borderId="16" xfId="5" applyNumberFormat="1" applyFont="1" applyFill="1" applyBorder="1" applyAlignment="1" applyProtection="1">
      <alignment vertical="center" wrapText="1"/>
    </xf>
    <xf numFmtId="166" fontId="8" fillId="3" borderId="17" xfId="5" applyNumberFormat="1" applyFont="1" applyFill="1" applyBorder="1" applyAlignment="1" applyProtection="1">
      <alignment vertical="center" wrapText="1"/>
    </xf>
    <xf numFmtId="166" fontId="8" fillId="3" borderId="18" xfId="5" applyNumberFormat="1" applyFont="1" applyFill="1" applyBorder="1" applyAlignment="1" applyProtection="1">
      <alignment vertical="center" wrapText="1"/>
    </xf>
    <xf numFmtId="167" fontId="8" fillId="3" borderId="9" xfId="5" applyNumberFormat="1" applyFont="1" applyFill="1" applyBorder="1" applyAlignment="1" applyProtection="1">
      <alignment horizontal="center" vertical="center" wrapText="1"/>
    </xf>
    <xf numFmtId="0" fontId="8" fillId="3" borderId="9" xfId="4" applyFont="1" applyFill="1" applyBorder="1" applyAlignment="1">
      <alignment horizontal="center" vertical="center" wrapText="1"/>
    </xf>
    <xf numFmtId="0" fontId="8" fillId="3" borderId="16" xfId="4" applyFont="1" applyFill="1" applyBorder="1" applyAlignment="1">
      <alignment horizontal="center" vertical="center" wrapText="1"/>
    </xf>
    <xf numFmtId="164" fontId="10" fillId="3" borderId="11" xfId="4" quotePrefix="1" applyNumberFormat="1" applyFont="1" applyFill="1" applyBorder="1" applyAlignment="1">
      <alignment horizontal="center" vertical="center" wrapText="1"/>
    </xf>
    <xf numFmtId="0" fontId="6" fillId="3" borderId="20" xfId="4" applyFont="1" applyFill="1" applyBorder="1" applyAlignment="1">
      <alignment horizontal="center" vertical="center" wrapText="1"/>
    </xf>
    <xf numFmtId="164" fontId="6" fillId="3" borderId="21" xfId="4" applyNumberFormat="1" applyFont="1" applyFill="1" applyBorder="1" applyAlignment="1">
      <alignment vertical="center" wrapText="1"/>
    </xf>
    <xf numFmtId="0" fontId="8" fillId="3" borderId="13" xfId="0" applyFont="1" applyFill="1" applyBorder="1" applyAlignment="1">
      <alignment horizontal="center" vertical="center"/>
    </xf>
    <xf numFmtId="0" fontId="24" fillId="3" borderId="1" xfId="0" applyFont="1" applyFill="1" applyBorder="1" applyAlignment="1">
      <alignment vertical="center"/>
    </xf>
    <xf numFmtId="0" fontId="24" fillId="3" borderId="2" xfId="0" applyFont="1" applyFill="1" applyBorder="1" applyAlignment="1">
      <alignment vertical="center"/>
    </xf>
    <xf numFmtId="0" fontId="9" fillId="4" borderId="22" xfId="0" applyFont="1" applyFill="1" applyBorder="1" applyAlignment="1">
      <alignment wrapText="1"/>
    </xf>
    <xf numFmtId="0" fontId="9" fillId="4" borderId="22" xfId="0" applyFont="1" applyFill="1" applyBorder="1"/>
    <xf numFmtId="165" fontId="8" fillId="3" borderId="6" xfId="11" applyNumberFormat="1" applyFont="1" applyFill="1" applyBorder="1" applyAlignment="1">
      <alignment horizontal="left" vertical="top" wrapText="1"/>
    </xf>
    <xf numFmtId="165" fontId="8" fillId="3" borderId="5" xfId="5" applyNumberFormat="1" applyFont="1" applyFill="1" applyBorder="1" applyAlignment="1" applyProtection="1">
      <alignment horizontal="center" vertical="center"/>
    </xf>
    <xf numFmtId="165" fontId="8" fillId="3" borderId="5" xfId="11" applyNumberFormat="1" applyFont="1" applyFill="1" applyBorder="1" applyAlignment="1">
      <alignment horizontal="center" vertical="center" wrapText="1"/>
    </xf>
    <xf numFmtId="165" fontId="12" fillId="0" borderId="4" xfId="11" applyNumberFormat="1" applyFont="1" applyBorder="1" applyAlignment="1">
      <alignment horizontal="left" vertical="top" wrapText="1"/>
    </xf>
    <xf numFmtId="165" fontId="12" fillId="0" borderId="4" xfId="11" applyNumberFormat="1" applyFont="1" applyBorder="1" applyAlignment="1">
      <alignment horizontal="right" vertical="top" wrapText="1"/>
    </xf>
    <xf numFmtId="165" fontId="13" fillId="5" borderId="4" xfId="11" applyNumberFormat="1" applyFont="1" applyFill="1" applyBorder="1" applyAlignment="1">
      <alignment horizontal="right" vertical="top" wrapText="1"/>
    </xf>
    <xf numFmtId="170" fontId="12" fillId="0" borderId="13" xfId="11" applyNumberFormat="1" applyFont="1" applyBorder="1" applyAlignment="1">
      <alignment horizontal="right" vertical="top"/>
    </xf>
    <xf numFmtId="165" fontId="12" fillId="0" borderId="6" xfId="11" applyNumberFormat="1" applyFont="1" applyBorder="1" applyAlignment="1">
      <alignment horizontal="left" vertical="top" wrapText="1"/>
    </xf>
    <xf numFmtId="165" fontId="8" fillId="3" borderId="4" xfId="11" applyNumberFormat="1" applyFont="1" applyFill="1" applyBorder="1" applyAlignment="1">
      <alignment horizontal="left" vertical="top" wrapText="1"/>
    </xf>
    <xf numFmtId="165" fontId="8" fillId="3" borderId="4" xfId="11" applyNumberFormat="1" applyFont="1" applyFill="1" applyBorder="1" applyAlignment="1">
      <alignment horizontal="right" vertical="top" wrapText="1"/>
    </xf>
    <xf numFmtId="170" fontId="8" fillId="3" borderId="4" xfId="1" applyNumberFormat="1" applyFont="1" applyFill="1" applyBorder="1" applyAlignment="1" applyProtection="1">
      <alignment horizontal="right" vertical="top" wrapText="1"/>
    </xf>
    <xf numFmtId="165" fontId="8" fillId="3" borderId="6" xfId="11" applyNumberFormat="1" applyFont="1" applyFill="1" applyBorder="1" applyAlignment="1">
      <alignment horizontal="right" vertical="top" wrapText="1"/>
    </xf>
    <xf numFmtId="2" fontId="13" fillId="4" borderId="0" xfId="4" applyNumberFormat="1" applyFont="1" applyFill="1" applyAlignment="1">
      <alignment horizontal="left" vertical="top" wrapText="1"/>
    </xf>
    <xf numFmtId="173" fontId="13" fillId="4" borderId="0" xfId="4" applyNumberFormat="1" applyFont="1" applyFill="1" applyAlignment="1">
      <alignment vertical="top"/>
    </xf>
    <xf numFmtId="170" fontId="13" fillId="4" borderId="0" xfId="4" applyNumberFormat="1" applyFont="1" applyFill="1" applyAlignment="1">
      <alignment horizontal="right" vertical="top"/>
    </xf>
    <xf numFmtId="2" fontId="12" fillId="0" borderId="0" xfId="4" applyNumberFormat="1" applyFont="1" applyAlignment="1">
      <alignment horizontal="left" vertical="top" wrapText="1"/>
    </xf>
    <xf numFmtId="2" fontId="0" fillId="5" borderId="10" xfId="0" applyNumberFormat="1" applyFill="1" applyBorder="1"/>
    <xf numFmtId="2" fontId="0" fillId="0" borderId="0" xfId="0" applyNumberFormat="1"/>
    <xf numFmtId="165" fontId="9" fillId="4" borderId="0" xfId="14" applyNumberFormat="1" applyFont="1" applyFill="1" applyAlignment="1">
      <alignment wrapText="1"/>
    </xf>
    <xf numFmtId="165" fontId="9" fillId="4" borderId="0" xfId="14" applyNumberFormat="1" applyFont="1" applyFill="1"/>
    <xf numFmtId="9" fontId="8" fillId="3" borderId="5" xfId="1" applyFont="1" applyFill="1" applyBorder="1" applyAlignment="1" applyProtection="1">
      <alignment horizontal="center" vertical="center"/>
    </xf>
    <xf numFmtId="165" fontId="12" fillId="0" borderId="13" xfId="11" applyNumberFormat="1" applyFont="1" applyBorder="1" applyAlignment="1">
      <alignment horizontal="left" vertical="top" wrapText="1"/>
    </xf>
    <xf numFmtId="165" fontId="12" fillId="4" borderId="4" xfId="11" applyNumberFormat="1" applyFont="1" applyFill="1" applyBorder="1" applyAlignment="1">
      <alignment horizontal="left" vertical="top" wrapText="1"/>
    </xf>
    <xf numFmtId="165" fontId="13" fillId="5" borderId="6" xfId="11" quotePrefix="1" applyNumberFormat="1" applyFont="1" applyFill="1" applyBorder="1" applyAlignment="1">
      <alignment horizontal="left" vertical="top"/>
    </xf>
    <xf numFmtId="165" fontId="13" fillId="5" borderId="5" xfId="11" applyNumberFormat="1" applyFont="1" applyFill="1" applyBorder="1" applyAlignment="1">
      <alignment vertical="top" wrapText="1"/>
    </xf>
    <xf numFmtId="9" fontId="13" fillId="5" borderId="5" xfId="1" applyFont="1" applyFill="1" applyBorder="1" applyAlignment="1" applyProtection="1">
      <alignment vertical="top" wrapText="1"/>
    </xf>
    <xf numFmtId="165" fontId="9" fillId="5" borderId="5" xfId="14" applyNumberFormat="1" applyFont="1" applyFill="1" applyBorder="1"/>
    <xf numFmtId="165" fontId="13" fillId="5" borderId="13" xfId="11" quotePrefix="1" applyNumberFormat="1" applyFont="1" applyFill="1" applyBorder="1" applyAlignment="1">
      <alignment horizontal="left" vertical="top" wrapText="1"/>
    </xf>
    <xf numFmtId="165" fontId="13" fillId="5" borderId="13" xfId="11" applyNumberFormat="1" applyFont="1" applyFill="1" applyBorder="1" applyAlignment="1">
      <alignment vertical="top" wrapText="1"/>
    </xf>
    <xf numFmtId="9" fontId="13" fillId="5" borderId="13" xfId="1" applyFont="1" applyFill="1" applyBorder="1" applyAlignment="1" applyProtection="1">
      <alignment vertical="top" wrapText="1"/>
    </xf>
    <xf numFmtId="165" fontId="9" fillId="5" borderId="4" xfId="14" applyNumberFormat="1" applyFont="1" applyFill="1" applyBorder="1"/>
    <xf numFmtId="165" fontId="9" fillId="5" borderId="6" xfId="14" applyNumberFormat="1" applyFont="1" applyFill="1" applyBorder="1"/>
    <xf numFmtId="165" fontId="9" fillId="3" borderId="4" xfId="14" applyNumberFormat="1" applyFont="1" applyFill="1" applyBorder="1"/>
    <xf numFmtId="165" fontId="9" fillId="3" borderId="6" xfId="14" applyNumberFormat="1" applyFont="1" applyFill="1" applyBorder="1"/>
    <xf numFmtId="2" fontId="8" fillId="3" borderId="6" xfId="4" applyNumberFormat="1" applyFont="1" applyFill="1" applyBorder="1" applyAlignment="1">
      <alignment horizontal="left" vertical="top" wrapText="1"/>
    </xf>
    <xf numFmtId="173" fontId="8" fillId="3" borderId="5" xfId="4" applyNumberFormat="1" applyFont="1" applyFill="1" applyBorder="1" applyAlignment="1">
      <alignment horizontal="right" vertical="top"/>
    </xf>
    <xf numFmtId="170" fontId="25" fillId="3" borderId="5" xfId="4" applyNumberFormat="1" applyFont="1" applyFill="1" applyBorder="1" applyAlignment="1">
      <alignment horizontal="right" vertical="top"/>
    </xf>
    <xf numFmtId="2" fontId="8" fillId="3" borderId="5" xfId="4" applyNumberFormat="1" applyFont="1" applyFill="1" applyBorder="1" applyAlignment="1">
      <alignment vertical="top" wrapText="1"/>
    </xf>
    <xf numFmtId="173" fontId="12" fillId="0" borderId="0" xfId="15" applyNumberFormat="1" applyFont="1" applyFill="1" applyBorder="1" applyAlignment="1" applyProtection="1">
      <alignment horizontal="right" vertical="top"/>
    </xf>
    <xf numFmtId="173" fontId="13" fillId="0" borderId="0" xfId="15" applyNumberFormat="1" applyFont="1" applyFill="1" applyBorder="1" applyAlignment="1" applyProtection="1">
      <alignment horizontal="right" vertical="top"/>
    </xf>
    <xf numFmtId="170" fontId="12" fillId="0" borderId="0" xfId="15" applyNumberFormat="1" applyFont="1" applyFill="1" applyBorder="1" applyAlignment="1" applyProtection="1">
      <alignment horizontal="right" vertical="top"/>
    </xf>
    <xf numFmtId="2" fontId="12" fillId="0" borderId="0" xfId="15" applyNumberFormat="1" applyFont="1" applyFill="1" applyBorder="1" applyAlignment="1" applyProtection="1">
      <alignment vertical="top" wrapText="1"/>
    </xf>
    <xf numFmtId="2" fontId="13" fillId="5" borderId="6" xfId="11" applyNumberFormat="1" applyFont="1" applyFill="1" applyBorder="1" applyAlignment="1">
      <alignment horizontal="left" vertical="top" wrapText="1"/>
    </xf>
    <xf numFmtId="173" fontId="13" fillId="5" borderId="5" xfId="11" applyNumberFormat="1" applyFont="1" applyFill="1" applyBorder="1" applyAlignment="1">
      <alignment horizontal="right" vertical="top"/>
    </xf>
    <xf numFmtId="170" fontId="13" fillId="5" borderId="5" xfId="11" applyNumberFormat="1" applyFont="1" applyFill="1" applyBorder="1" applyAlignment="1">
      <alignment horizontal="right" vertical="top"/>
    </xf>
    <xf numFmtId="2" fontId="8" fillId="5" borderId="5" xfId="11" applyNumberFormat="1" applyFont="1" applyFill="1" applyBorder="1" applyAlignment="1">
      <alignment vertical="top" wrapText="1"/>
    </xf>
    <xf numFmtId="2" fontId="12" fillId="0" borderId="13" xfId="4" applyNumberFormat="1" applyFont="1" applyBorder="1" applyAlignment="1">
      <alignment horizontal="left" vertical="top" wrapText="1"/>
    </xf>
    <xf numFmtId="173" fontId="12" fillId="0" borderId="13" xfId="9" applyNumberFormat="1" applyFont="1" applyBorder="1" applyAlignment="1">
      <alignment horizontal="right" vertical="top"/>
    </xf>
    <xf numFmtId="173" fontId="13" fillId="5" borderId="13" xfId="15" applyNumberFormat="1" applyFont="1" applyFill="1" applyBorder="1" applyAlignment="1" applyProtection="1">
      <alignment horizontal="right" vertical="top"/>
    </xf>
    <xf numFmtId="173" fontId="13" fillId="5" borderId="13" xfId="9" applyNumberFormat="1" applyFont="1" applyFill="1" applyBorder="1" applyAlignment="1">
      <alignment horizontal="right" vertical="top"/>
    </xf>
    <xf numFmtId="170" fontId="12" fillId="0" borderId="13" xfId="9" applyNumberFormat="1" applyFont="1" applyBorder="1" applyAlignment="1">
      <alignment horizontal="right" vertical="top"/>
    </xf>
    <xf numFmtId="2" fontId="12" fillId="0" borderId="4" xfId="4" applyNumberFormat="1" applyFont="1" applyBorder="1" applyAlignment="1">
      <alignment horizontal="left" vertical="top" wrapText="1"/>
    </xf>
    <xf numFmtId="173" fontId="12" fillId="0" borderId="4" xfId="9" applyNumberFormat="1" applyFont="1" applyBorder="1" applyAlignment="1">
      <alignment horizontal="right" vertical="top"/>
    </xf>
    <xf numFmtId="173" fontId="13" fillId="5" borderId="4" xfId="15" applyNumberFormat="1" applyFont="1" applyFill="1" applyBorder="1" applyAlignment="1" applyProtection="1">
      <alignment horizontal="right" vertical="top"/>
    </xf>
    <xf numFmtId="173" fontId="13" fillId="5" borderId="4" xfId="9" applyNumberFormat="1" applyFont="1" applyFill="1" applyBorder="1" applyAlignment="1">
      <alignment horizontal="right" vertical="top"/>
    </xf>
    <xf numFmtId="170" fontId="12" fillId="0" borderId="4" xfId="9" applyNumberFormat="1" applyFont="1" applyBorder="1" applyAlignment="1">
      <alignment horizontal="right" vertical="top"/>
    </xf>
    <xf numFmtId="2" fontId="13" fillId="5" borderId="4" xfId="11" applyNumberFormat="1" applyFont="1" applyFill="1" applyBorder="1" applyAlignment="1">
      <alignment horizontal="left" vertical="top" wrapText="1"/>
    </xf>
    <xf numFmtId="173" fontId="13" fillId="5" borderId="4" xfId="11" applyNumberFormat="1" applyFont="1" applyFill="1" applyBorder="1" applyAlignment="1">
      <alignment vertical="top" wrapText="1"/>
    </xf>
    <xf numFmtId="170" fontId="13" fillId="5" borderId="4" xfId="11" applyNumberFormat="1" applyFont="1" applyFill="1" applyBorder="1" applyAlignment="1">
      <alignment vertical="top"/>
    </xf>
    <xf numFmtId="2" fontId="8" fillId="5" borderId="4" xfId="11" applyNumberFormat="1" applyFont="1" applyFill="1" applyBorder="1" applyAlignment="1">
      <alignment vertical="top" wrapText="1"/>
    </xf>
    <xf numFmtId="2" fontId="8" fillId="5" borderId="6" xfId="11" applyNumberFormat="1" applyFont="1" applyFill="1" applyBorder="1" applyAlignment="1">
      <alignment vertical="top" wrapText="1"/>
    </xf>
    <xf numFmtId="173" fontId="12" fillId="4" borderId="13" xfId="15" applyNumberFormat="1" applyFont="1" applyFill="1" applyBorder="1" applyAlignment="1" applyProtection="1">
      <alignment horizontal="right" vertical="top"/>
    </xf>
    <xf numFmtId="173" fontId="12" fillId="4" borderId="4" xfId="15" applyNumberFormat="1" applyFont="1" applyFill="1" applyBorder="1" applyAlignment="1" applyProtection="1">
      <alignment horizontal="right" vertical="top"/>
    </xf>
    <xf numFmtId="2" fontId="9" fillId="0" borderId="0" xfId="0" applyNumberFormat="1" applyFont="1" applyAlignment="1">
      <alignment vertical="top" wrapText="1"/>
    </xf>
    <xf numFmtId="2" fontId="8" fillId="3" borderId="6" xfId="16" applyNumberFormat="1" applyFont="1" applyFill="1" applyBorder="1" applyAlignment="1">
      <alignment horizontal="left" vertical="top" wrapText="1"/>
    </xf>
    <xf numFmtId="173" fontId="8" fillId="3" borderId="5" xfId="17" applyNumberFormat="1" applyFont="1" applyFill="1" applyBorder="1" applyAlignment="1" applyProtection="1">
      <alignment horizontal="right" vertical="top"/>
    </xf>
    <xf numFmtId="170" fontId="8" fillId="3" borderId="5" xfId="15" applyNumberFormat="1" applyFont="1" applyFill="1" applyBorder="1" applyAlignment="1" applyProtection="1">
      <alignment horizontal="right" vertical="top"/>
    </xf>
    <xf numFmtId="2" fontId="8" fillId="0" borderId="0" xfId="11" applyNumberFormat="1" applyFont="1" applyAlignment="1">
      <alignment horizontal="left" vertical="top" wrapText="1"/>
    </xf>
    <xf numFmtId="173" fontId="8" fillId="0" borderId="0" xfId="11" applyNumberFormat="1" applyFont="1" applyAlignment="1">
      <alignment horizontal="right" vertical="top"/>
    </xf>
    <xf numFmtId="170" fontId="8" fillId="0" borderId="0" xfId="11" applyNumberFormat="1" applyFont="1" applyAlignment="1">
      <alignment horizontal="right" vertical="top"/>
    </xf>
    <xf numFmtId="2" fontId="8" fillId="0" borderId="0" xfId="11" applyNumberFormat="1" applyFont="1" applyAlignment="1">
      <alignment vertical="top" wrapText="1"/>
    </xf>
    <xf numFmtId="173" fontId="8" fillId="3" borderId="5" xfId="16" applyNumberFormat="1" applyFont="1" applyFill="1" applyBorder="1" applyAlignment="1">
      <alignment horizontal="right" vertical="top"/>
    </xf>
    <xf numFmtId="170" fontId="25" fillId="3" borderId="5" xfId="15" applyNumberFormat="1" applyFont="1" applyFill="1" applyBorder="1" applyAlignment="1" applyProtection="1">
      <alignment horizontal="right" vertical="top"/>
    </xf>
    <xf numFmtId="2" fontId="9" fillId="4" borderId="13" xfId="0" applyNumberFormat="1" applyFont="1" applyFill="1" applyBorder="1" applyAlignment="1">
      <alignment vertical="top" wrapText="1"/>
    </xf>
    <xf numFmtId="2" fontId="8" fillId="3" borderId="4" xfId="16" applyNumberFormat="1" applyFont="1" applyFill="1" applyBorder="1" applyAlignment="1">
      <alignment horizontal="left" vertical="top" wrapText="1"/>
    </xf>
    <xf numFmtId="173" fontId="8" fillId="3" borderId="4" xfId="17" applyNumberFormat="1" applyFont="1" applyFill="1" applyBorder="1" applyAlignment="1" applyProtection="1">
      <alignment horizontal="right" vertical="top"/>
    </xf>
    <xf numFmtId="2" fontId="8" fillId="3" borderId="6" xfId="4" applyNumberFormat="1" applyFont="1" applyFill="1" applyBorder="1" applyAlignment="1">
      <alignment vertical="top" wrapText="1"/>
    </xf>
    <xf numFmtId="2" fontId="9" fillId="4" borderId="4" xfId="0" applyNumberFormat="1" applyFont="1" applyFill="1" applyBorder="1" applyAlignment="1">
      <alignment vertical="top" wrapText="1"/>
    </xf>
    <xf numFmtId="2" fontId="9" fillId="4" borderId="9" xfId="0" applyNumberFormat="1" applyFont="1" applyFill="1" applyBorder="1" applyAlignment="1">
      <alignment vertical="top" wrapText="1"/>
    </xf>
    <xf numFmtId="170" fontId="8" fillId="3" borderId="4" xfId="15" applyNumberFormat="1" applyFont="1" applyFill="1" applyBorder="1" applyAlignment="1" applyProtection="1">
      <alignment horizontal="right" vertical="top"/>
    </xf>
    <xf numFmtId="2" fontId="8" fillId="3" borderId="4" xfId="4" applyNumberFormat="1" applyFont="1" applyFill="1" applyBorder="1" applyAlignment="1">
      <alignment vertical="top" wrapText="1"/>
    </xf>
    <xf numFmtId="2" fontId="8" fillId="3" borderId="5" xfId="11" applyNumberFormat="1" applyFont="1" applyFill="1" applyBorder="1" applyAlignment="1">
      <alignment vertical="top" wrapText="1"/>
    </xf>
    <xf numFmtId="2" fontId="12" fillId="0" borderId="4" xfId="9" applyNumberFormat="1" applyFont="1" applyBorder="1" applyAlignment="1">
      <alignment horizontal="left" vertical="top" wrapText="1"/>
    </xf>
    <xf numFmtId="2" fontId="8" fillId="3" borderId="4" xfId="16" applyNumberFormat="1" applyFont="1" applyFill="1" applyBorder="1" applyAlignment="1">
      <alignment horizontal="left" vertical="top"/>
    </xf>
    <xf numFmtId="173" fontId="8" fillId="3" borderId="4" xfId="16" applyNumberFormat="1" applyFont="1" applyFill="1" applyBorder="1" applyAlignment="1">
      <alignment horizontal="right" vertical="top"/>
    </xf>
    <xf numFmtId="2" fontId="8" fillId="3" borderId="4" xfId="11" applyNumberFormat="1" applyFont="1" applyFill="1" applyBorder="1" applyAlignment="1">
      <alignment vertical="top" wrapText="1"/>
    </xf>
    <xf numFmtId="2" fontId="8" fillId="3" borderId="6" xfId="11" applyNumberFormat="1" applyFont="1" applyFill="1" applyBorder="1" applyAlignment="1">
      <alignment vertical="top" wrapText="1"/>
    </xf>
    <xf numFmtId="2" fontId="9" fillId="4" borderId="0" xfId="0" applyNumberFormat="1" applyFont="1" applyFill="1" applyAlignment="1">
      <alignment horizontal="left" vertical="top" wrapText="1"/>
    </xf>
    <xf numFmtId="173" fontId="9" fillId="4" borderId="0" xfId="0" applyNumberFormat="1" applyFont="1" applyFill="1" applyAlignment="1">
      <alignment horizontal="right" vertical="top"/>
    </xf>
    <xf numFmtId="170" fontId="9" fillId="4" borderId="0" xfId="0" applyNumberFormat="1" applyFont="1" applyFill="1" applyAlignment="1">
      <alignment horizontal="right" vertical="top"/>
    </xf>
    <xf numFmtId="0" fontId="12" fillId="4" borderId="0" xfId="9" applyFont="1" applyFill="1" applyAlignment="1">
      <alignment horizontal="left" vertical="top" wrapText="1"/>
    </xf>
    <xf numFmtId="166" fontId="12" fillId="4" borderId="0" xfId="9" applyNumberFormat="1" applyFont="1" applyFill="1" applyAlignment="1">
      <alignment horizontal="left" vertical="top"/>
    </xf>
    <xf numFmtId="10" fontId="12" fillId="4" borderId="0" xfId="9" applyNumberFormat="1" applyFont="1" applyFill="1" applyAlignment="1">
      <alignment horizontal="left" vertical="top"/>
    </xf>
    <xf numFmtId="0" fontId="24" fillId="4" borderId="0" xfId="0" applyFont="1" applyFill="1"/>
    <xf numFmtId="0" fontId="0" fillId="0" borderId="10" xfId="0" applyBorder="1"/>
    <xf numFmtId="173" fontId="8" fillId="3" borderId="5" xfId="11" applyNumberFormat="1" applyFont="1" applyFill="1" applyBorder="1" applyAlignment="1">
      <alignment vertical="top" wrapText="1"/>
    </xf>
    <xf numFmtId="170" fontId="8" fillId="3" borderId="5" xfId="11" applyNumberFormat="1" applyFont="1" applyFill="1" applyBorder="1" applyAlignment="1">
      <alignment vertical="top" wrapText="1"/>
    </xf>
    <xf numFmtId="2" fontId="13" fillId="5" borderId="6" xfId="11" quotePrefix="1" applyNumberFormat="1" applyFont="1" applyFill="1" applyBorder="1" applyAlignment="1">
      <alignment horizontal="left" vertical="top" wrapText="1"/>
    </xf>
    <xf numFmtId="173" fontId="13" fillId="5" borderId="5" xfId="11" applyNumberFormat="1" applyFont="1" applyFill="1" applyBorder="1" applyAlignment="1">
      <alignment vertical="top" wrapText="1"/>
    </xf>
    <xf numFmtId="170" fontId="13" fillId="5" borderId="5" xfId="11" applyNumberFormat="1" applyFont="1" applyFill="1" applyBorder="1" applyAlignment="1">
      <alignment vertical="top"/>
    </xf>
    <xf numFmtId="2" fontId="9" fillId="5" borderId="5" xfId="14" applyNumberFormat="1" applyFont="1" applyFill="1" applyBorder="1"/>
    <xf numFmtId="2" fontId="12" fillId="0" borderId="13" xfId="11" applyNumberFormat="1" applyFont="1" applyBorder="1" applyAlignment="1">
      <alignment horizontal="left" vertical="top" wrapText="1"/>
    </xf>
    <xf numFmtId="173" fontId="12" fillId="0" borderId="13" xfId="11" applyNumberFormat="1" applyFont="1" applyBorder="1" applyAlignment="1">
      <alignment horizontal="right" vertical="top" wrapText="1"/>
    </xf>
    <xf numFmtId="173" fontId="13" fillId="5" borderId="13" xfId="11" applyNumberFormat="1" applyFont="1" applyFill="1" applyBorder="1" applyAlignment="1">
      <alignment horizontal="right" vertical="top" wrapText="1"/>
    </xf>
    <xf numFmtId="173" fontId="12" fillId="0" borderId="13" xfId="17" applyNumberFormat="1" applyFont="1" applyFill="1" applyBorder="1" applyAlignment="1" applyProtection="1">
      <alignment horizontal="right" vertical="top"/>
    </xf>
    <xf numFmtId="2" fontId="13" fillId="5" borderId="13" xfId="11" quotePrefix="1" applyNumberFormat="1" applyFont="1" applyFill="1" applyBorder="1" applyAlignment="1">
      <alignment horizontal="left" vertical="top" wrapText="1"/>
    </xf>
    <xf numFmtId="173" fontId="13" fillId="5" borderId="13" xfId="11" applyNumberFormat="1" applyFont="1" applyFill="1" applyBorder="1" applyAlignment="1">
      <alignment vertical="top" wrapText="1"/>
    </xf>
    <xf numFmtId="170" fontId="13" fillId="5" borderId="13" xfId="11" applyNumberFormat="1" applyFont="1" applyFill="1" applyBorder="1" applyAlignment="1">
      <alignment vertical="top"/>
    </xf>
    <xf numFmtId="2" fontId="9" fillId="5" borderId="4" xfId="14" applyNumberFormat="1" applyFont="1" applyFill="1" applyBorder="1"/>
    <xf numFmtId="2" fontId="9" fillId="5" borderId="6" xfId="14" applyNumberFormat="1" applyFont="1" applyFill="1" applyBorder="1"/>
    <xf numFmtId="2" fontId="13" fillId="5" borderId="13" xfId="11" applyNumberFormat="1" applyFont="1" applyFill="1" applyBorder="1" applyAlignment="1">
      <alignment horizontal="left" vertical="top" wrapText="1"/>
    </xf>
    <xf numFmtId="2" fontId="9" fillId="4" borderId="0" xfId="14" applyNumberFormat="1" applyFont="1" applyFill="1" applyAlignment="1">
      <alignment wrapText="1"/>
    </xf>
    <xf numFmtId="173" fontId="9" fillId="4" borderId="0" xfId="14" applyNumberFormat="1" applyFont="1" applyFill="1"/>
    <xf numFmtId="170" fontId="9" fillId="4" borderId="0" xfId="14" applyNumberFormat="1" applyFont="1" applyFill="1"/>
    <xf numFmtId="2" fontId="9" fillId="4" borderId="0" xfId="14" applyNumberFormat="1" applyFont="1" applyFill="1"/>
    <xf numFmtId="2" fontId="13" fillId="5" borderId="6" xfId="11" applyNumberFormat="1" applyFont="1" applyFill="1" applyBorder="1" applyAlignment="1">
      <alignment vertical="top" wrapText="1"/>
    </xf>
    <xf numFmtId="170" fontId="13" fillId="5" borderId="5" xfId="11" applyNumberFormat="1" applyFont="1" applyFill="1" applyBorder="1" applyAlignment="1">
      <alignment vertical="top" wrapText="1"/>
    </xf>
    <xf numFmtId="2" fontId="13" fillId="5" borderId="5" xfId="11" applyNumberFormat="1" applyFont="1" applyFill="1" applyBorder="1" applyAlignment="1">
      <alignment vertical="top" wrapText="1"/>
    </xf>
    <xf numFmtId="170" fontId="25" fillId="3" borderId="4" xfId="15" applyNumberFormat="1" applyFont="1" applyFill="1" applyBorder="1" applyAlignment="1" applyProtection="1">
      <alignment horizontal="right" vertical="top"/>
    </xf>
    <xf numFmtId="2" fontId="12" fillId="3" borderId="4" xfId="16" applyNumberFormat="1" applyFont="1" applyFill="1" applyBorder="1" applyAlignment="1">
      <alignment horizontal="left" vertical="top" wrapText="1"/>
    </xf>
    <xf numFmtId="2" fontId="12" fillId="3" borderId="6" xfId="16" applyNumberFormat="1" applyFont="1" applyFill="1" applyBorder="1" applyAlignment="1">
      <alignment horizontal="left" vertical="top" wrapText="1"/>
    </xf>
    <xf numFmtId="2" fontId="8" fillId="3" borderId="6" xfId="4" applyNumberFormat="1" applyFont="1" applyFill="1" applyBorder="1" applyAlignment="1">
      <alignment horizontal="left" vertical="center" wrapText="1"/>
    </xf>
    <xf numFmtId="173" fontId="8" fillId="3" borderId="5" xfId="5" applyNumberFormat="1" applyFont="1" applyFill="1" applyBorder="1" applyAlignment="1" applyProtection="1">
      <alignment horizontal="right" vertical="center"/>
    </xf>
    <xf numFmtId="170" fontId="8" fillId="3" borderId="5" xfId="5" applyNumberFormat="1" applyFont="1" applyFill="1" applyBorder="1" applyAlignment="1" applyProtection="1">
      <alignment horizontal="right" vertical="center"/>
    </xf>
    <xf numFmtId="0" fontId="12" fillId="0" borderId="23" xfId="4" applyFont="1" applyBorder="1" applyAlignment="1">
      <alignment horizontal="left" vertical="top" wrapText="1"/>
    </xf>
    <xf numFmtId="173" fontId="8" fillId="3" borderId="4" xfId="15" applyNumberFormat="1" applyFont="1" applyFill="1" applyBorder="1" applyAlignment="1" applyProtection="1">
      <alignment horizontal="right" vertical="top"/>
    </xf>
    <xf numFmtId="170" fontId="8" fillId="3" borderId="5" xfId="5" applyNumberFormat="1" applyFont="1" applyFill="1" applyBorder="1" applyAlignment="1" applyProtection="1">
      <alignment horizontal="right" vertical="top"/>
    </xf>
    <xf numFmtId="2" fontId="8" fillId="0" borderId="0" xfId="16" applyNumberFormat="1" applyFont="1" applyAlignment="1">
      <alignment horizontal="left" vertical="top" wrapText="1"/>
    </xf>
    <xf numFmtId="173" fontId="8" fillId="0" borderId="0" xfId="17" applyNumberFormat="1" applyFont="1" applyFill="1" applyBorder="1" applyAlignment="1" applyProtection="1">
      <alignment horizontal="right" vertical="top"/>
    </xf>
    <xf numFmtId="170" fontId="25" fillId="0" borderId="0" xfId="15" applyNumberFormat="1" applyFont="1" applyFill="1" applyBorder="1" applyAlignment="1" applyProtection="1">
      <alignment horizontal="right" vertical="top"/>
    </xf>
    <xf numFmtId="170" fontId="8" fillId="3" borderId="5" xfId="17" applyNumberFormat="1" applyFont="1" applyFill="1" applyBorder="1" applyAlignment="1" applyProtection="1">
      <alignment horizontal="right" vertical="top"/>
    </xf>
    <xf numFmtId="2" fontId="8" fillId="3" borderId="0" xfId="16" applyNumberFormat="1" applyFont="1" applyFill="1" applyAlignment="1">
      <alignment horizontal="left" vertical="top" wrapText="1"/>
    </xf>
    <xf numFmtId="173" fontId="8" fillId="3" borderId="0" xfId="15" applyNumberFormat="1" applyFont="1" applyFill="1" applyBorder="1" applyAlignment="1" applyProtection="1">
      <alignment horizontal="right" vertical="top"/>
    </xf>
    <xf numFmtId="170" fontId="25" fillId="3" borderId="0" xfId="15" applyNumberFormat="1" applyFont="1" applyFill="1" applyBorder="1" applyAlignment="1" applyProtection="1">
      <alignment horizontal="right" vertical="top"/>
    </xf>
    <xf numFmtId="2" fontId="8" fillId="3" borderId="0" xfId="4" applyNumberFormat="1" applyFont="1" applyFill="1" applyAlignment="1">
      <alignment vertical="top" wrapText="1"/>
    </xf>
    <xf numFmtId="2" fontId="9" fillId="4" borderId="0" xfId="0" applyNumberFormat="1" applyFont="1" applyFill="1" applyAlignment="1">
      <alignment wrapText="1"/>
    </xf>
    <xf numFmtId="173" fontId="9" fillId="4" borderId="0" xfId="0" applyNumberFormat="1" applyFont="1" applyFill="1" applyAlignment="1">
      <alignment horizontal="right"/>
    </xf>
    <xf numFmtId="173" fontId="15" fillId="4" borderId="0" xfId="0" applyNumberFormat="1" applyFont="1" applyFill="1" applyAlignment="1">
      <alignment horizontal="right"/>
    </xf>
    <xf numFmtId="170" fontId="9" fillId="4" borderId="0" xfId="0" applyNumberFormat="1" applyFont="1" applyFill="1" applyAlignment="1">
      <alignment horizontal="right"/>
    </xf>
    <xf numFmtId="0" fontId="24" fillId="0" borderId="0" xfId="0" applyFont="1" applyAlignment="1">
      <alignment wrapText="1"/>
    </xf>
    <xf numFmtId="165" fontId="24" fillId="0" borderId="0" xfId="0" applyNumberFormat="1" applyFont="1"/>
    <xf numFmtId="0" fontId="24" fillId="0" borderId="0" xfId="0" applyFont="1"/>
    <xf numFmtId="0" fontId="12" fillId="0" borderId="0" xfId="16" applyFont="1" applyAlignment="1">
      <alignment horizontal="left" wrapText="1"/>
    </xf>
    <xf numFmtId="0" fontId="12" fillId="0" borderId="0" xfId="16" applyFont="1" applyAlignment="1">
      <alignment horizontal="left" vertical="top" wrapText="1"/>
    </xf>
    <xf numFmtId="4" fontId="13" fillId="5" borderId="4" xfId="11" quotePrefix="1" applyNumberFormat="1" applyFont="1" applyFill="1" applyBorder="1" applyAlignment="1">
      <alignment horizontal="right" vertical="top" wrapText="1"/>
    </xf>
    <xf numFmtId="165" fontId="13" fillId="0" borderId="4" xfId="11" applyNumberFormat="1" applyFont="1" applyBorder="1" applyAlignment="1">
      <alignment vertical="top" wrapText="1"/>
    </xf>
    <xf numFmtId="165" fontId="13" fillId="5" borderId="4" xfId="11" applyNumberFormat="1" applyFont="1" applyFill="1" applyBorder="1" applyAlignment="1">
      <alignment vertical="top" wrapText="1"/>
    </xf>
    <xf numFmtId="165" fontId="8" fillId="3" borderId="4" xfId="16" applyNumberFormat="1" applyFont="1" applyFill="1" applyBorder="1" applyAlignment="1">
      <alignment horizontal="left" vertical="top" wrapText="1"/>
    </xf>
    <xf numFmtId="165" fontId="8" fillId="3" borderId="4" xfId="18" applyNumberFormat="1" applyFont="1" applyFill="1" applyBorder="1" applyAlignment="1" applyProtection="1">
      <alignment horizontal="right" vertical="top"/>
    </xf>
    <xf numFmtId="165" fontId="9" fillId="0" borderId="0" xfId="14" applyNumberFormat="1" applyFont="1" applyAlignment="1">
      <alignment wrapText="1"/>
    </xf>
    <xf numFmtId="165" fontId="9" fillId="0" borderId="0" xfId="14" applyNumberFormat="1" applyFont="1"/>
    <xf numFmtId="9" fontId="9" fillId="0" borderId="0" xfId="1" applyFont="1" applyFill="1" applyProtection="1"/>
    <xf numFmtId="9" fontId="8" fillId="3" borderId="4" xfId="1" applyFont="1" applyFill="1" applyBorder="1" applyAlignment="1" applyProtection="1">
      <alignment horizontal="right" vertical="top"/>
    </xf>
    <xf numFmtId="165" fontId="13" fillId="0" borderId="1" xfId="14" applyNumberFormat="1" applyFont="1" applyBorder="1" applyAlignment="1">
      <alignment horizontal="left" vertical="center" wrapText="1"/>
    </xf>
    <xf numFmtId="165" fontId="13" fillId="0" borderId="2" xfId="5" applyNumberFormat="1" applyFont="1" applyFill="1" applyBorder="1" applyAlignment="1" applyProtection="1">
      <alignment horizontal="center" vertical="top" wrapText="1"/>
    </xf>
    <xf numFmtId="9" fontId="13" fillId="0" borderId="2" xfId="1" applyFont="1" applyFill="1" applyBorder="1" applyAlignment="1" applyProtection="1">
      <alignment horizontal="center" vertical="top" wrapText="1"/>
    </xf>
    <xf numFmtId="165" fontId="12" fillId="0" borderId="4" xfId="4" applyNumberFormat="1" applyFont="1" applyBorder="1" applyAlignment="1">
      <alignment horizontal="left" vertical="top" wrapText="1"/>
    </xf>
    <xf numFmtId="165" fontId="12" fillId="0" borderId="4" xfId="9" applyNumberFormat="1" applyFont="1" applyBorder="1" applyAlignment="1">
      <alignment horizontal="right" vertical="top"/>
    </xf>
    <xf numFmtId="165" fontId="12" fillId="5" borderId="4" xfId="11" applyNumberFormat="1" applyFont="1" applyFill="1" applyBorder="1" applyAlignment="1">
      <alignment horizontal="right" vertical="top" wrapText="1"/>
    </xf>
    <xf numFmtId="9" fontId="12" fillId="0" borderId="4" xfId="1" applyFont="1" applyBorder="1" applyAlignment="1" applyProtection="1">
      <alignment horizontal="right" vertical="top" wrapText="1"/>
    </xf>
    <xf numFmtId="165" fontId="12" fillId="0" borderId="13" xfId="14" applyNumberFormat="1" applyFont="1" applyBorder="1" applyAlignment="1">
      <alignment vertical="top" wrapText="1"/>
    </xf>
    <xf numFmtId="165" fontId="12" fillId="0" borderId="13" xfId="14" applyNumberFormat="1" applyFont="1" applyBorder="1" applyAlignment="1">
      <alignment horizontal="right" vertical="top" wrapText="1"/>
    </xf>
    <xf numFmtId="9" fontId="12" fillId="0" borderId="13" xfId="1" applyFont="1" applyFill="1" applyBorder="1" applyAlignment="1" applyProtection="1">
      <alignment horizontal="right" vertical="top" wrapText="1"/>
    </xf>
    <xf numFmtId="0" fontId="0" fillId="5" borderId="10" xfId="0" applyFill="1" applyBorder="1" applyAlignment="1">
      <alignment wrapText="1"/>
    </xf>
    <xf numFmtId="0" fontId="0" fillId="4" borderId="0" xfId="0" applyFill="1"/>
    <xf numFmtId="173" fontId="8" fillId="3" borderId="11" xfId="5" applyNumberFormat="1" applyFont="1" applyFill="1" applyBorder="1" applyAlignment="1" applyProtection="1">
      <alignment horizontal="center" vertical="center" wrapText="1"/>
    </xf>
    <xf numFmtId="0" fontId="15" fillId="0" borderId="0" xfId="9" applyFont="1" applyAlignment="1">
      <alignment horizontal="left" vertical="top" wrapText="1"/>
    </xf>
    <xf numFmtId="166" fontId="15" fillId="0" borderId="0" xfId="9" applyNumberFormat="1" applyFont="1" applyAlignment="1">
      <alignment horizontal="right" vertical="top"/>
    </xf>
    <xf numFmtId="170" fontId="15" fillId="0" borderId="0" xfId="9" applyNumberFormat="1" applyFont="1" applyAlignment="1">
      <alignment horizontal="right" vertical="top"/>
    </xf>
    <xf numFmtId="0" fontId="9" fillId="0" borderId="0" xfId="9" applyFont="1" applyAlignment="1">
      <alignment horizontal="left" vertical="top" wrapText="1"/>
    </xf>
    <xf numFmtId="0" fontId="8" fillId="3" borderId="6" xfId="9" applyFont="1" applyFill="1" applyBorder="1" applyAlignment="1">
      <alignment vertical="top" wrapText="1"/>
    </xf>
    <xf numFmtId="0" fontId="8" fillId="3" borderId="5" xfId="9" applyFont="1" applyFill="1" applyBorder="1" applyAlignment="1">
      <alignment vertical="top"/>
    </xf>
    <xf numFmtId="0" fontId="8" fillId="3" borderId="5" xfId="9" applyFont="1" applyFill="1" applyBorder="1" applyAlignment="1">
      <alignment horizontal="center" vertical="center" wrapText="1"/>
    </xf>
    <xf numFmtId="4" fontId="13" fillId="5" borderId="6" xfId="11" applyNumberFormat="1" applyFont="1" applyFill="1" applyBorder="1" applyAlignment="1">
      <alignment horizontal="left" vertical="top" wrapText="1"/>
    </xf>
    <xf numFmtId="10" fontId="13" fillId="5" borderId="5" xfId="11" applyNumberFormat="1" applyFont="1" applyFill="1" applyBorder="1" applyAlignment="1">
      <alignment vertical="top" wrapText="1"/>
    </xf>
    <xf numFmtId="0" fontId="12" fillId="5" borderId="5" xfId="9" applyFont="1" applyFill="1" applyBorder="1" applyAlignment="1">
      <alignment horizontal="left" vertical="top" wrapText="1"/>
    </xf>
    <xf numFmtId="0" fontId="12" fillId="0" borderId="13" xfId="9" applyFont="1" applyBorder="1" applyAlignment="1">
      <alignment horizontal="left" vertical="top" wrapText="1"/>
    </xf>
    <xf numFmtId="165" fontId="12" fillId="0" borderId="13" xfId="9" applyNumberFormat="1" applyFont="1" applyBorder="1" applyAlignment="1">
      <alignment horizontal="right" vertical="top"/>
    </xf>
    <xf numFmtId="165" fontId="13" fillId="5" borderId="13" xfId="9" applyNumberFormat="1" applyFont="1" applyFill="1" applyBorder="1" applyAlignment="1">
      <alignment horizontal="right" vertical="top"/>
    </xf>
    <xf numFmtId="0" fontId="12" fillId="0" borderId="1" xfId="9" applyFont="1" applyBorder="1" applyAlignment="1">
      <alignment horizontal="left" vertical="top" wrapText="1"/>
    </xf>
    <xf numFmtId="4" fontId="13" fillId="5" borderId="4" xfId="11" applyNumberFormat="1" applyFont="1" applyFill="1" applyBorder="1" applyAlignment="1">
      <alignment horizontal="left" vertical="top" wrapText="1"/>
    </xf>
    <xf numFmtId="0" fontId="12" fillId="5" borderId="4" xfId="9" applyFont="1" applyFill="1" applyBorder="1" applyAlignment="1">
      <alignment horizontal="left" vertical="top" wrapText="1"/>
    </xf>
    <xf numFmtId="0" fontId="12" fillId="5" borderId="6" xfId="9" applyFont="1" applyFill="1" applyBorder="1" applyAlignment="1">
      <alignment horizontal="left" vertical="top" wrapText="1"/>
    </xf>
    <xf numFmtId="165" fontId="13" fillId="0" borderId="0" xfId="9" applyNumberFormat="1" applyFont="1" applyAlignment="1">
      <alignment horizontal="right" vertical="top"/>
    </xf>
    <xf numFmtId="170" fontId="13" fillId="0" borderId="0" xfId="9" applyNumberFormat="1" applyFont="1" applyAlignment="1">
      <alignment horizontal="right" vertical="top"/>
    </xf>
    <xf numFmtId="169" fontId="13" fillId="5" borderId="5" xfId="11" applyNumberFormat="1" applyFont="1" applyFill="1" applyBorder="1" applyAlignment="1">
      <alignment vertical="top" wrapText="1"/>
    </xf>
    <xf numFmtId="0" fontId="12" fillId="4" borderId="4" xfId="9" applyFont="1" applyFill="1" applyBorder="1" applyAlignment="1">
      <alignment horizontal="left" vertical="top" wrapText="1"/>
    </xf>
    <xf numFmtId="0" fontId="12" fillId="0" borderId="4" xfId="9" applyFont="1" applyBorder="1" applyAlignment="1">
      <alignment horizontal="left" vertical="top" wrapText="1"/>
    </xf>
    <xf numFmtId="0" fontId="12" fillId="0" borderId="6" xfId="9" applyFont="1" applyBorder="1" applyAlignment="1">
      <alignment horizontal="left" vertical="top" wrapText="1"/>
    </xf>
    <xf numFmtId="165" fontId="12" fillId="0" borderId="0" xfId="9" applyNumberFormat="1" applyFont="1" applyAlignment="1">
      <alignment horizontal="right" vertical="top"/>
    </xf>
    <xf numFmtId="0" fontId="8" fillId="3" borderId="4" xfId="9" applyFont="1" applyFill="1" applyBorder="1" applyAlignment="1">
      <alignment horizontal="left" vertical="top" wrapText="1"/>
    </xf>
    <xf numFmtId="165" fontId="8" fillId="3" borderId="4" xfId="9" applyNumberFormat="1" applyFont="1" applyFill="1" applyBorder="1" applyAlignment="1">
      <alignment horizontal="right" vertical="top"/>
    </xf>
    <xf numFmtId="170" fontId="8" fillId="3" borderId="4" xfId="9" applyNumberFormat="1" applyFont="1" applyFill="1" applyBorder="1" applyAlignment="1">
      <alignment horizontal="right" vertical="top"/>
    </xf>
    <xf numFmtId="0" fontId="9" fillId="3" borderId="4" xfId="9" applyFont="1" applyFill="1" applyBorder="1" applyAlignment="1">
      <alignment horizontal="left" vertical="top" wrapText="1"/>
    </xf>
    <xf numFmtId="0" fontId="9" fillId="3" borderId="6" xfId="9" applyFont="1" applyFill="1" applyBorder="1" applyAlignment="1">
      <alignment horizontal="left" vertical="top" wrapText="1"/>
    </xf>
    <xf numFmtId="165" fontId="15" fillId="0" borderId="0" xfId="9" applyNumberFormat="1" applyFont="1" applyAlignment="1">
      <alignment horizontal="right" vertical="top"/>
    </xf>
    <xf numFmtId="0" fontId="8" fillId="3" borderId="6" xfId="9" applyFont="1" applyFill="1" applyBorder="1" applyAlignment="1">
      <alignment horizontal="left" vertical="center" wrapText="1"/>
    </xf>
    <xf numFmtId="170" fontId="8" fillId="3" borderId="5" xfId="5" applyNumberFormat="1" applyFont="1" applyFill="1" applyBorder="1" applyAlignment="1" applyProtection="1">
      <alignment horizontal="center" vertical="center"/>
    </xf>
    <xf numFmtId="165" fontId="9" fillId="0" borderId="0" xfId="9" applyNumberFormat="1" applyFont="1" applyAlignment="1">
      <alignment horizontal="right" vertical="top"/>
    </xf>
    <xf numFmtId="169" fontId="9" fillId="0" borderId="0" xfId="9" applyNumberFormat="1" applyFont="1" applyAlignment="1">
      <alignment horizontal="right" vertical="top"/>
    </xf>
    <xf numFmtId="0" fontId="13" fillId="4" borderId="4" xfId="9" applyFont="1" applyFill="1" applyBorder="1" applyAlignment="1">
      <alignment horizontal="left" vertical="top" wrapText="1"/>
    </xf>
    <xf numFmtId="165" fontId="13" fillId="0" borderId="4" xfId="9" applyNumberFormat="1" applyFont="1" applyBorder="1" applyAlignment="1">
      <alignment horizontal="right" vertical="top"/>
    </xf>
    <xf numFmtId="0" fontId="9" fillId="0" borderId="4" xfId="9" applyFont="1" applyBorder="1" applyAlignment="1">
      <alignment horizontal="left" vertical="top" wrapText="1"/>
    </xf>
    <xf numFmtId="165" fontId="9" fillId="0" borderId="4" xfId="9" applyNumberFormat="1" applyFont="1" applyBorder="1" applyAlignment="1">
      <alignment horizontal="right" vertical="top"/>
    </xf>
    <xf numFmtId="170" fontId="9" fillId="0" borderId="4" xfId="9" applyNumberFormat="1" applyFont="1" applyBorder="1" applyAlignment="1">
      <alignment horizontal="right" vertical="top"/>
    </xf>
    <xf numFmtId="0" fontId="9" fillId="0" borderId="6" xfId="9" applyFont="1" applyBorder="1" applyAlignment="1">
      <alignment horizontal="left" vertical="top" wrapText="1"/>
    </xf>
    <xf numFmtId="0" fontId="12" fillId="4" borderId="13" xfId="9" applyFont="1" applyFill="1" applyBorder="1" applyAlignment="1">
      <alignment horizontal="left" vertical="top" wrapText="1"/>
    </xf>
    <xf numFmtId="0" fontId="13" fillId="5" borderId="6" xfId="9" applyFont="1" applyFill="1" applyBorder="1" applyAlignment="1">
      <alignment horizontal="left" vertical="top" wrapText="1"/>
    </xf>
    <xf numFmtId="0" fontId="27" fillId="3" borderId="4" xfId="9" applyFont="1" applyFill="1" applyBorder="1" applyAlignment="1">
      <alignment horizontal="left" vertical="top" wrapText="1"/>
    </xf>
    <xf numFmtId="170" fontId="9" fillId="0" borderId="0" xfId="9" applyNumberFormat="1" applyFont="1" applyAlignment="1">
      <alignment horizontal="right" vertical="top"/>
    </xf>
    <xf numFmtId="165" fontId="15" fillId="0" borderId="5" xfId="9" applyNumberFormat="1" applyFont="1" applyBorder="1" applyAlignment="1">
      <alignment horizontal="right" vertical="top"/>
    </xf>
    <xf numFmtId="170" fontId="15" fillId="0" borderId="5" xfId="9" applyNumberFormat="1" applyFont="1" applyBorder="1" applyAlignment="1">
      <alignment horizontal="right" vertical="top"/>
    </xf>
    <xf numFmtId="0" fontId="15" fillId="4" borderId="4" xfId="9" applyFont="1" applyFill="1" applyBorder="1" applyAlignment="1">
      <alignment horizontal="left" vertical="top" wrapText="1"/>
    </xf>
    <xf numFmtId="165" fontId="15" fillId="0" borderId="13" xfId="9" applyNumberFormat="1" applyFont="1" applyBorder="1" applyAlignment="1">
      <alignment horizontal="right" vertical="top"/>
    </xf>
    <xf numFmtId="165" fontId="15" fillId="0" borderId="4" xfId="9" applyNumberFormat="1" applyFont="1" applyBorder="1" applyAlignment="1">
      <alignment horizontal="right" vertical="top"/>
    </xf>
    <xf numFmtId="0" fontId="13" fillId="5" borderId="5" xfId="9" applyFont="1" applyFill="1" applyBorder="1" applyAlignment="1">
      <alignment horizontal="left" vertical="top" wrapText="1"/>
    </xf>
    <xf numFmtId="0" fontId="9" fillId="0" borderId="13" xfId="9" applyFont="1" applyBorder="1" applyAlignment="1">
      <alignment horizontal="left" vertical="top" wrapText="1"/>
    </xf>
    <xf numFmtId="165" fontId="9" fillId="0" borderId="13" xfId="9" applyNumberFormat="1" applyFont="1" applyBorder="1" applyAlignment="1">
      <alignment horizontal="right" vertical="top"/>
    </xf>
    <xf numFmtId="0" fontId="28" fillId="0" borderId="0" xfId="9" applyFont="1" applyAlignment="1">
      <alignment horizontal="left" vertical="top" wrapText="1"/>
    </xf>
    <xf numFmtId="0" fontId="8" fillId="3" borderId="4" xfId="9" applyFont="1" applyFill="1" applyBorder="1" applyAlignment="1">
      <alignment horizontal="left" vertical="center" wrapText="1"/>
    </xf>
    <xf numFmtId="165" fontId="8" fillId="3" borderId="4" xfId="5" applyNumberFormat="1" applyFont="1" applyFill="1" applyBorder="1" applyAlignment="1" applyProtection="1">
      <alignment horizontal="center" vertical="center"/>
    </xf>
    <xf numFmtId="170" fontId="8" fillId="3" borderId="4" xfId="5" applyNumberFormat="1" applyFont="1" applyFill="1" applyBorder="1" applyAlignment="1" applyProtection="1">
      <alignment horizontal="center" vertical="center"/>
    </xf>
    <xf numFmtId="0" fontId="8" fillId="3" borderId="4" xfId="9" applyFont="1" applyFill="1" applyBorder="1" applyAlignment="1">
      <alignment horizontal="center" vertical="center" wrapText="1"/>
    </xf>
    <xf numFmtId="0" fontId="8" fillId="3" borderId="6" xfId="9" applyFont="1" applyFill="1" applyBorder="1" applyAlignment="1">
      <alignment horizontal="center" vertical="center" wrapText="1"/>
    </xf>
    <xf numFmtId="0" fontId="15" fillId="0" borderId="4" xfId="9" applyFont="1" applyBorder="1" applyAlignment="1">
      <alignment horizontal="left" vertical="top" wrapText="1"/>
    </xf>
    <xf numFmtId="165" fontId="13" fillId="5" borderId="4" xfId="9" applyNumberFormat="1" applyFont="1" applyFill="1" applyBorder="1" applyAlignment="1">
      <alignment horizontal="right" vertical="top"/>
    </xf>
    <xf numFmtId="0" fontId="28" fillId="3" borderId="4" xfId="9" applyFont="1" applyFill="1" applyBorder="1" applyAlignment="1">
      <alignment horizontal="left" vertical="top" wrapText="1"/>
    </xf>
    <xf numFmtId="165" fontId="13" fillId="5" borderId="5" xfId="9" applyNumberFormat="1" applyFont="1" applyFill="1" applyBorder="1" applyAlignment="1">
      <alignment horizontal="right" vertical="top"/>
    </xf>
    <xf numFmtId="170" fontId="12" fillId="5" borderId="5" xfId="9" applyNumberFormat="1" applyFont="1" applyFill="1" applyBorder="1" applyAlignment="1">
      <alignment horizontal="right" vertical="top"/>
    </xf>
    <xf numFmtId="170" fontId="13" fillId="5" borderId="4" xfId="9" applyNumberFormat="1" applyFont="1" applyFill="1" applyBorder="1" applyAlignment="1">
      <alignment horizontal="right" vertical="top"/>
    </xf>
    <xf numFmtId="0" fontId="29" fillId="5" borderId="10" xfId="0" applyFont="1" applyFill="1" applyBorder="1"/>
    <xf numFmtId="0" fontId="29" fillId="5" borderId="0" xfId="0" applyFont="1" applyFill="1"/>
    <xf numFmtId="0" fontId="13" fillId="0" borderId="6" xfId="9" applyFont="1" applyBorder="1" applyAlignment="1">
      <alignment horizontal="left" vertical="top" wrapText="1"/>
    </xf>
    <xf numFmtId="165" fontId="13" fillId="0" borderId="5" xfId="9" applyNumberFormat="1" applyFont="1" applyBorder="1" applyAlignment="1">
      <alignment horizontal="right" vertical="top"/>
    </xf>
    <xf numFmtId="170" fontId="13" fillId="0" borderId="5" xfId="9" applyNumberFormat="1" applyFont="1" applyBorder="1" applyAlignment="1">
      <alignment horizontal="right" vertical="top"/>
    </xf>
    <xf numFmtId="0" fontId="29" fillId="0" borderId="0" xfId="0" applyFont="1"/>
    <xf numFmtId="0" fontId="8" fillId="0" borderId="4" xfId="9" applyFont="1" applyBorder="1" applyAlignment="1">
      <alignment horizontal="left" vertical="top" wrapText="1"/>
    </xf>
    <xf numFmtId="165" fontId="8" fillId="0" borderId="4" xfId="9" applyNumberFormat="1" applyFont="1" applyBorder="1" applyAlignment="1">
      <alignment horizontal="right" vertical="top"/>
    </xf>
    <xf numFmtId="165" fontId="8" fillId="0" borderId="13" xfId="9" applyNumberFormat="1" applyFont="1" applyBorder="1" applyAlignment="1">
      <alignment horizontal="right" vertical="top"/>
    </xf>
    <xf numFmtId="170" fontId="8" fillId="0" borderId="13" xfId="9" applyNumberFormat="1" applyFont="1" applyBorder="1" applyAlignment="1">
      <alignment horizontal="right" vertical="top"/>
    </xf>
    <xf numFmtId="0" fontId="30" fillId="3" borderId="6" xfId="9" applyFont="1" applyFill="1" applyBorder="1" applyAlignment="1">
      <alignment horizontal="left" vertical="center" wrapText="1"/>
    </xf>
    <xf numFmtId="0" fontId="25" fillId="3" borderId="4" xfId="9" applyFont="1" applyFill="1" applyBorder="1" applyAlignment="1">
      <alignment horizontal="left" vertical="top" wrapText="1"/>
    </xf>
    <xf numFmtId="0" fontId="8" fillId="3" borderId="6" xfId="9" applyFont="1" applyFill="1" applyBorder="1" applyAlignment="1">
      <alignment horizontal="left" vertical="top" wrapText="1"/>
    </xf>
    <xf numFmtId="0" fontId="2" fillId="3" borderId="0" xfId="0" applyFont="1" applyFill="1"/>
    <xf numFmtId="0" fontId="15" fillId="0" borderId="6" xfId="9" applyFont="1" applyBorder="1" applyAlignment="1">
      <alignment horizontal="left" vertical="top" wrapText="1"/>
    </xf>
    <xf numFmtId="165" fontId="15" fillId="5" borderId="5" xfId="9" applyNumberFormat="1" applyFont="1" applyFill="1" applyBorder="1" applyAlignment="1">
      <alignment horizontal="right" vertical="top"/>
    </xf>
    <xf numFmtId="170" fontId="9" fillId="5" borderId="5" xfId="9" applyNumberFormat="1" applyFont="1" applyFill="1" applyBorder="1" applyAlignment="1">
      <alignment horizontal="right" vertical="top"/>
    </xf>
    <xf numFmtId="0" fontId="9" fillId="5" borderId="5" xfId="9" applyFont="1" applyFill="1" applyBorder="1" applyAlignment="1">
      <alignment horizontal="left" vertical="top" wrapText="1"/>
    </xf>
    <xf numFmtId="3" fontId="12" fillId="0" borderId="4" xfId="9" applyNumberFormat="1" applyFont="1" applyBorder="1" applyAlignment="1">
      <alignment horizontal="left" vertical="top" wrapText="1"/>
    </xf>
    <xf numFmtId="165" fontId="13" fillId="5" borderId="13" xfId="9" applyNumberFormat="1" applyFont="1" applyFill="1" applyBorder="1" applyAlignment="1">
      <alignment horizontal="right" vertical="top" wrapText="1"/>
    </xf>
    <xf numFmtId="170" fontId="12" fillId="0" borderId="4" xfId="9" applyNumberFormat="1" applyFont="1" applyBorder="1" applyAlignment="1">
      <alignment horizontal="right" vertical="top" wrapText="1"/>
    </xf>
    <xf numFmtId="0" fontId="12" fillId="0" borderId="4" xfId="9" applyFont="1" applyBorder="1" applyAlignment="1">
      <alignment vertical="top" wrapText="1"/>
    </xf>
    <xf numFmtId="0" fontId="15" fillId="5" borderId="4" xfId="9" applyFont="1" applyFill="1" applyBorder="1" applyAlignment="1">
      <alignment horizontal="left" vertical="top" wrapText="1"/>
    </xf>
    <xf numFmtId="165" fontId="15" fillId="5" borderId="4" xfId="9" applyNumberFormat="1" applyFont="1" applyFill="1" applyBorder="1" applyAlignment="1">
      <alignment horizontal="right" vertical="top"/>
    </xf>
    <xf numFmtId="170" fontId="15" fillId="5" borderId="4" xfId="9" applyNumberFormat="1" applyFont="1" applyFill="1" applyBorder="1" applyAlignment="1">
      <alignment horizontal="right" vertical="top"/>
    </xf>
    <xf numFmtId="0" fontId="28" fillId="5" borderId="4" xfId="9" applyFont="1" applyFill="1" applyBorder="1" applyAlignment="1">
      <alignment horizontal="left" vertical="top" wrapText="1"/>
    </xf>
    <xf numFmtId="0" fontId="15" fillId="5" borderId="6" xfId="9" applyFont="1" applyFill="1" applyBorder="1" applyAlignment="1">
      <alignment horizontal="left" vertical="top" wrapText="1"/>
    </xf>
    <xf numFmtId="165" fontId="12" fillId="5" borderId="5" xfId="9" applyNumberFormat="1" applyFont="1" applyFill="1" applyBorder="1" applyAlignment="1">
      <alignment horizontal="right" vertical="top"/>
    </xf>
    <xf numFmtId="0" fontId="23" fillId="0" borderId="6" xfId="9" applyFont="1" applyBorder="1" applyAlignment="1">
      <alignment vertical="top" wrapText="1"/>
    </xf>
    <xf numFmtId="165" fontId="9" fillId="0" borderId="5" xfId="9" applyNumberFormat="1" applyFont="1" applyBorder="1" applyAlignment="1">
      <alignment horizontal="right" vertical="top"/>
    </xf>
    <xf numFmtId="170" fontId="9" fillId="0" borderId="5" xfId="9" applyNumberFormat="1" applyFont="1" applyBorder="1" applyAlignment="1">
      <alignment horizontal="right" vertical="top"/>
    </xf>
    <xf numFmtId="171" fontId="9" fillId="0" borderId="4" xfId="9" applyNumberFormat="1" applyFont="1" applyBorder="1" applyAlignment="1">
      <alignment horizontal="left" vertical="top" wrapText="1"/>
    </xf>
    <xf numFmtId="0" fontId="12" fillId="4" borderId="0" xfId="9" applyFont="1" applyFill="1" applyAlignment="1">
      <alignment wrapText="1"/>
    </xf>
    <xf numFmtId="165" fontId="12" fillId="4" borderId="0" xfId="9" applyNumberFormat="1" applyFont="1" applyFill="1"/>
    <xf numFmtId="171" fontId="12" fillId="4" borderId="0" xfId="9" applyNumberFormat="1" applyFont="1" applyFill="1"/>
    <xf numFmtId="0" fontId="31" fillId="4" borderId="0" xfId="9" applyFont="1" applyFill="1" applyAlignment="1">
      <alignment wrapText="1"/>
    </xf>
    <xf numFmtId="165" fontId="31" fillId="4" borderId="0" xfId="9" applyNumberFormat="1" applyFont="1" applyFill="1"/>
    <xf numFmtId="171" fontId="31" fillId="4" borderId="0" xfId="9" applyNumberFormat="1" applyFont="1" applyFill="1"/>
    <xf numFmtId="0" fontId="32" fillId="5" borderId="10" xfId="0" applyFont="1" applyFill="1" applyBorder="1"/>
    <xf numFmtId="0" fontId="32" fillId="0" borderId="0" xfId="0" applyFont="1"/>
    <xf numFmtId="165" fontId="8" fillId="3" borderId="4" xfId="9" applyNumberFormat="1" applyFont="1" applyFill="1" applyBorder="1" applyAlignment="1">
      <alignment horizontal="right"/>
    </xf>
    <xf numFmtId="170" fontId="8" fillId="3" borderId="4" xfId="9" applyNumberFormat="1" applyFont="1" applyFill="1" applyBorder="1" applyAlignment="1">
      <alignment horizontal="right"/>
    </xf>
    <xf numFmtId="0" fontId="25" fillId="0" borderId="0" xfId="9" applyFont="1" applyAlignment="1">
      <alignment vertical="top" wrapText="1"/>
    </xf>
    <xf numFmtId="0" fontId="25" fillId="4" borderId="0" xfId="9" applyFont="1" applyFill="1" applyAlignment="1">
      <alignment vertical="top" wrapText="1"/>
    </xf>
    <xf numFmtId="166" fontId="12" fillId="4" borderId="0" xfId="9" applyNumberFormat="1" applyFont="1" applyFill="1"/>
    <xf numFmtId="0" fontId="25" fillId="4" borderId="0" xfId="9" applyFont="1" applyFill="1" applyAlignment="1">
      <alignment wrapText="1"/>
    </xf>
    <xf numFmtId="0" fontId="13" fillId="4" borderId="0" xfId="9" applyFont="1" applyFill="1" applyAlignment="1">
      <alignment horizontal="right" wrapText="1"/>
    </xf>
    <xf numFmtId="0" fontId="13" fillId="4" borderId="0" xfId="9" applyFont="1" applyFill="1" applyAlignment="1">
      <alignment horizontal="center" wrapText="1"/>
    </xf>
    <xf numFmtId="166" fontId="8" fillId="3" borderId="5" xfId="9" applyNumberFormat="1" applyFont="1" applyFill="1" applyBorder="1" applyAlignment="1">
      <alignment horizontal="right" vertical="top"/>
    </xf>
    <xf numFmtId="10" fontId="8" fillId="3" borderId="7" xfId="9" applyNumberFormat="1" applyFont="1" applyFill="1" applyBorder="1" applyAlignment="1">
      <alignment horizontal="right" vertical="top"/>
    </xf>
    <xf numFmtId="0" fontId="13" fillId="4" borderId="13" xfId="9" applyFont="1" applyFill="1" applyBorder="1" applyAlignment="1">
      <alignment horizontal="left" vertical="top" wrapText="1"/>
    </xf>
    <xf numFmtId="166" fontId="15" fillId="0" borderId="13" xfId="9" applyNumberFormat="1" applyFont="1" applyBorder="1" applyAlignment="1">
      <alignment horizontal="right" vertical="top"/>
    </xf>
    <xf numFmtId="166" fontId="8" fillId="3" borderId="4" xfId="9" applyNumberFormat="1" applyFont="1" applyFill="1" applyBorder="1" applyAlignment="1">
      <alignment horizontal="right" vertical="top"/>
    </xf>
    <xf numFmtId="9" fontId="0" fillId="0" borderId="0" xfId="1" applyFont="1" applyProtection="1"/>
    <xf numFmtId="164" fontId="6" fillId="3" borderId="14" xfId="4" applyNumberFormat="1" applyFont="1" applyFill="1" applyBorder="1" applyAlignment="1">
      <alignment vertical="center" wrapText="1"/>
    </xf>
    <xf numFmtId="0" fontId="8" fillId="3" borderId="10" xfId="0" applyFont="1" applyFill="1" applyBorder="1" applyAlignment="1">
      <alignment horizontal="center" vertical="center"/>
    </xf>
    <xf numFmtId="9" fontId="8" fillId="3" borderId="10" xfId="1" applyFont="1" applyFill="1" applyBorder="1" applyAlignment="1" applyProtection="1">
      <alignment horizontal="center" vertical="center"/>
    </xf>
    <xf numFmtId="0" fontId="24" fillId="3" borderId="0" xfId="0" applyFont="1" applyFill="1" applyAlignment="1">
      <alignment vertical="center"/>
    </xf>
    <xf numFmtId="9" fontId="8" fillId="3" borderId="11" xfId="1" applyFont="1" applyFill="1" applyBorder="1" applyAlignment="1" applyProtection="1">
      <alignment horizontal="center" vertical="center" wrapText="1"/>
    </xf>
    <xf numFmtId="9" fontId="8" fillId="3" borderId="13" xfId="1" applyFont="1" applyFill="1" applyBorder="1" applyAlignment="1" applyProtection="1">
      <alignment horizontal="center" vertical="center"/>
    </xf>
    <xf numFmtId="0" fontId="9" fillId="4" borderId="0" xfId="14" applyFont="1" applyFill="1" applyAlignment="1">
      <alignment wrapText="1"/>
    </xf>
    <xf numFmtId="166" fontId="9" fillId="4" borderId="0" xfId="14" applyNumberFormat="1" applyFont="1" applyFill="1"/>
    <xf numFmtId="9" fontId="9" fillId="4" borderId="0" xfId="1" applyFont="1" applyFill="1" applyProtection="1"/>
    <xf numFmtId="0" fontId="9" fillId="4" borderId="0" xfId="14" applyFont="1" applyFill="1"/>
    <xf numFmtId="164" fontId="8" fillId="3" borderId="6" xfId="11" applyNumberFormat="1" applyFont="1" applyFill="1" applyBorder="1" applyAlignment="1">
      <alignment vertical="top" wrapText="1"/>
    </xf>
    <xf numFmtId="166" fontId="25" fillId="3" borderId="5" xfId="11" applyNumberFormat="1" applyFont="1" applyFill="1" applyBorder="1" applyAlignment="1">
      <alignment vertical="top"/>
    </xf>
    <xf numFmtId="9" fontId="25" fillId="3" borderId="5" xfId="1" applyFont="1" applyFill="1" applyBorder="1" applyAlignment="1" applyProtection="1">
      <alignment vertical="top"/>
    </xf>
    <xf numFmtId="0" fontId="12" fillId="3" borderId="5" xfId="11" applyFont="1" applyFill="1" applyBorder="1" applyAlignment="1">
      <alignment horizontal="left" vertical="top" wrapText="1"/>
    </xf>
    <xf numFmtId="165" fontId="12" fillId="0" borderId="13" xfId="11" applyNumberFormat="1" applyFont="1" applyBorder="1" applyAlignment="1">
      <alignment vertical="top" wrapText="1"/>
    </xf>
    <xf numFmtId="165" fontId="12" fillId="0" borderId="13" xfId="11" applyNumberFormat="1" applyFont="1" applyBorder="1" applyAlignment="1">
      <alignment horizontal="right" vertical="top" wrapText="1"/>
    </xf>
    <xf numFmtId="165" fontId="13" fillId="5" borderId="13" xfId="11" applyNumberFormat="1" applyFont="1" applyFill="1" applyBorder="1" applyAlignment="1">
      <alignment horizontal="right" vertical="top" wrapText="1"/>
    </xf>
    <xf numFmtId="0" fontId="9" fillId="0" borderId="4" xfId="0" applyFont="1" applyBorder="1" applyAlignment="1">
      <alignment horizontal="justify" vertical="top"/>
    </xf>
    <xf numFmtId="165" fontId="12" fillId="0" borderId="1" xfId="11" applyNumberFormat="1" applyFont="1" applyBorder="1" applyAlignment="1">
      <alignment horizontal="left" vertical="top" wrapText="1"/>
    </xf>
    <xf numFmtId="164" fontId="12" fillId="0" borderId="4" xfId="11" applyNumberFormat="1" applyFont="1" applyBorder="1" applyAlignment="1">
      <alignment vertical="top" wrapText="1"/>
    </xf>
    <xf numFmtId="0" fontId="12" fillId="0" borderId="6" xfId="11" applyFont="1" applyBorder="1" applyAlignment="1">
      <alignment horizontal="left" vertical="top" wrapText="1"/>
    </xf>
    <xf numFmtId="0" fontId="12" fillId="0" borderId="4" xfId="19" applyFont="1" applyBorder="1" applyAlignment="1">
      <alignment horizontal="left" vertical="top" wrapText="1"/>
    </xf>
    <xf numFmtId="165" fontId="13" fillId="5" borderId="4" xfId="19" applyNumberFormat="1" applyFont="1" applyFill="1" applyBorder="1" applyAlignment="1">
      <alignment horizontal="right" vertical="top"/>
    </xf>
    <xf numFmtId="165" fontId="13" fillId="5" borderId="6" xfId="15" applyNumberFormat="1" applyFont="1" applyFill="1" applyBorder="1" applyAlignment="1" applyProtection="1">
      <alignment horizontal="right" vertical="top"/>
    </xf>
    <xf numFmtId="170" fontId="12" fillId="0" borderId="6" xfId="4" applyNumberFormat="1" applyFont="1" applyBorder="1" applyAlignment="1">
      <alignment horizontal="right" vertical="top"/>
    </xf>
    <xf numFmtId="0" fontId="12" fillId="4" borderId="6" xfId="9" applyFont="1" applyFill="1" applyBorder="1" applyAlignment="1">
      <alignment horizontal="left" vertical="top" wrapText="1"/>
    </xf>
    <xf numFmtId="164" fontId="8" fillId="3" borderId="4" xfId="11" applyNumberFormat="1" applyFont="1" applyFill="1" applyBorder="1" applyAlignment="1">
      <alignment vertical="top" wrapText="1"/>
    </xf>
    <xf numFmtId="165" fontId="8" fillId="3" borderId="4" xfId="11" applyNumberFormat="1" applyFont="1" applyFill="1" applyBorder="1" applyAlignment="1">
      <alignment vertical="top"/>
    </xf>
    <xf numFmtId="9" fontId="8" fillId="3" borderId="4" xfId="1" applyFont="1" applyFill="1" applyBorder="1" applyAlignment="1" applyProtection="1">
      <alignment vertical="top"/>
    </xf>
    <xf numFmtId="0" fontId="12" fillId="3" borderId="4" xfId="11" applyFont="1" applyFill="1" applyBorder="1" applyAlignment="1">
      <alignment vertical="top" wrapText="1"/>
    </xf>
    <xf numFmtId="0" fontId="12" fillId="3" borderId="6" xfId="11" applyFont="1" applyFill="1" applyBorder="1" applyAlignment="1">
      <alignment vertical="top" wrapText="1"/>
    </xf>
    <xf numFmtId="0" fontId="12" fillId="0" borderId="0" xfId="11" applyFont="1" applyAlignment="1">
      <alignment wrapText="1"/>
    </xf>
    <xf numFmtId="165" fontId="12" fillId="0" borderId="0" xfId="11" applyNumberFormat="1" applyFont="1" applyAlignment="1">
      <alignment horizontal="left" vertical="top" wrapText="1"/>
    </xf>
    <xf numFmtId="9" fontId="12" fillId="0" borderId="0" xfId="1" applyFont="1" applyBorder="1" applyAlignment="1" applyProtection="1">
      <alignment horizontal="left" vertical="top" wrapText="1"/>
    </xf>
    <xf numFmtId="0" fontId="12" fillId="4" borderId="0" xfId="11" applyFont="1" applyFill="1"/>
    <xf numFmtId="0" fontId="8" fillId="3" borderId="6" xfId="11" applyFont="1" applyFill="1" applyBorder="1" applyAlignment="1">
      <alignment horizontal="left" vertical="center" wrapText="1"/>
    </xf>
    <xf numFmtId="165" fontId="8" fillId="3" borderId="5" xfId="5" applyNumberFormat="1" applyFont="1" applyFill="1" applyBorder="1" applyAlignment="1" applyProtection="1">
      <alignment horizontal="center" vertical="center" wrapText="1"/>
    </xf>
    <xf numFmtId="9" fontId="8" fillId="3" borderId="5" xfId="1" applyFont="1" applyFill="1" applyBorder="1" applyAlignment="1" applyProtection="1">
      <alignment horizontal="center" vertical="center" wrapText="1"/>
    </xf>
    <xf numFmtId="4" fontId="12" fillId="0" borderId="4" xfId="11" applyNumberFormat="1" applyFont="1" applyBorder="1" applyAlignment="1">
      <alignment horizontal="left" vertical="top" wrapText="1"/>
    </xf>
    <xf numFmtId="0" fontId="12" fillId="0" borderId="6" xfId="2" applyFont="1" applyBorder="1" applyAlignment="1">
      <alignment horizontal="left" vertical="top" wrapText="1"/>
    </xf>
    <xf numFmtId="0" fontId="12" fillId="0" borderId="4" xfId="11" applyFont="1" applyBorder="1" applyAlignment="1">
      <alignment horizontal="left" vertical="top" wrapText="1"/>
    </xf>
    <xf numFmtId="0" fontId="8" fillId="3" borderId="4" xfId="11" applyFont="1" applyFill="1" applyBorder="1" applyAlignment="1">
      <alignment horizontal="left" vertical="top" wrapText="1"/>
    </xf>
    <xf numFmtId="0" fontId="12" fillId="3" borderId="4" xfId="11" applyFont="1" applyFill="1" applyBorder="1" applyAlignment="1">
      <alignment horizontal="left" vertical="top" wrapText="1"/>
    </xf>
    <xf numFmtId="0" fontId="12" fillId="3" borderId="6" xfId="11" applyFont="1" applyFill="1" applyBorder="1" applyAlignment="1">
      <alignment horizontal="left" vertical="top" wrapText="1"/>
    </xf>
    <xf numFmtId="4" fontId="12" fillId="0" borderId="0" xfId="11" applyNumberFormat="1" applyFont="1" applyAlignment="1">
      <alignment horizontal="left" vertical="top" wrapText="1"/>
    </xf>
    <xf numFmtId="165" fontId="12" fillId="0" borderId="0" xfId="11" applyNumberFormat="1" applyFont="1" applyAlignment="1">
      <alignment horizontal="right" vertical="top" wrapText="1"/>
    </xf>
    <xf numFmtId="9" fontId="12" fillId="0" borderId="0" xfId="1" applyFont="1" applyBorder="1" applyAlignment="1" applyProtection="1">
      <alignment horizontal="right" vertical="top" wrapText="1"/>
    </xf>
    <xf numFmtId="0" fontId="12" fillId="0" borderId="0" xfId="11" applyFont="1" applyAlignment="1">
      <alignment horizontal="left" vertical="top" wrapText="1"/>
    </xf>
    <xf numFmtId="0" fontId="8" fillId="3" borderId="6" xfId="11" applyFont="1" applyFill="1" applyBorder="1" applyAlignment="1">
      <alignment horizontal="left" vertical="top" wrapText="1"/>
    </xf>
    <xf numFmtId="165" fontId="8" fillId="3" borderId="5" xfId="11" applyNumberFormat="1" applyFont="1" applyFill="1" applyBorder="1" applyAlignment="1">
      <alignment vertical="top" wrapText="1"/>
    </xf>
    <xf numFmtId="9" fontId="8" fillId="3" borderId="5" xfId="1" applyFont="1" applyFill="1" applyBorder="1" applyAlignment="1" applyProtection="1">
      <alignment vertical="top" wrapText="1"/>
    </xf>
    <xf numFmtId="165" fontId="8" fillId="3" borderId="4" xfId="11" applyNumberFormat="1" applyFont="1" applyFill="1" applyBorder="1" applyAlignment="1">
      <alignment vertical="top" wrapText="1"/>
    </xf>
    <xf numFmtId="9" fontId="8" fillId="3" borderId="4" xfId="1" applyFont="1" applyFill="1" applyBorder="1" applyAlignment="1" applyProtection="1">
      <alignment vertical="top" wrapText="1"/>
    </xf>
    <xf numFmtId="165" fontId="9" fillId="6" borderId="0" xfId="14" applyNumberFormat="1" applyFont="1" applyFill="1" applyAlignment="1">
      <alignment wrapText="1"/>
    </xf>
    <xf numFmtId="165" fontId="9" fillId="6" borderId="0" xfId="14" applyNumberFormat="1" applyFont="1" applyFill="1"/>
    <xf numFmtId="9" fontId="9" fillId="6" borderId="0" xfId="1" applyFont="1" applyFill="1" applyProtection="1"/>
    <xf numFmtId="165" fontId="8" fillId="3" borderId="5" xfId="5" applyNumberFormat="1" applyFont="1" applyFill="1" applyBorder="1" applyAlignment="1" applyProtection="1">
      <alignment horizontal="right" vertical="top" wrapText="1"/>
    </xf>
    <xf numFmtId="9" fontId="8" fillId="3" borderId="5" xfId="1" applyFont="1" applyFill="1" applyBorder="1" applyAlignment="1" applyProtection="1">
      <alignment horizontal="right" vertical="top" wrapText="1"/>
    </xf>
    <xf numFmtId="165" fontId="9" fillId="3" borderId="5" xfId="14" applyNumberFormat="1" applyFont="1" applyFill="1" applyBorder="1"/>
    <xf numFmtId="165" fontId="12" fillId="4" borderId="13" xfId="11" applyNumberFormat="1" applyFont="1" applyFill="1" applyBorder="1" applyAlignment="1">
      <alignment horizontal="left" vertical="top" wrapText="1"/>
    </xf>
    <xf numFmtId="9" fontId="8" fillId="3" borderId="4" xfId="1" applyFont="1" applyFill="1" applyBorder="1" applyAlignment="1" applyProtection="1">
      <alignment horizontal="right" vertical="top" wrapText="1"/>
    </xf>
    <xf numFmtId="165" fontId="9" fillId="3" borderId="0" xfId="14" applyNumberFormat="1" applyFont="1" applyFill="1"/>
    <xf numFmtId="165" fontId="13" fillId="5" borderId="6" xfId="11" applyNumberFormat="1" applyFont="1" applyFill="1" applyBorder="1" applyAlignment="1">
      <alignment horizontal="left" vertical="top" wrapText="1"/>
    </xf>
    <xf numFmtId="165" fontId="8" fillId="5" borderId="5" xfId="11" applyNumberFormat="1" applyFont="1" applyFill="1" applyBorder="1" applyAlignment="1">
      <alignment vertical="top" wrapText="1"/>
    </xf>
    <xf numFmtId="165" fontId="13" fillId="5" borderId="13" xfId="11" applyNumberFormat="1" applyFont="1" applyFill="1" applyBorder="1" applyAlignment="1">
      <alignment horizontal="left" vertical="top" wrapText="1"/>
    </xf>
    <xf numFmtId="165" fontId="13" fillId="5" borderId="6" xfId="11" quotePrefix="1" applyNumberFormat="1" applyFont="1" applyFill="1" applyBorder="1" applyAlignment="1">
      <alignment horizontal="left" vertical="top" wrapText="1"/>
    </xf>
    <xf numFmtId="165" fontId="12" fillId="0" borderId="13" xfId="11" quotePrefix="1" applyNumberFormat="1" applyFont="1" applyBorder="1" applyAlignment="1">
      <alignment horizontal="left" vertical="top" wrapText="1"/>
    </xf>
    <xf numFmtId="165" fontId="8" fillId="0" borderId="0" xfId="11" applyNumberFormat="1" applyFont="1" applyAlignment="1">
      <alignment horizontal="left" vertical="top" wrapText="1"/>
    </xf>
    <xf numFmtId="165" fontId="8" fillId="0" borderId="0" xfId="11" applyNumberFormat="1" applyFont="1" applyAlignment="1">
      <alignment horizontal="right" vertical="top" wrapText="1"/>
    </xf>
    <xf numFmtId="9" fontId="8" fillId="0" borderId="0" xfId="1" applyFont="1" applyFill="1" applyBorder="1" applyAlignment="1" applyProtection="1">
      <alignment horizontal="right" vertical="top" wrapText="1"/>
    </xf>
    <xf numFmtId="165" fontId="8" fillId="3" borderId="6" xfId="11" applyNumberFormat="1" applyFont="1" applyFill="1" applyBorder="1" applyAlignment="1">
      <alignment horizontal="left" vertical="center" wrapText="1"/>
    </xf>
    <xf numFmtId="165" fontId="12" fillId="4" borderId="1" xfId="11" applyNumberFormat="1" applyFont="1" applyFill="1" applyBorder="1" applyAlignment="1">
      <alignment horizontal="left" vertical="top" wrapText="1"/>
    </xf>
    <xf numFmtId="165" fontId="9" fillId="4" borderId="2" xfId="14" applyNumberFormat="1" applyFont="1" applyFill="1" applyBorder="1" applyAlignment="1">
      <alignment wrapText="1"/>
    </xf>
    <xf numFmtId="165" fontId="9" fillId="4" borderId="2" xfId="14" applyNumberFormat="1" applyFont="1" applyFill="1" applyBorder="1"/>
    <xf numFmtId="9" fontId="9" fillId="4" borderId="2" xfId="1" applyFont="1" applyFill="1" applyBorder="1" applyProtection="1"/>
    <xf numFmtId="9" fontId="13" fillId="5" borderId="4" xfId="1" applyFont="1" applyFill="1" applyBorder="1" applyAlignment="1" applyProtection="1">
      <alignment vertical="top" wrapText="1"/>
    </xf>
    <xf numFmtId="165" fontId="33" fillId="4" borderId="2" xfId="14" applyNumberFormat="1" applyFont="1" applyFill="1" applyBorder="1" applyAlignment="1">
      <alignment wrapText="1"/>
    </xf>
    <xf numFmtId="165" fontId="33" fillId="4" borderId="2" xfId="14" applyNumberFormat="1" applyFont="1" applyFill="1" applyBorder="1"/>
    <xf numFmtId="9" fontId="33" fillId="4" borderId="2" xfId="1" applyFont="1" applyFill="1" applyBorder="1" applyProtection="1"/>
    <xf numFmtId="165" fontId="33" fillId="0" borderId="0" xfId="14" applyNumberFormat="1" applyFont="1"/>
    <xf numFmtId="0" fontId="9" fillId="4" borderId="0" xfId="0" applyFont="1" applyFill="1" applyAlignment="1">
      <alignment wrapText="1"/>
    </xf>
    <xf numFmtId="166" fontId="9" fillId="4" borderId="0" xfId="0" applyNumberFormat="1" applyFont="1" applyFill="1"/>
    <xf numFmtId="0" fontId="13" fillId="0" borderId="0" xfId="9" applyFont="1" applyAlignment="1">
      <alignment horizontal="justify" vertical="top" wrapText="1"/>
    </xf>
    <xf numFmtId="165" fontId="13" fillId="0" borderId="0" xfId="9" applyNumberFormat="1" applyFont="1" applyAlignment="1">
      <alignment horizontal="justify" vertical="top" wrapText="1"/>
    </xf>
    <xf numFmtId="170" fontId="13" fillId="0" borderId="0" xfId="9" applyNumberFormat="1" applyFont="1" applyAlignment="1">
      <alignment horizontal="right" vertical="top" wrapText="1"/>
    </xf>
    <xf numFmtId="166" fontId="8" fillId="3" borderId="5" xfId="5" applyNumberFormat="1" applyFont="1" applyFill="1" applyBorder="1" applyAlignment="1" applyProtection="1">
      <alignment horizontal="center" vertical="center" wrapText="1"/>
    </xf>
    <xf numFmtId="167" fontId="8" fillId="3" borderId="5" xfId="5" applyNumberFormat="1" applyFont="1" applyFill="1" applyBorder="1" applyAlignment="1" applyProtection="1">
      <alignment horizontal="center" vertical="center" wrapText="1"/>
    </xf>
    <xf numFmtId="0" fontId="12" fillId="0" borderId="0" xfId="9" applyFont="1" applyAlignment="1">
      <alignment horizontal="justify" vertical="top" wrapText="1"/>
    </xf>
    <xf numFmtId="166" fontId="12" fillId="0" borderId="0" xfId="9" applyNumberFormat="1" applyFont="1" applyAlignment="1">
      <alignment horizontal="right" vertical="top" wrapText="1"/>
    </xf>
    <xf numFmtId="170" fontId="12" fillId="0" borderId="0" xfId="9" applyNumberFormat="1" applyFont="1" applyAlignment="1">
      <alignment horizontal="right" vertical="top" wrapText="1"/>
    </xf>
    <xf numFmtId="165" fontId="12" fillId="0" borderId="13" xfId="9" applyNumberFormat="1" applyFont="1" applyBorder="1" applyAlignment="1">
      <alignment horizontal="right" vertical="top" wrapText="1"/>
    </xf>
    <xf numFmtId="170" fontId="12" fillId="0" borderId="13" xfId="9" applyNumberFormat="1" applyFont="1" applyBorder="1" applyAlignment="1">
      <alignment horizontal="right" vertical="top" wrapText="1"/>
    </xf>
    <xf numFmtId="0" fontId="12" fillId="0" borderId="13" xfId="9" applyFont="1" applyBorder="1" applyAlignment="1">
      <alignment vertical="top" wrapText="1"/>
    </xf>
    <xf numFmtId="3" fontId="12" fillId="0" borderId="4" xfId="9" applyNumberFormat="1" applyFont="1" applyBorder="1" applyAlignment="1">
      <alignment vertical="top" wrapText="1"/>
    </xf>
    <xf numFmtId="10" fontId="12" fillId="0" borderId="4" xfId="19" applyNumberFormat="1" applyFont="1" applyBorder="1" applyAlignment="1">
      <alignment horizontal="right" vertical="top"/>
    </xf>
    <xf numFmtId="169" fontId="13" fillId="5" borderId="4" xfId="11" applyNumberFormat="1" applyFont="1" applyFill="1" applyBorder="1" applyAlignment="1">
      <alignment vertical="top" wrapText="1"/>
    </xf>
    <xf numFmtId="169" fontId="13" fillId="5" borderId="6" xfId="11" applyNumberFormat="1" applyFont="1" applyFill="1" applyBorder="1" applyAlignment="1">
      <alignment vertical="top" wrapText="1"/>
    </xf>
    <xf numFmtId="165" fontId="12" fillId="0" borderId="0" xfId="9" applyNumberFormat="1" applyFont="1" applyAlignment="1">
      <alignment horizontal="right" vertical="top" wrapText="1"/>
    </xf>
    <xf numFmtId="0" fontId="12" fillId="0" borderId="0" xfId="9" applyFont="1" applyAlignment="1">
      <alignment vertical="top" wrapText="1"/>
    </xf>
    <xf numFmtId="170" fontId="12" fillId="0" borderId="4" xfId="19" applyNumberFormat="1" applyFont="1" applyBorder="1" applyAlignment="1">
      <alignment horizontal="right" vertical="top" wrapText="1"/>
    </xf>
    <xf numFmtId="175" fontId="12" fillId="0" borderId="4" xfId="9" applyNumberFormat="1" applyFont="1" applyBorder="1" applyAlignment="1">
      <alignment vertical="top" wrapText="1"/>
    </xf>
    <xf numFmtId="4" fontId="13" fillId="5" borderId="6" xfId="11" quotePrefix="1" applyNumberFormat="1" applyFont="1" applyFill="1" applyBorder="1" applyAlignment="1">
      <alignment horizontal="left" vertical="top" wrapText="1"/>
    </xf>
    <xf numFmtId="4" fontId="13" fillId="5" borderId="4" xfId="11" quotePrefix="1" applyNumberFormat="1" applyFont="1" applyFill="1" applyBorder="1" applyAlignment="1">
      <alignment horizontal="left" vertical="top" wrapText="1"/>
    </xf>
    <xf numFmtId="0" fontId="8" fillId="3" borderId="4" xfId="9" applyFont="1" applyFill="1" applyBorder="1" applyAlignment="1">
      <alignment horizontal="justify" vertical="top" wrapText="1"/>
    </xf>
    <xf numFmtId="165" fontId="8" fillId="3" borderId="4" xfId="9" applyNumberFormat="1" applyFont="1" applyFill="1" applyBorder="1" applyAlignment="1">
      <alignment horizontal="right" vertical="top" wrapText="1"/>
    </xf>
    <xf numFmtId="170" fontId="8" fillId="3" borderId="4" xfId="9" applyNumberFormat="1" applyFont="1" applyFill="1" applyBorder="1" applyAlignment="1">
      <alignment horizontal="right" vertical="top" wrapText="1"/>
    </xf>
    <xf numFmtId="0" fontId="12" fillId="3" borderId="4" xfId="9" applyFont="1" applyFill="1" applyBorder="1" applyAlignment="1">
      <alignment horizontal="left" vertical="top" wrapText="1"/>
    </xf>
    <xf numFmtId="0" fontId="12" fillId="3" borderId="6" xfId="9" applyFont="1" applyFill="1" applyBorder="1" applyAlignment="1">
      <alignment horizontal="left" vertical="top" wrapText="1"/>
    </xf>
    <xf numFmtId="165" fontId="13" fillId="0" borderId="0" xfId="5" applyNumberFormat="1" applyFont="1" applyFill="1" applyBorder="1" applyAlignment="1" applyProtection="1">
      <alignment horizontal="right" vertical="top" wrapText="1"/>
    </xf>
    <xf numFmtId="170" fontId="13" fillId="0" borderId="0" xfId="5" applyNumberFormat="1" applyFont="1" applyFill="1" applyBorder="1" applyAlignment="1" applyProtection="1">
      <alignment horizontal="right" vertical="top" wrapText="1"/>
    </xf>
    <xf numFmtId="165" fontId="12" fillId="0" borderId="4" xfId="9" applyNumberFormat="1" applyFont="1" applyBorder="1" applyAlignment="1">
      <alignment horizontal="right" vertical="top" wrapText="1"/>
    </xf>
    <xf numFmtId="0" fontId="9" fillId="0" borderId="6" xfId="0" applyFont="1" applyBorder="1" applyAlignment="1">
      <alignment vertical="top" wrapText="1"/>
    </xf>
    <xf numFmtId="0" fontId="9" fillId="0" borderId="6" xfId="0" applyFont="1" applyBorder="1" applyAlignment="1">
      <alignment vertical="center" wrapText="1"/>
    </xf>
    <xf numFmtId="165" fontId="8" fillId="3" borderId="0" xfId="9" applyNumberFormat="1" applyFont="1" applyFill="1" applyAlignment="1">
      <alignment horizontal="right" vertical="top" wrapText="1"/>
    </xf>
    <xf numFmtId="170" fontId="8" fillId="3" borderId="0" xfId="9" applyNumberFormat="1" applyFont="1" applyFill="1" applyAlignment="1">
      <alignment horizontal="right" vertical="top" wrapText="1"/>
    </xf>
    <xf numFmtId="0" fontId="12" fillId="3" borderId="0" xfId="9" applyFont="1" applyFill="1" applyAlignment="1">
      <alignment horizontal="left" vertical="top" wrapText="1"/>
    </xf>
    <xf numFmtId="0" fontId="12" fillId="4" borderId="4" xfId="9" applyFont="1" applyFill="1" applyBorder="1" applyAlignment="1">
      <alignment vertical="top" wrapText="1"/>
    </xf>
    <xf numFmtId="170" fontId="12" fillId="4" borderId="4" xfId="9" applyNumberFormat="1" applyFont="1" applyFill="1" applyBorder="1" applyAlignment="1">
      <alignment horizontal="right" vertical="top" wrapText="1"/>
    </xf>
    <xf numFmtId="165" fontId="13" fillId="0" borderId="0" xfId="9" applyNumberFormat="1" applyFont="1" applyAlignment="1">
      <alignment horizontal="left" vertical="top" wrapText="1"/>
    </xf>
    <xf numFmtId="165" fontId="13" fillId="0" borderId="0" xfId="9" applyNumberFormat="1" applyFont="1" applyAlignment="1">
      <alignment horizontal="right" vertical="top" wrapText="1"/>
    </xf>
    <xf numFmtId="0" fontId="12" fillId="4" borderId="4" xfId="9" quotePrefix="1" applyFont="1" applyFill="1" applyBorder="1" applyAlignment="1">
      <alignment horizontal="left" vertical="top" wrapText="1"/>
    </xf>
    <xf numFmtId="0" fontId="12" fillId="0" borderId="4" xfId="0" applyFont="1" applyBorder="1" applyAlignment="1">
      <alignment vertical="top" wrapText="1"/>
    </xf>
    <xf numFmtId="0" fontId="8" fillId="3" borderId="4" xfId="0" applyFont="1" applyFill="1" applyBorder="1" applyAlignment="1">
      <alignment horizontal="left" vertical="center" wrapText="1"/>
    </xf>
    <xf numFmtId="0" fontId="9" fillId="3" borderId="4" xfId="0" applyFont="1" applyFill="1" applyBorder="1" applyAlignment="1">
      <alignment wrapText="1"/>
    </xf>
    <xf numFmtId="0" fontId="9" fillId="3" borderId="6" xfId="0" applyFont="1" applyFill="1" applyBorder="1" applyAlignment="1">
      <alignment wrapText="1"/>
    </xf>
    <xf numFmtId="0" fontId="13" fillId="0" borderId="0" xfId="9" applyFont="1" applyAlignment="1">
      <alignment horizontal="center" vertical="top" wrapText="1"/>
    </xf>
    <xf numFmtId="170" fontId="13" fillId="5" borderId="4" xfId="11" applyNumberFormat="1" applyFont="1" applyFill="1" applyBorder="1" applyAlignment="1">
      <alignment vertical="top" wrapText="1"/>
    </xf>
    <xf numFmtId="165" fontId="12" fillId="0" borderId="0" xfId="9" applyNumberFormat="1" applyFont="1" applyAlignment="1">
      <alignment vertical="top" wrapText="1"/>
    </xf>
    <xf numFmtId="0" fontId="12" fillId="3" borderId="4" xfId="9" applyFont="1" applyFill="1" applyBorder="1" applyAlignment="1">
      <alignment vertical="top" wrapText="1"/>
    </xf>
    <xf numFmtId="0" fontId="13" fillId="4" borderId="0" xfId="9" applyFont="1" applyFill="1" applyAlignment="1">
      <alignment horizontal="left" vertical="top" wrapText="1"/>
    </xf>
    <xf numFmtId="165" fontId="13" fillId="4" borderId="0" xfId="9" applyNumberFormat="1" applyFont="1" applyFill="1" applyAlignment="1">
      <alignment horizontal="right" vertical="top" wrapText="1"/>
    </xf>
    <xf numFmtId="170" fontId="13" fillId="4" borderId="0" xfId="9" applyNumberFormat="1" applyFont="1" applyFill="1" applyAlignment="1">
      <alignment horizontal="right" vertical="top" wrapText="1"/>
    </xf>
    <xf numFmtId="0" fontId="13" fillId="0" borderId="4" xfId="9" applyFont="1" applyBorder="1" applyAlignment="1">
      <alignment vertical="top" wrapText="1"/>
    </xf>
    <xf numFmtId="165" fontId="13" fillId="5" borderId="4" xfId="9" applyNumberFormat="1" applyFont="1" applyFill="1" applyBorder="1" applyAlignment="1">
      <alignment horizontal="right" vertical="top" wrapText="1"/>
    </xf>
    <xf numFmtId="170" fontId="13" fillId="0" borderId="4" xfId="9" applyNumberFormat="1" applyFont="1" applyBorder="1" applyAlignment="1">
      <alignment horizontal="right" vertical="top" wrapText="1"/>
    </xf>
    <xf numFmtId="0" fontId="12" fillId="0" borderId="6" xfId="14" applyFont="1" applyBorder="1" applyAlignment="1">
      <alignment horizontal="justify" vertical="top" wrapText="1"/>
    </xf>
    <xf numFmtId="165" fontId="13" fillId="0" borderId="4" xfId="9" applyNumberFormat="1" applyFont="1" applyBorder="1" applyAlignment="1">
      <alignment horizontal="right" vertical="top" wrapText="1"/>
    </xf>
    <xf numFmtId="0" fontId="12" fillId="0" borderId="4" xfId="21" applyFont="1" applyBorder="1" applyAlignment="1">
      <alignment horizontal="justify" vertical="top" wrapText="1"/>
    </xf>
    <xf numFmtId="0" fontId="12" fillId="0" borderId="6" xfId="21" applyFont="1" applyBorder="1" applyAlignment="1">
      <alignment horizontal="justify" vertical="top" wrapText="1"/>
    </xf>
    <xf numFmtId="4" fontId="8" fillId="3" borderId="6" xfId="5" applyNumberFormat="1" applyFont="1" applyFill="1" applyBorder="1" applyAlignment="1" applyProtection="1">
      <alignment horizontal="left" vertical="center" wrapText="1"/>
    </xf>
    <xf numFmtId="0" fontId="9" fillId="0" borderId="4" xfId="0" applyFont="1" applyBorder="1" applyAlignment="1">
      <alignment vertical="top" wrapText="1"/>
    </xf>
    <xf numFmtId="0" fontId="12" fillId="0" borderId="6" xfId="9" applyFont="1" applyBorder="1" applyAlignment="1">
      <alignment vertical="top" wrapText="1"/>
    </xf>
    <xf numFmtId="165" fontId="13" fillId="4" borderId="0" xfId="9" applyNumberFormat="1" applyFont="1" applyFill="1" applyAlignment="1">
      <alignment horizontal="left" vertical="top" wrapText="1"/>
    </xf>
    <xf numFmtId="170" fontId="8" fillId="3" borderId="4" xfId="5" applyNumberFormat="1" applyFont="1" applyFill="1" applyBorder="1" applyAlignment="1" applyProtection="1">
      <alignment horizontal="right" vertical="center" wrapText="1"/>
    </xf>
    <xf numFmtId="0" fontId="31" fillId="0" borderId="0" xfId="9" applyFont="1" applyAlignment="1">
      <alignment vertical="top" wrapText="1"/>
    </xf>
    <xf numFmtId="165" fontId="31" fillId="0" borderId="0" xfId="9" applyNumberFormat="1" applyFont="1" applyAlignment="1">
      <alignment horizontal="right" vertical="top" wrapText="1"/>
    </xf>
    <xf numFmtId="170" fontId="31" fillId="0" borderId="0" xfId="9" applyNumberFormat="1" applyFont="1" applyAlignment="1">
      <alignment horizontal="right" vertical="top" wrapText="1"/>
    </xf>
    <xf numFmtId="0" fontId="31" fillId="0" borderId="0" xfId="9" applyFont="1" applyAlignment="1">
      <alignment horizontal="left" vertical="top" wrapText="1"/>
    </xf>
    <xf numFmtId="0" fontId="8" fillId="3" borderId="4" xfId="9" applyFont="1" applyFill="1" applyBorder="1" applyAlignment="1">
      <alignment vertical="top" wrapText="1"/>
    </xf>
    <xf numFmtId="0" fontId="13" fillId="0" borderId="0" xfId="0" applyFont="1" applyAlignment="1">
      <alignment horizontal="left" vertical="top" wrapText="1"/>
    </xf>
    <xf numFmtId="165" fontId="12" fillId="0" borderId="0" xfId="0" applyNumberFormat="1" applyFont="1" applyAlignment="1">
      <alignment horizontal="right" vertical="top" wrapText="1"/>
    </xf>
    <xf numFmtId="169" fontId="12" fillId="0" borderId="0" xfId="0" applyNumberFormat="1" applyFont="1" applyAlignment="1">
      <alignment horizontal="right" vertical="top" wrapText="1"/>
    </xf>
    <xf numFmtId="0" fontId="9" fillId="0" borderId="0" xfId="0" applyFont="1" applyAlignment="1">
      <alignment wrapText="1"/>
    </xf>
    <xf numFmtId="0" fontId="8" fillId="3" borderId="6" xfId="0" applyFont="1" applyFill="1" applyBorder="1" applyAlignment="1">
      <alignment horizontal="left" vertical="center" wrapText="1"/>
    </xf>
    <xf numFmtId="165" fontId="8" fillId="3" borderId="5" xfId="5" applyNumberFormat="1" applyFont="1" applyFill="1" applyBorder="1" applyAlignment="1" applyProtection="1">
      <alignment horizontal="right" vertical="center" wrapText="1"/>
    </xf>
    <xf numFmtId="167" fontId="8" fillId="3" borderId="7" xfId="5" applyNumberFormat="1" applyFont="1" applyFill="1" applyBorder="1" applyAlignment="1" applyProtection="1">
      <alignment horizontal="center" vertical="center" wrapText="1"/>
    </xf>
    <xf numFmtId="170" fontId="12" fillId="0" borderId="4" xfId="0" applyNumberFormat="1" applyFont="1" applyBorder="1" applyAlignment="1">
      <alignment horizontal="right" vertical="top" wrapText="1"/>
    </xf>
    <xf numFmtId="0" fontId="13" fillId="5" borderId="4" xfId="0" applyFont="1" applyFill="1" applyBorder="1" applyAlignment="1">
      <alignment horizontal="left" vertical="top" wrapText="1"/>
    </xf>
    <xf numFmtId="165" fontId="13" fillId="5" borderId="4" xfId="0" applyNumberFormat="1" applyFont="1" applyFill="1" applyBorder="1" applyAlignment="1">
      <alignment horizontal="right" vertical="top" wrapText="1"/>
    </xf>
    <xf numFmtId="170" fontId="13" fillId="5" borderId="4" xfId="9" applyNumberFormat="1" applyFont="1" applyFill="1" applyBorder="1" applyAlignment="1">
      <alignment horizontal="right" vertical="top" wrapText="1"/>
    </xf>
    <xf numFmtId="165" fontId="13" fillId="0" borderId="0" xfId="0" applyNumberFormat="1" applyFont="1" applyAlignment="1">
      <alignment horizontal="right" vertical="top" wrapText="1"/>
    </xf>
    <xf numFmtId="169" fontId="13" fillId="0" borderId="0" xfId="0" applyNumberFormat="1" applyFont="1" applyAlignment="1">
      <alignment horizontal="right" vertical="top" wrapText="1"/>
    </xf>
    <xf numFmtId="165" fontId="8" fillId="3" borderId="4" xfId="5" applyNumberFormat="1" applyFont="1" applyFill="1" applyBorder="1" applyAlignment="1" applyProtection="1">
      <alignment horizontal="right" vertical="center" wrapText="1"/>
    </xf>
    <xf numFmtId="0" fontId="8" fillId="3" borderId="1" xfId="0" applyFont="1" applyFill="1" applyBorder="1" applyAlignment="1">
      <alignment horizontal="center" vertical="center"/>
    </xf>
    <xf numFmtId="0" fontId="13" fillId="0" borderId="0" xfId="16" applyFont="1" applyAlignment="1">
      <alignment horizontal="left" wrapText="1"/>
    </xf>
    <xf numFmtId="166" fontId="13" fillId="0" borderId="0" xfId="17" applyNumberFormat="1" applyFont="1" applyFill="1" applyBorder="1" applyAlignment="1" applyProtection="1">
      <alignment horizontal="right"/>
    </xf>
    <xf numFmtId="167" fontId="13" fillId="0" borderId="0" xfId="17" applyNumberFormat="1" applyFont="1" applyFill="1" applyBorder="1" applyAlignment="1" applyProtection="1">
      <alignment horizontal="right"/>
    </xf>
    <xf numFmtId="0" fontId="13" fillId="0" borderId="0" xfId="16" applyFont="1" applyAlignment="1">
      <alignment horizontal="center" vertical="top" wrapText="1"/>
    </xf>
    <xf numFmtId="0" fontId="8" fillId="3" borderId="6" xfId="11" applyFont="1" applyFill="1" applyBorder="1" applyAlignment="1">
      <alignment vertical="top" wrapText="1"/>
    </xf>
    <xf numFmtId="0" fontId="8" fillId="3" borderId="5" xfId="11" applyFont="1" applyFill="1" applyBorder="1" applyAlignment="1">
      <alignment vertical="top" wrapText="1"/>
    </xf>
    <xf numFmtId="0" fontId="8" fillId="3" borderId="5" xfId="11" applyFont="1" applyFill="1" applyBorder="1" applyAlignment="1">
      <alignment horizontal="right" vertical="top" wrapText="1"/>
    </xf>
    <xf numFmtId="170" fontId="13" fillId="5" borderId="5" xfId="11" applyNumberFormat="1" applyFont="1" applyFill="1" applyBorder="1" applyAlignment="1">
      <alignment horizontal="right" vertical="top" wrapText="1"/>
    </xf>
    <xf numFmtId="0" fontId="12" fillId="0" borderId="13" xfId="16" applyFont="1" applyBorder="1" applyAlignment="1">
      <alignment horizontal="left" vertical="top" wrapText="1"/>
    </xf>
    <xf numFmtId="165" fontId="12" fillId="0" borderId="13" xfId="17" applyNumberFormat="1" applyFont="1" applyFill="1" applyBorder="1" applyAlignment="1" applyProtection="1">
      <alignment horizontal="right" vertical="top"/>
    </xf>
    <xf numFmtId="165" fontId="13" fillId="5" borderId="13" xfId="17" applyNumberFormat="1" applyFont="1" applyFill="1" applyBorder="1" applyAlignment="1" applyProtection="1">
      <alignment horizontal="right" vertical="top"/>
    </xf>
    <xf numFmtId="170" fontId="12" fillId="0" borderId="13" xfId="17" applyNumberFormat="1" applyFont="1" applyFill="1" applyBorder="1" applyAlignment="1" applyProtection="1">
      <alignment horizontal="right" vertical="top"/>
    </xf>
    <xf numFmtId="0" fontId="12" fillId="0" borderId="1" xfId="11" applyFont="1" applyBorder="1" applyAlignment="1">
      <alignment horizontal="left" vertical="top" wrapText="1"/>
    </xf>
    <xf numFmtId="170" fontId="13" fillId="5" borderId="4" xfId="11" applyNumberFormat="1" applyFont="1" applyFill="1" applyBorder="1" applyAlignment="1">
      <alignment horizontal="right" vertical="top"/>
    </xf>
    <xf numFmtId="169" fontId="15" fillId="5" borderId="4" xfId="11" applyNumberFormat="1" applyFont="1" applyFill="1" applyBorder="1" applyAlignment="1">
      <alignment vertical="top" wrapText="1"/>
    </xf>
    <xf numFmtId="169" fontId="15" fillId="5" borderId="6" xfId="11" applyNumberFormat="1" applyFont="1" applyFill="1" applyBorder="1" applyAlignment="1">
      <alignment vertical="top" wrapText="1"/>
    </xf>
    <xf numFmtId="165" fontId="13" fillId="0" borderId="0" xfId="17" applyNumberFormat="1" applyFont="1" applyFill="1" applyBorder="1" applyAlignment="1" applyProtection="1">
      <alignment horizontal="right"/>
    </xf>
    <xf numFmtId="170" fontId="13" fillId="0" borderId="0" xfId="17" applyNumberFormat="1" applyFont="1" applyFill="1" applyBorder="1" applyAlignment="1" applyProtection="1">
      <alignment horizontal="right"/>
    </xf>
    <xf numFmtId="0" fontId="8" fillId="5" borderId="5" xfId="9" applyFont="1" applyFill="1" applyBorder="1" applyAlignment="1">
      <alignment horizontal="center" vertical="center" wrapText="1"/>
    </xf>
    <xf numFmtId="165" fontId="13" fillId="0" borderId="0" xfId="16" applyNumberFormat="1" applyFont="1" applyAlignment="1">
      <alignment wrapText="1"/>
    </xf>
    <xf numFmtId="170" fontId="13" fillId="0" borderId="0" xfId="16" applyNumberFormat="1" applyFont="1" applyAlignment="1">
      <alignment horizontal="right" wrapText="1"/>
    </xf>
    <xf numFmtId="0" fontId="13" fillId="0" borderId="0" xfId="16" applyFont="1" applyAlignment="1">
      <alignment horizontal="left" vertical="top" wrapText="1"/>
    </xf>
    <xf numFmtId="4" fontId="13" fillId="5" borderId="5" xfId="11" applyNumberFormat="1" applyFont="1" applyFill="1" applyBorder="1" applyAlignment="1">
      <alignment vertical="top" wrapText="1"/>
    </xf>
    <xf numFmtId="4" fontId="13" fillId="5" borderId="13" xfId="11" quotePrefix="1" applyNumberFormat="1" applyFont="1" applyFill="1" applyBorder="1" applyAlignment="1">
      <alignment horizontal="left" vertical="top" wrapText="1"/>
    </xf>
    <xf numFmtId="169" fontId="15" fillId="5" borderId="13" xfId="11" applyNumberFormat="1" applyFont="1" applyFill="1" applyBorder="1" applyAlignment="1">
      <alignment vertical="top" wrapText="1"/>
    </xf>
    <xf numFmtId="169" fontId="15" fillId="5" borderId="1" xfId="11" applyNumberFormat="1" applyFont="1" applyFill="1" applyBorder="1" applyAlignment="1">
      <alignment vertical="top" wrapText="1"/>
    </xf>
    <xf numFmtId="4" fontId="13" fillId="0" borderId="0" xfId="11" quotePrefix="1" applyNumberFormat="1" applyFont="1" applyAlignment="1">
      <alignment horizontal="left" vertical="top" wrapText="1"/>
    </xf>
    <xf numFmtId="165" fontId="13" fillId="0" borderId="0" xfId="11" applyNumberFormat="1" applyFont="1" applyAlignment="1">
      <alignment vertical="top" wrapText="1"/>
    </xf>
    <xf numFmtId="170" fontId="13" fillId="0" borderId="0" xfId="11" applyNumberFormat="1" applyFont="1" applyAlignment="1">
      <alignment horizontal="right" vertical="top"/>
    </xf>
    <xf numFmtId="169" fontId="15" fillId="0" borderId="0" xfId="11" applyNumberFormat="1" applyFont="1" applyAlignment="1">
      <alignment vertical="top" wrapText="1"/>
    </xf>
    <xf numFmtId="0" fontId="12" fillId="0" borderId="4" xfId="16" applyFont="1" applyBorder="1" applyAlignment="1">
      <alignment horizontal="left" vertical="top" wrapText="1"/>
    </xf>
    <xf numFmtId="165" fontId="12" fillId="0" borderId="4" xfId="17" applyNumberFormat="1" applyFont="1" applyFill="1" applyBorder="1" applyAlignment="1" applyProtection="1">
      <alignment horizontal="right" vertical="top"/>
    </xf>
    <xf numFmtId="165" fontId="13" fillId="5" borderId="4" xfId="17" applyNumberFormat="1" applyFont="1" applyFill="1" applyBorder="1" applyAlignment="1" applyProtection="1">
      <alignment horizontal="right" vertical="top"/>
    </xf>
    <xf numFmtId="170" fontId="12" fillId="0" borderId="4" xfId="17" applyNumberFormat="1" applyFont="1" applyFill="1" applyBorder="1" applyAlignment="1" applyProtection="1">
      <alignment horizontal="right" vertical="top"/>
    </xf>
    <xf numFmtId="4" fontId="13" fillId="5" borderId="6" xfId="11" applyNumberFormat="1" applyFont="1" applyFill="1" applyBorder="1" applyAlignment="1">
      <alignment vertical="top" wrapText="1"/>
    </xf>
    <xf numFmtId="4" fontId="13" fillId="5" borderId="5" xfId="11" applyNumberFormat="1" applyFont="1" applyFill="1" applyBorder="1" applyAlignment="1">
      <alignment vertical="top"/>
    </xf>
    <xf numFmtId="0" fontId="12" fillId="0" borderId="1" xfId="11" applyFont="1" applyBorder="1" applyAlignment="1">
      <alignment vertical="top" wrapText="1"/>
    </xf>
    <xf numFmtId="0" fontId="12" fillId="0" borderId="6" xfId="11" applyFont="1" applyBorder="1" applyAlignment="1">
      <alignment vertical="top" wrapText="1"/>
    </xf>
    <xf numFmtId="165" fontId="13" fillId="0" borderId="0" xfId="17" applyNumberFormat="1" applyFont="1" applyFill="1" applyBorder="1" applyAlignment="1" applyProtection="1"/>
    <xf numFmtId="0" fontId="8" fillId="3" borderId="4" xfId="16" applyFont="1" applyFill="1" applyBorder="1" applyAlignment="1">
      <alignment horizontal="left" vertical="top" wrapText="1"/>
    </xf>
    <xf numFmtId="165" fontId="8" fillId="3" borderId="4" xfId="16" applyNumberFormat="1" applyFont="1" applyFill="1" applyBorder="1"/>
    <xf numFmtId="170" fontId="8" fillId="3" borderId="4" xfId="17" applyNumberFormat="1" applyFont="1" applyFill="1" applyBorder="1" applyAlignment="1" applyProtection="1">
      <alignment horizontal="right"/>
    </xf>
    <xf numFmtId="0" fontId="12" fillId="3" borderId="4" xfId="16" applyFont="1" applyFill="1" applyBorder="1" applyAlignment="1">
      <alignment vertical="top" wrapText="1"/>
    </xf>
    <xf numFmtId="0" fontId="12" fillId="3" borderId="6" xfId="16" applyFont="1" applyFill="1" applyBorder="1" applyAlignment="1">
      <alignment vertical="top" wrapText="1"/>
    </xf>
    <xf numFmtId="0" fontId="13" fillId="0" borderId="0" xfId="16" applyFont="1" applyAlignment="1">
      <alignment horizontal="justify" wrapText="1"/>
    </xf>
    <xf numFmtId="165" fontId="13" fillId="0" borderId="0" xfId="16" applyNumberFormat="1" applyFont="1" applyAlignment="1">
      <alignment horizontal="right"/>
    </xf>
    <xf numFmtId="170" fontId="13" fillId="0" borderId="0" xfId="16" applyNumberFormat="1" applyFont="1" applyAlignment="1">
      <alignment horizontal="right"/>
    </xf>
    <xf numFmtId="0" fontId="12" fillId="0" borderId="0" xfId="16" applyFont="1" applyAlignment="1">
      <alignment vertical="top" wrapText="1"/>
    </xf>
    <xf numFmtId="0" fontId="8" fillId="3" borderId="6" xfId="16" applyFont="1" applyFill="1" applyBorder="1" applyAlignment="1">
      <alignment horizontal="left" vertical="center" wrapText="1"/>
    </xf>
    <xf numFmtId="165" fontId="8" fillId="3" borderId="5" xfId="17" applyNumberFormat="1" applyFont="1" applyFill="1" applyBorder="1" applyAlignment="1" applyProtection="1">
      <alignment horizontal="right" vertical="top"/>
    </xf>
    <xf numFmtId="0" fontId="8" fillId="3" borderId="5" xfId="16" applyFont="1" applyFill="1" applyBorder="1" applyAlignment="1">
      <alignment horizontal="center" vertical="top" wrapText="1"/>
    </xf>
    <xf numFmtId="0" fontId="13" fillId="0" borderId="0" xfId="16" applyFont="1" applyAlignment="1">
      <alignment horizontal="left" vertical="center" wrapText="1"/>
    </xf>
    <xf numFmtId="165" fontId="13" fillId="0" borderId="0" xfId="17" applyNumberFormat="1" applyFont="1" applyFill="1" applyBorder="1" applyAlignment="1" applyProtection="1">
      <alignment horizontal="right" vertical="top"/>
    </xf>
    <xf numFmtId="165" fontId="13" fillId="0" borderId="0" xfId="16" applyNumberFormat="1" applyFont="1"/>
    <xf numFmtId="0" fontId="12" fillId="0" borderId="0" xfId="16" applyFont="1" applyAlignment="1">
      <alignment wrapText="1"/>
    </xf>
    <xf numFmtId="0" fontId="12" fillId="4" borderId="0" xfId="16" applyFont="1" applyFill="1" applyAlignment="1">
      <alignment horizontal="left" vertical="top" wrapText="1"/>
    </xf>
    <xf numFmtId="0" fontId="8" fillId="3" borderId="4" xfId="16" applyFont="1" applyFill="1" applyBorder="1" applyAlignment="1">
      <alignment horizontal="justify" vertical="top" wrapText="1"/>
    </xf>
    <xf numFmtId="165" fontId="9" fillId="4" borderId="0" xfId="0" applyNumberFormat="1" applyFont="1" applyFill="1"/>
    <xf numFmtId="165" fontId="15" fillId="4" borderId="0" xfId="0" applyNumberFormat="1" applyFont="1" applyFill="1"/>
    <xf numFmtId="0" fontId="9" fillId="4" borderId="0" xfId="0" applyFont="1" applyFill="1" applyAlignment="1">
      <alignment horizontal="right"/>
    </xf>
    <xf numFmtId="0" fontId="9" fillId="4" borderId="0" xfId="0" applyFont="1" applyFill="1" applyAlignment="1">
      <alignment vertical="top" wrapText="1"/>
    </xf>
    <xf numFmtId="0" fontId="9" fillId="0" borderId="0" xfId="0" applyFont="1" applyAlignment="1">
      <alignment vertical="top" wrapText="1"/>
    </xf>
    <xf numFmtId="165" fontId="13" fillId="0" borderId="0" xfId="16" applyNumberFormat="1" applyFont="1" applyAlignment="1">
      <alignment horizontal="right" wrapText="1"/>
    </xf>
    <xf numFmtId="165" fontId="12" fillId="0" borderId="0" xfId="16" applyNumberFormat="1" applyFont="1" applyAlignment="1">
      <alignment horizontal="right" wrapText="1"/>
    </xf>
    <xf numFmtId="170" fontId="12" fillId="0" borderId="0" xfId="16" applyNumberFormat="1" applyFont="1" applyAlignment="1">
      <alignment horizontal="right" wrapText="1"/>
    </xf>
    <xf numFmtId="0" fontId="8" fillId="3" borderId="4" xfId="16" applyFont="1" applyFill="1" applyBorder="1" applyAlignment="1">
      <alignment horizontal="justify" wrapText="1"/>
    </xf>
    <xf numFmtId="165" fontId="8" fillId="3" borderId="4" xfId="16" applyNumberFormat="1" applyFont="1" applyFill="1" applyBorder="1" applyAlignment="1">
      <alignment horizontal="right" wrapText="1"/>
    </xf>
    <xf numFmtId="0" fontId="12" fillId="3" borderId="4" xfId="16" applyFont="1" applyFill="1" applyBorder="1" applyAlignment="1">
      <alignment wrapText="1"/>
    </xf>
    <xf numFmtId="0" fontId="12" fillId="3" borderId="6" xfId="16" applyFont="1" applyFill="1" applyBorder="1" applyAlignment="1">
      <alignment wrapText="1"/>
    </xf>
    <xf numFmtId="165" fontId="8" fillId="3" borderId="6" xfId="16" applyNumberFormat="1" applyFont="1" applyFill="1" applyBorder="1" applyAlignment="1">
      <alignment horizontal="left" vertical="center" wrapText="1"/>
    </xf>
    <xf numFmtId="10" fontId="8" fillId="3" borderId="5" xfId="17" applyNumberFormat="1" applyFont="1" applyFill="1" applyBorder="1" applyAlignment="1" applyProtection="1">
      <alignment horizontal="right" vertical="top"/>
    </xf>
    <xf numFmtId="165" fontId="8" fillId="3" borderId="5" xfId="16" applyNumberFormat="1" applyFont="1" applyFill="1" applyBorder="1" applyAlignment="1">
      <alignment horizontal="center" vertical="top" wrapText="1"/>
    </xf>
    <xf numFmtId="165" fontId="13" fillId="0" borderId="13" xfId="16" applyNumberFormat="1" applyFont="1" applyBorder="1" applyAlignment="1">
      <alignment horizontal="left" vertical="top" wrapText="1"/>
    </xf>
    <xf numFmtId="165" fontId="8" fillId="3" borderId="4" xfId="16" applyNumberFormat="1" applyFont="1" applyFill="1" applyBorder="1" applyAlignment="1">
      <alignment horizontal="justify" wrapText="1"/>
    </xf>
    <xf numFmtId="165" fontId="12" fillId="3" borderId="4" xfId="16" applyNumberFormat="1" applyFont="1" applyFill="1" applyBorder="1" applyAlignment="1">
      <alignment vertical="top" wrapText="1"/>
    </xf>
    <xf numFmtId="165" fontId="12" fillId="3" borderId="6" xfId="16" applyNumberFormat="1" applyFont="1" applyFill="1" applyBorder="1" applyAlignment="1">
      <alignment vertical="top" wrapText="1"/>
    </xf>
    <xf numFmtId="165" fontId="9" fillId="0" borderId="0" xfId="9" applyNumberFormat="1" applyFont="1" applyAlignment="1">
      <alignment wrapText="1"/>
    </xf>
    <xf numFmtId="165" fontId="9" fillId="0" borderId="0" xfId="9" applyNumberFormat="1" applyFont="1"/>
    <xf numFmtId="165" fontId="15" fillId="0" borderId="0" xfId="9" applyNumberFormat="1" applyFont="1"/>
    <xf numFmtId="10" fontId="9" fillId="0" borderId="0" xfId="9" applyNumberFormat="1" applyFont="1" applyAlignment="1">
      <alignment horizontal="right"/>
    </xf>
    <xf numFmtId="165" fontId="9" fillId="4" borderId="0" xfId="9" applyNumberFormat="1" applyFont="1" applyFill="1" applyAlignment="1">
      <alignment vertical="top" wrapText="1"/>
    </xf>
    <xf numFmtId="165" fontId="12" fillId="4" borderId="0" xfId="16" applyNumberFormat="1" applyFont="1" applyFill="1" applyAlignment="1">
      <alignment horizontal="left" vertical="top" wrapText="1"/>
    </xf>
    <xf numFmtId="0" fontId="8" fillId="3" borderId="6" xfId="4" quotePrefix="1" applyFont="1" applyFill="1" applyBorder="1" applyAlignment="1">
      <alignment horizontal="left" vertical="center" wrapText="1"/>
    </xf>
    <xf numFmtId="2" fontId="8" fillId="3" borderId="5" xfId="5" applyNumberFormat="1" applyFont="1" applyFill="1" applyBorder="1" applyAlignment="1" applyProtection="1">
      <alignment horizontal="right" vertical="center"/>
    </xf>
    <xf numFmtId="0" fontId="8" fillId="3" borderId="5" xfId="4" applyFont="1" applyFill="1" applyBorder="1" applyAlignment="1">
      <alignment horizontal="center" vertical="center" wrapText="1"/>
    </xf>
    <xf numFmtId="0" fontId="12" fillId="0" borderId="13" xfId="4" applyFont="1" applyBorder="1" applyAlignment="1">
      <alignment horizontal="left" vertical="top" wrapText="1"/>
    </xf>
    <xf numFmtId="165" fontId="12" fillId="4" borderId="13" xfId="15" applyNumberFormat="1" applyFont="1" applyFill="1" applyBorder="1" applyAlignment="1" applyProtection="1">
      <alignment horizontal="right" vertical="top"/>
    </xf>
    <xf numFmtId="165" fontId="13" fillId="5" borderId="13" xfId="15" applyNumberFormat="1" applyFont="1" applyFill="1" applyBorder="1" applyAlignment="1" applyProtection="1">
      <alignment horizontal="right" vertical="top"/>
    </xf>
    <xf numFmtId="0" fontId="12" fillId="0" borderId="13" xfId="2" applyFont="1" applyBorder="1" applyAlignment="1">
      <alignment horizontal="left" vertical="top" wrapText="1"/>
    </xf>
    <xf numFmtId="0" fontId="8" fillId="3" borderId="4" xfId="4" quotePrefix="1" applyFont="1" applyFill="1" applyBorder="1" applyAlignment="1">
      <alignment horizontal="left" vertical="center" wrapText="1"/>
    </xf>
    <xf numFmtId="165" fontId="8" fillId="3" borderId="4" xfId="4" applyNumberFormat="1" applyFont="1" applyFill="1" applyBorder="1" applyAlignment="1">
      <alignment vertical="top"/>
    </xf>
    <xf numFmtId="0" fontId="12" fillId="3" borderId="4" xfId="4" applyFont="1" applyFill="1" applyBorder="1" applyAlignment="1">
      <alignment horizontal="left" vertical="top" wrapText="1"/>
    </xf>
    <xf numFmtId="0" fontId="12" fillId="3" borderId="6" xfId="4" applyFont="1" applyFill="1" applyBorder="1" applyAlignment="1">
      <alignment horizontal="left" vertical="top" wrapText="1"/>
    </xf>
    <xf numFmtId="165" fontId="8" fillId="3" borderId="5" xfId="16" applyNumberFormat="1" applyFont="1" applyFill="1" applyBorder="1" applyAlignment="1">
      <alignment horizontal="left" vertical="center"/>
    </xf>
    <xf numFmtId="10" fontId="8" fillId="3" borderId="5" xfId="16" applyNumberFormat="1" applyFont="1" applyFill="1" applyBorder="1" applyAlignment="1">
      <alignment horizontal="left" vertical="center"/>
    </xf>
    <xf numFmtId="165" fontId="12" fillId="0" borderId="13" xfId="16" applyNumberFormat="1" applyFont="1" applyBorder="1" applyAlignment="1">
      <alignment horizontal="left" vertical="top" wrapText="1"/>
    </xf>
    <xf numFmtId="165" fontId="12" fillId="0" borderId="1" xfId="9" applyNumberFormat="1" applyFont="1" applyBorder="1" applyAlignment="1">
      <alignment horizontal="left" vertical="top" wrapText="1"/>
    </xf>
    <xf numFmtId="165" fontId="12" fillId="0" borderId="4" xfId="16" applyNumberFormat="1" applyFont="1" applyBorder="1" applyAlignment="1">
      <alignment horizontal="left" vertical="top" wrapText="1"/>
    </xf>
    <xf numFmtId="165" fontId="8" fillId="3" borderId="4" xfId="16" applyNumberFormat="1" applyFont="1" applyFill="1" applyBorder="1" applyAlignment="1">
      <alignment horizontal="justify" vertical="top" wrapText="1"/>
    </xf>
    <xf numFmtId="0" fontId="13" fillId="0" borderId="13" xfId="16" applyFont="1" applyBorder="1" applyAlignment="1">
      <alignment horizontal="left" vertical="top" wrapText="1"/>
    </xf>
    <xf numFmtId="165" fontId="12" fillId="0" borderId="13" xfId="9" applyNumberFormat="1" applyFont="1" applyBorder="1" applyAlignment="1">
      <alignment horizontal="left" vertical="top" wrapText="1"/>
    </xf>
    <xf numFmtId="0" fontId="13" fillId="0" borderId="4" xfId="16" applyFont="1" applyBorder="1" applyAlignment="1">
      <alignment horizontal="left" vertical="top" wrapText="1"/>
    </xf>
    <xf numFmtId="0" fontId="8" fillId="3" borderId="0" xfId="16" applyFont="1" applyFill="1" applyAlignment="1">
      <alignment wrapText="1"/>
    </xf>
    <xf numFmtId="0" fontId="12" fillId="3" borderId="0" xfId="16" applyFont="1" applyFill="1" applyAlignment="1">
      <alignment vertical="top" wrapText="1"/>
    </xf>
    <xf numFmtId="0" fontId="9" fillId="0" borderId="0" xfId="4" applyFont="1" applyAlignment="1">
      <alignment wrapText="1"/>
    </xf>
    <xf numFmtId="165" fontId="9" fillId="0" borderId="0" xfId="4" applyNumberFormat="1" applyFont="1"/>
    <xf numFmtId="165" fontId="15" fillId="0" borderId="0" xfId="4" applyNumberFormat="1" applyFont="1"/>
    <xf numFmtId="0" fontId="9" fillId="0" borderId="0" xfId="4" applyFont="1" applyAlignment="1">
      <alignment horizontal="right"/>
    </xf>
    <xf numFmtId="0" fontId="9" fillId="0" borderId="0" xfId="4" applyFont="1" applyAlignment="1">
      <alignment vertical="top" wrapText="1"/>
    </xf>
    <xf numFmtId="0" fontId="8" fillId="3" borderId="4" xfId="16" applyFont="1" applyFill="1" applyBorder="1" applyAlignment="1">
      <alignment wrapText="1"/>
    </xf>
    <xf numFmtId="165" fontId="13" fillId="5" borderId="6" xfId="11" applyNumberFormat="1" applyFont="1" applyFill="1" applyBorder="1" applyAlignment="1">
      <alignment vertical="top" wrapText="1"/>
    </xf>
    <xf numFmtId="165" fontId="13" fillId="5" borderId="5" xfId="11" applyNumberFormat="1" applyFont="1" applyFill="1" applyBorder="1" applyAlignment="1">
      <alignment vertical="top"/>
    </xf>
    <xf numFmtId="165" fontId="12" fillId="0" borderId="13" xfId="0" applyNumberFormat="1" applyFont="1" applyBorder="1" applyAlignment="1">
      <alignment vertical="top" wrapText="1"/>
    </xf>
    <xf numFmtId="165" fontId="12" fillId="0" borderId="4" xfId="0" applyNumberFormat="1" applyFont="1" applyBorder="1" applyAlignment="1">
      <alignment vertical="top" wrapText="1"/>
    </xf>
    <xf numFmtId="165" fontId="12" fillId="0" borderId="6" xfId="9" applyNumberFormat="1" applyFont="1" applyBorder="1" applyAlignment="1">
      <alignment horizontal="left" vertical="top" wrapText="1"/>
    </xf>
    <xf numFmtId="165" fontId="13" fillId="5" borderId="4" xfId="11" applyNumberFormat="1" applyFont="1" applyFill="1" applyBorder="1" applyAlignment="1">
      <alignment horizontal="left" vertical="top" wrapText="1"/>
    </xf>
    <xf numFmtId="165" fontId="15" fillId="5" borderId="4" xfId="11" applyNumberFormat="1" applyFont="1" applyFill="1" applyBorder="1" applyAlignment="1">
      <alignment vertical="top" wrapText="1"/>
    </xf>
    <xf numFmtId="165" fontId="15" fillId="5" borderId="6" xfId="11" applyNumberFormat="1" applyFont="1" applyFill="1" applyBorder="1" applyAlignment="1">
      <alignment vertical="top" wrapText="1"/>
    </xf>
    <xf numFmtId="0" fontId="9" fillId="0" borderId="0" xfId="9" applyFont="1" applyAlignment="1">
      <alignment wrapText="1"/>
    </xf>
    <xf numFmtId="166" fontId="9" fillId="0" borderId="0" xfId="9" applyNumberFormat="1" applyFont="1"/>
    <xf numFmtId="166" fontId="15" fillId="0" borderId="0" xfId="9" applyNumberFormat="1" applyFont="1"/>
    <xf numFmtId="0" fontId="9" fillId="4" borderId="0" xfId="9" applyFont="1" applyFill="1" applyAlignment="1">
      <alignment wrapText="1"/>
    </xf>
    <xf numFmtId="0" fontId="8" fillId="3" borderId="6" xfId="16" applyFont="1" applyFill="1" applyBorder="1" applyAlignment="1">
      <alignment vertical="center" wrapText="1"/>
    </xf>
    <xf numFmtId="166" fontId="8" fillId="3" borderId="5" xfId="17" applyNumberFormat="1" applyFont="1" applyFill="1" applyBorder="1" applyAlignment="1" applyProtection="1">
      <alignment horizontal="right" vertical="top"/>
    </xf>
    <xf numFmtId="10" fontId="13" fillId="5" borderId="5" xfId="11" applyNumberFormat="1" applyFont="1" applyFill="1" applyBorder="1" applyAlignment="1">
      <alignment vertical="top"/>
    </xf>
    <xf numFmtId="165" fontId="12" fillId="4" borderId="13" xfId="9" applyNumberFormat="1" applyFont="1" applyFill="1" applyBorder="1" applyAlignment="1">
      <alignment horizontal="left" vertical="top" wrapText="1"/>
    </xf>
    <xf numFmtId="165" fontId="13" fillId="0" borderId="0" xfId="16" applyNumberFormat="1" applyFont="1" applyAlignment="1">
      <alignment horizontal="left" wrapText="1"/>
    </xf>
    <xf numFmtId="10" fontId="13" fillId="0" borderId="0" xfId="16" applyNumberFormat="1" applyFont="1" applyAlignment="1">
      <alignment horizontal="right"/>
    </xf>
    <xf numFmtId="165" fontId="12" fillId="0" borderId="0" xfId="16" applyNumberFormat="1" applyFont="1" applyAlignment="1">
      <alignment horizontal="left" vertical="top" wrapText="1"/>
    </xf>
    <xf numFmtId="165" fontId="12" fillId="0" borderId="0" xfId="4" applyNumberFormat="1" applyFont="1" applyAlignment="1">
      <alignment horizontal="left" vertical="top" wrapText="1"/>
    </xf>
    <xf numFmtId="0" fontId="13" fillId="4" borderId="0" xfId="16" applyFont="1" applyFill="1" applyAlignment="1">
      <alignment wrapText="1"/>
    </xf>
    <xf numFmtId="165" fontId="13" fillId="4" borderId="0" xfId="16" applyNumberFormat="1" applyFont="1" applyFill="1" applyAlignment="1">
      <alignment horizontal="right"/>
    </xf>
    <xf numFmtId="170" fontId="13" fillId="4" borderId="0" xfId="16" applyNumberFormat="1" applyFont="1" applyFill="1" applyAlignment="1">
      <alignment horizontal="right"/>
    </xf>
    <xf numFmtId="0" fontId="12" fillId="4" borderId="0" xfId="16" applyFont="1" applyFill="1" applyAlignment="1">
      <alignment vertical="top" wrapText="1"/>
    </xf>
    <xf numFmtId="165" fontId="13" fillId="5" borderId="0" xfId="11" applyNumberFormat="1" applyFont="1" applyFill="1" applyAlignment="1">
      <alignment vertical="top" wrapText="1"/>
    </xf>
    <xf numFmtId="0" fontId="35" fillId="4" borderId="0" xfId="16" applyFont="1" applyFill="1" applyAlignment="1">
      <alignment wrapText="1"/>
    </xf>
    <xf numFmtId="165" fontId="35" fillId="4" borderId="0" xfId="16" applyNumberFormat="1" applyFont="1" applyFill="1" applyAlignment="1">
      <alignment horizontal="right"/>
    </xf>
    <xf numFmtId="170" fontId="35" fillId="4" borderId="0" xfId="16" applyNumberFormat="1" applyFont="1" applyFill="1" applyAlignment="1">
      <alignment horizontal="right"/>
    </xf>
    <xf numFmtId="0" fontId="31" fillId="4" borderId="0" xfId="16" applyFont="1" applyFill="1" applyAlignment="1">
      <alignment vertical="top" wrapText="1"/>
    </xf>
    <xf numFmtId="165" fontId="8" fillId="3" borderId="4" xfId="16" applyNumberFormat="1" applyFont="1" applyFill="1" applyBorder="1" applyAlignment="1">
      <alignment horizontal="right"/>
    </xf>
    <xf numFmtId="0" fontId="25" fillId="4" borderId="0" xfId="16" applyFont="1" applyFill="1" applyAlignment="1">
      <alignment vertical="top" wrapText="1"/>
    </xf>
    <xf numFmtId="0" fontId="36" fillId="0" borderId="0" xfId="0" applyFont="1"/>
    <xf numFmtId="0" fontId="24" fillId="0" borderId="0" xfId="0" applyFont="1" applyAlignment="1">
      <alignment horizontal="right"/>
    </xf>
    <xf numFmtId="2" fontId="0" fillId="0" borderId="0" xfId="0" applyNumberFormat="1" applyAlignment="1">
      <alignment wrapText="1"/>
    </xf>
    <xf numFmtId="173" fontId="0" fillId="0" borderId="0" xfId="0" applyNumberFormat="1"/>
    <xf numFmtId="170" fontId="0" fillId="0" borderId="0" xfId="0" applyNumberFormat="1"/>
    <xf numFmtId="2" fontId="6" fillId="3" borderId="15" xfId="4" applyNumberFormat="1" applyFont="1" applyFill="1" applyBorder="1" applyAlignment="1">
      <alignment vertical="center" wrapText="1"/>
    </xf>
    <xf numFmtId="173" fontId="8" fillId="3" borderId="16" xfId="5" applyNumberFormat="1" applyFont="1" applyFill="1" applyBorder="1" applyAlignment="1" applyProtection="1">
      <alignment vertical="center" wrapText="1"/>
    </xf>
    <xf numFmtId="173" fontId="8" fillId="3" borderId="17" xfId="5" applyNumberFormat="1" applyFont="1" applyFill="1" applyBorder="1" applyAlignment="1" applyProtection="1">
      <alignment vertical="center" wrapText="1"/>
    </xf>
    <xf numFmtId="173" fontId="8" fillId="3" borderId="18" xfId="5" applyNumberFormat="1" applyFont="1" applyFill="1" applyBorder="1" applyAlignment="1" applyProtection="1">
      <alignment vertical="center" wrapText="1"/>
    </xf>
    <xf numFmtId="170" fontId="8" fillId="3" borderId="9" xfId="5" applyNumberFormat="1" applyFont="1" applyFill="1" applyBorder="1" applyAlignment="1" applyProtection="1">
      <alignment horizontal="center" vertical="center" wrapText="1"/>
    </xf>
    <xf numFmtId="2" fontId="8" fillId="3" borderId="9" xfId="4" applyNumberFormat="1" applyFont="1" applyFill="1" applyBorder="1" applyAlignment="1">
      <alignment horizontal="center" vertical="center" wrapText="1"/>
    </xf>
    <xf numFmtId="2" fontId="8" fillId="3" borderId="16" xfId="4" applyNumberFormat="1" applyFont="1" applyFill="1" applyBorder="1" applyAlignment="1">
      <alignment horizontal="center" vertical="center" wrapText="1"/>
    </xf>
    <xf numFmtId="2" fontId="10" fillId="3" borderId="11" xfId="4" applyNumberFormat="1" applyFont="1" applyFill="1" applyBorder="1" applyAlignment="1">
      <alignment horizontal="center" vertical="center" wrapText="1"/>
    </xf>
    <xf numFmtId="2" fontId="6" fillId="3" borderId="11" xfId="4" applyNumberFormat="1" applyFont="1" applyFill="1" applyBorder="1" applyAlignment="1">
      <alignment horizontal="center" vertical="center" wrapText="1"/>
    </xf>
    <xf numFmtId="2" fontId="6" fillId="3" borderId="20" xfId="4" applyNumberFormat="1" applyFont="1" applyFill="1" applyBorder="1" applyAlignment="1">
      <alignment horizontal="center" vertical="center" wrapText="1"/>
    </xf>
    <xf numFmtId="2" fontId="6" fillId="3" borderId="21" xfId="4" applyNumberFormat="1" applyFont="1" applyFill="1" applyBorder="1" applyAlignment="1">
      <alignment vertical="center" wrapText="1"/>
    </xf>
    <xf numFmtId="173" fontId="8" fillId="3" borderId="13" xfId="0" applyNumberFormat="1" applyFont="1" applyFill="1" applyBorder="1" applyAlignment="1">
      <alignment horizontal="center" vertical="center"/>
    </xf>
    <xf numFmtId="170" fontId="24" fillId="3" borderId="1" xfId="0" applyNumberFormat="1" applyFont="1" applyFill="1" applyBorder="1" applyAlignment="1">
      <alignment vertical="center"/>
    </xf>
    <xf numFmtId="2" fontId="24" fillId="3" borderId="2" xfId="0" applyNumberFormat="1" applyFont="1" applyFill="1" applyBorder="1" applyAlignment="1">
      <alignment vertical="center"/>
    </xf>
    <xf numFmtId="173" fontId="15" fillId="4" borderId="0" xfId="0" applyNumberFormat="1" applyFont="1" applyFill="1" applyAlignment="1">
      <alignment horizontal="right" vertical="top"/>
    </xf>
    <xf numFmtId="2" fontId="12" fillId="5" borderId="5" xfId="9" applyNumberFormat="1" applyFont="1" applyFill="1" applyBorder="1" applyAlignment="1">
      <alignment horizontal="left" vertical="top" wrapText="1"/>
    </xf>
    <xf numFmtId="2" fontId="12" fillId="0" borderId="13" xfId="16" applyNumberFormat="1" applyFont="1" applyBorder="1" applyAlignment="1">
      <alignment horizontal="left" vertical="top" wrapText="1"/>
    </xf>
    <xf numFmtId="170" fontId="12" fillId="4" borderId="13" xfId="15" applyNumberFormat="1" applyFont="1" applyFill="1" applyBorder="1" applyAlignment="1" applyProtection="1">
      <alignment horizontal="right" vertical="top"/>
    </xf>
    <xf numFmtId="2" fontId="12" fillId="0" borderId="13" xfId="2" applyNumberFormat="1" applyFont="1" applyBorder="1" applyAlignment="1">
      <alignment horizontal="left" vertical="top" wrapText="1"/>
    </xf>
    <xf numFmtId="2" fontId="12" fillId="0" borderId="1" xfId="11" applyNumberFormat="1" applyFont="1" applyBorder="1" applyAlignment="1">
      <alignment horizontal="left" vertical="top" wrapText="1"/>
    </xf>
    <xf numFmtId="2" fontId="9" fillId="0" borderId="4" xfId="16" applyNumberFormat="1" applyFont="1" applyBorder="1" applyAlignment="1">
      <alignment horizontal="left" vertical="top" wrapText="1"/>
    </xf>
    <xf numFmtId="170" fontId="12" fillId="0" borderId="4" xfId="15" applyNumberFormat="1" applyFont="1" applyFill="1" applyBorder="1" applyAlignment="1" applyProtection="1">
      <alignment horizontal="right" vertical="top"/>
    </xf>
    <xf numFmtId="2" fontId="12" fillId="0" borderId="4" xfId="2" applyNumberFormat="1" applyFont="1" applyBorder="1" applyAlignment="1">
      <alignment horizontal="left" vertical="top" wrapText="1"/>
    </xf>
    <xf numFmtId="2" fontId="12" fillId="0" borderId="6" xfId="11" applyNumberFormat="1" applyFont="1" applyBorder="1" applyAlignment="1">
      <alignment horizontal="left" vertical="top" wrapText="1"/>
    </xf>
    <xf numFmtId="2" fontId="12" fillId="0" borderId="13" xfId="16" applyNumberFormat="1" applyFont="1" applyBorder="1" applyAlignment="1">
      <alignment vertical="top" wrapText="1"/>
    </xf>
    <xf numFmtId="2" fontId="12" fillId="0" borderId="1" xfId="4" applyNumberFormat="1" applyFont="1" applyBorder="1" applyAlignment="1">
      <alignment vertical="top" wrapText="1"/>
    </xf>
    <xf numFmtId="2" fontId="12" fillId="0" borderId="13" xfId="9" applyNumberFormat="1" applyFont="1" applyBorder="1" applyAlignment="1">
      <alignment horizontal="left" vertical="top" wrapText="1"/>
    </xf>
    <xf numFmtId="2" fontId="12" fillId="0" borderId="1" xfId="9" applyNumberFormat="1" applyFont="1" applyBorder="1" applyAlignment="1">
      <alignment horizontal="left" vertical="top" wrapText="1"/>
    </xf>
    <xf numFmtId="2" fontId="12" fillId="0" borderId="6" xfId="9" applyNumberFormat="1" applyFont="1" applyBorder="1" applyAlignment="1">
      <alignment horizontal="left" vertical="top" wrapText="1"/>
    </xf>
    <xf numFmtId="2" fontId="13" fillId="5" borderId="4" xfId="11" applyNumberFormat="1" applyFont="1" applyFill="1" applyBorder="1" applyAlignment="1">
      <alignment vertical="top" wrapText="1"/>
    </xf>
    <xf numFmtId="2" fontId="12" fillId="5" borderId="6" xfId="9" applyNumberFormat="1" applyFont="1" applyFill="1" applyBorder="1" applyAlignment="1">
      <alignment horizontal="left" vertical="top" wrapText="1"/>
    </xf>
    <xf numFmtId="2" fontId="12" fillId="0" borderId="4" xfId="4" applyNumberFormat="1" applyFont="1" applyBorder="1" applyAlignment="1">
      <alignment vertical="top" wrapText="1"/>
    </xf>
    <xf numFmtId="2" fontId="12" fillId="0" borderId="6" xfId="4" applyNumberFormat="1" applyFont="1" applyBorder="1" applyAlignment="1">
      <alignment vertical="top" wrapText="1"/>
    </xf>
    <xf numFmtId="2" fontId="9" fillId="0" borderId="6" xfId="0" applyNumberFormat="1" applyFont="1" applyBorder="1" applyAlignment="1">
      <alignment vertical="top" wrapText="1"/>
    </xf>
    <xf numFmtId="2" fontId="12" fillId="0" borderId="13" xfId="4" applyNumberFormat="1" applyFont="1" applyBorder="1" applyAlignment="1">
      <alignment vertical="top" wrapText="1"/>
    </xf>
    <xf numFmtId="2" fontId="9" fillId="0" borderId="0" xfId="4" applyNumberFormat="1" applyFont="1" applyAlignment="1">
      <alignment wrapText="1"/>
    </xf>
    <xf numFmtId="173" fontId="9" fillId="0" borderId="0" xfId="4" applyNumberFormat="1" applyFont="1"/>
    <xf numFmtId="173" fontId="15" fillId="0" borderId="0" xfId="4" applyNumberFormat="1" applyFont="1"/>
    <xf numFmtId="170" fontId="9" fillId="0" borderId="0" xfId="4" applyNumberFormat="1" applyFont="1" applyAlignment="1">
      <alignment horizontal="right"/>
    </xf>
    <xf numFmtId="2" fontId="9" fillId="0" borderId="0" xfId="4" applyNumberFormat="1" applyFont="1" applyAlignment="1">
      <alignment vertical="top" wrapText="1"/>
    </xf>
    <xf numFmtId="173" fontId="13" fillId="5" borderId="5" xfId="11" applyNumberFormat="1" applyFont="1" applyFill="1" applyBorder="1" applyAlignment="1">
      <alignment vertical="top"/>
    </xf>
    <xf numFmtId="2" fontId="13" fillId="5" borderId="5" xfId="11" applyNumberFormat="1" applyFont="1" applyFill="1" applyBorder="1" applyAlignment="1">
      <alignment vertical="top"/>
    </xf>
    <xf numFmtId="173" fontId="13" fillId="5" borderId="13" xfId="17" applyNumberFormat="1" applyFont="1" applyFill="1" applyBorder="1" applyAlignment="1" applyProtection="1">
      <alignment horizontal="right" vertical="top"/>
    </xf>
    <xf numFmtId="170" fontId="12" fillId="0" borderId="13" xfId="15" applyNumberFormat="1" applyFont="1" applyFill="1" applyBorder="1" applyAlignment="1" applyProtection="1">
      <alignment horizontal="right" vertical="top" wrapText="1"/>
    </xf>
    <xf numFmtId="173" fontId="12" fillId="0" borderId="4" xfId="17" applyNumberFormat="1" applyFont="1" applyFill="1" applyBorder="1" applyAlignment="1" applyProtection="1">
      <alignment horizontal="right" vertical="top"/>
    </xf>
    <xf numFmtId="173" fontId="13" fillId="5" borderId="4" xfId="17" applyNumberFormat="1" applyFont="1" applyFill="1" applyBorder="1" applyAlignment="1" applyProtection="1">
      <alignment horizontal="right" vertical="top"/>
    </xf>
    <xf numFmtId="170" fontId="12" fillId="0" borderId="4" xfId="15" applyNumberFormat="1" applyFont="1" applyFill="1" applyBorder="1" applyAlignment="1" applyProtection="1">
      <alignment horizontal="right" vertical="top" wrapText="1"/>
    </xf>
    <xf numFmtId="2" fontId="12" fillId="0" borderId="4" xfId="11" applyNumberFormat="1" applyFont="1" applyBorder="1" applyAlignment="1">
      <alignment horizontal="left" vertical="top" wrapText="1"/>
    </xf>
    <xf numFmtId="2" fontId="12" fillId="5" borderId="4" xfId="9" applyNumberFormat="1" applyFont="1" applyFill="1" applyBorder="1" applyAlignment="1">
      <alignment horizontal="left" vertical="top" wrapText="1"/>
    </xf>
    <xf numFmtId="2" fontId="12" fillId="0" borderId="4" xfId="16" applyNumberFormat="1" applyFont="1" applyBorder="1" applyAlignment="1">
      <alignment vertical="top" wrapText="1"/>
    </xf>
    <xf numFmtId="2" fontId="9" fillId="0" borderId="13" xfId="0" applyNumberFormat="1" applyFont="1" applyBorder="1" applyAlignment="1">
      <alignment vertical="top" wrapText="1"/>
    </xf>
    <xf numFmtId="2" fontId="9" fillId="0" borderId="1" xfId="0" applyNumberFormat="1" applyFont="1" applyBorder="1" applyAlignment="1">
      <alignment vertical="top" wrapText="1"/>
    </xf>
    <xf numFmtId="2" fontId="9" fillId="0" borderId="4" xfId="0" applyNumberFormat="1" applyFont="1" applyBorder="1" applyAlignment="1">
      <alignment vertical="top" wrapText="1"/>
    </xf>
    <xf numFmtId="165" fontId="12" fillId="0" borderId="4" xfId="15" applyNumberFormat="1" applyFont="1" applyFill="1" applyBorder="1" applyAlignment="1" applyProtection="1">
      <alignment horizontal="right" vertical="top"/>
    </xf>
    <xf numFmtId="165" fontId="13" fillId="5" borderId="4" xfId="15" applyNumberFormat="1" applyFont="1" applyFill="1" applyBorder="1" applyAlignment="1" applyProtection="1">
      <alignment horizontal="right" vertical="top"/>
    </xf>
    <xf numFmtId="0" fontId="8" fillId="3" borderId="24" xfId="4" applyFont="1" applyFill="1" applyBorder="1" applyAlignment="1">
      <alignment vertical="center" wrapText="1"/>
    </xf>
    <xf numFmtId="0" fontId="8" fillId="3" borderId="25" xfId="4" applyFont="1" applyFill="1" applyBorder="1" applyAlignment="1">
      <alignment vertical="center" wrapText="1"/>
    </xf>
    <xf numFmtId="0" fontId="12" fillId="0" borderId="4" xfId="15" applyNumberFormat="1" applyFont="1" applyFill="1" applyBorder="1" applyAlignment="1" applyProtection="1">
      <alignment horizontal="left" vertical="top" wrapText="1"/>
    </xf>
    <xf numFmtId="0" fontId="12" fillId="0" borderId="6" xfId="4" applyFont="1" applyBorder="1" applyAlignment="1">
      <alignment horizontal="left" vertical="top" wrapText="1"/>
    </xf>
    <xf numFmtId="0" fontId="12" fillId="0" borderId="26" xfId="4" applyFont="1" applyBorder="1" applyAlignment="1">
      <alignment horizontal="left" vertical="top" wrapText="1"/>
    </xf>
    <xf numFmtId="0" fontId="8" fillId="3" borderId="13" xfId="16" applyFont="1" applyFill="1" applyBorder="1" applyAlignment="1">
      <alignment horizontal="left" vertical="top" wrapText="1"/>
    </xf>
    <xf numFmtId="165" fontId="8" fillId="3" borderId="13" xfId="15" applyNumberFormat="1" applyFont="1" applyFill="1" applyBorder="1" applyAlignment="1" applyProtection="1">
      <alignment horizontal="right" vertical="top"/>
    </xf>
    <xf numFmtId="0" fontId="8" fillId="0" borderId="1" xfId="16" applyFont="1" applyBorder="1" applyAlignment="1">
      <alignment horizontal="left" vertical="top" wrapText="1"/>
    </xf>
    <xf numFmtId="165" fontId="8" fillId="0" borderId="2" xfId="15" applyNumberFormat="1" applyFont="1" applyFill="1" applyBorder="1" applyAlignment="1" applyProtection="1">
      <alignment horizontal="right" vertical="top"/>
    </xf>
    <xf numFmtId="170" fontId="8" fillId="0" borderId="5" xfId="1" applyNumberFormat="1" applyFont="1" applyFill="1" applyBorder="1" applyAlignment="1" applyProtection="1">
      <alignment horizontal="right" vertical="top" wrapText="1"/>
    </xf>
    <xf numFmtId="173" fontId="8" fillId="3" borderId="5" xfId="5" applyNumberFormat="1" applyFont="1" applyFill="1" applyBorder="1" applyAlignment="1" applyProtection="1">
      <alignment horizontal="center" vertical="center"/>
    </xf>
    <xf numFmtId="2" fontId="8" fillId="3" borderId="5" xfId="4" applyNumberFormat="1" applyFont="1" applyFill="1" applyBorder="1" applyAlignment="1">
      <alignment horizontal="center" vertical="center" wrapText="1"/>
    </xf>
    <xf numFmtId="2" fontId="12" fillId="0" borderId="13" xfId="15" applyNumberFormat="1" applyFont="1" applyFill="1" applyBorder="1" applyAlignment="1" applyProtection="1">
      <alignment vertical="top" wrapText="1"/>
    </xf>
    <xf numFmtId="2" fontId="12" fillId="0" borderId="1" xfId="15" applyNumberFormat="1" applyFont="1" applyFill="1" applyBorder="1" applyAlignment="1" applyProtection="1">
      <alignment vertical="top" wrapText="1"/>
    </xf>
    <xf numFmtId="2" fontId="8" fillId="3" borderId="4" xfId="4" applyNumberFormat="1" applyFont="1" applyFill="1" applyBorder="1" applyAlignment="1">
      <alignment horizontal="left" vertical="center" wrapText="1"/>
    </xf>
    <xf numFmtId="173" fontId="8" fillId="3" borderId="4" xfId="4" applyNumberFormat="1" applyFont="1" applyFill="1" applyBorder="1" applyAlignment="1">
      <alignment vertical="top"/>
    </xf>
    <xf numFmtId="170" fontId="8" fillId="3" borderId="4" xfId="4" applyNumberFormat="1" applyFont="1" applyFill="1" applyBorder="1" applyAlignment="1">
      <alignment horizontal="right" vertical="top"/>
    </xf>
    <xf numFmtId="2" fontId="12" fillId="3" borderId="4" xfId="4" applyNumberFormat="1" applyFont="1" applyFill="1" applyBorder="1" applyAlignment="1">
      <alignment horizontal="left" vertical="top" wrapText="1"/>
    </xf>
    <xf numFmtId="2" fontId="12" fillId="3" borderId="6" xfId="4" applyNumberFormat="1" applyFont="1" applyFill="1" applyBorder="1" applyAlignment="1">
      <alignment horizontal="left" vertical="top" wrapText="1"/>
    </xf>
    <xf numFmtId="2" fontId="13" fillId="4" borderId="0" xfId="16" applyNumberFormat="1" applyFont="1" applyFill="1" applyAlignment="1">
      <alignment wrapText="1"/>
    </xf>
    <xf numFmtId="173" fontId="13" fillId="4" borderId="0" xfId="16" applyNumberFormat="1" applyFont="1" applyFill="1" applyAlignment="1">
      <alignment horizontal="right"/>
    </xf>
    <xf numFmtId="2" fontId="12" fillId="4" borderId="0" xfId="16" applyNumberFormat="1" applyFont="1" applyFill="1" applyAlignment="1">
      <alignment wrapText="1"/>
    </xf>
    <xf numFmtId="2" fontId="12" fillId="4" borderId="0" xfId="16" applyNumberFormat="1" applyFont="1" applyFill="1" applyAlignment="1">
      <alignment vertical="top" wrapText="1"/>
    </xf>
    <xf numFmtId="170" fontId="12" fillId="0" borderId="13" xfId="15" applyNumberFormat="1" applyFont="1" applyFill="1" applyBorder="1" applyAlignment="1" applyProtection="1">
      <alignment horizontal="right" vertical="top"/>
    </xf>
    <xf numFmtId="173" fontId="8" fillId="3" borderId="5" xfId="5" applyNumberFormat="1" applyFont="1" applyFill="1" applyBorder="1" applyAlignment="1" applyProtection="1">
      <alignment horizontal="right" vertical="top" wrapText="1"/>
    </xf>
    <xf numFmtId="170" fontId="25" fillId="3" borderId="5" xfId="4" applyNumberFormat="1" applyFont="1" applyFill="1" applyBorder="1" applyAlignment="1">
      <alignment horizontal="right" wrapText="1"/>
    </xf>
    <xf numFmtId="2" fontId="8" fillId="3" borderId="5" xfId="4" applyNumberFormat="1" applyFont="1" applyFill="1" applyBorder="1" applyAlignment="1">
      <alignment horizontal="center" vertical="top" wrapText="1"/>
    </xf>
    <xf numFmtId="173" fontId="13" fillId="5" borderId="4" xfId="19" applyNumberFormat="1" applyFont="1" applyFill="1" applyBorder="1" applyAlignment="1">
      <alignment horizontal="right" vertical="top"/>
    </xf>
    <xf numFmtId="170" fontId="12" fillId="0" borderId="4" xfId="19" applyNumberFormat="1" applyFont="1" applyBorder="1" applyAlignment="1">
      <alignment horizontal="right" vertical="top"/>
    </xf>
    <xf numFmtId="2" fontId="23" fillId="4" borderId="4" xfId="4" applyNumberFormat="1" applyFont="1" applyFill="1" applyBorder="1" applyAlignment="1">
      <alignment vertical="top" wrapText="1"/>
    </xf>
    <xf numFmtId="2" fontId="23" fillId="4" borderId="6" xfId="4" applyNumberFormat="1" applyFont="1" applyFill="1" applyBorder="1" applyAlignment="1">
      <alignment vertical="top" wrapText="1"/>
    </xf>
    <xf numFmtId="2" fontId="12" fillId="4" borderId="6" xfId="4" applyNumberFormat="1" applyFont="1" applyFill="1" applyBorder="1" applyAlignment="1">
      <alignment horizontal="left" vertical="top" wrapText="1"/>
    </xf>
    <xf numFmtId="2" fontId="12" fillId="4" borderId="4" xfId="4" applyNumberFormat="1" applyFont="1" applyFill="1" applyBorder="1" applyAlignment="1">
      <alignment horizontal="left" vertical="top" wrapText="1"/>
    </xf>
    <xf numFmtId="2" fontId="12" fillId="4" borderId="6" xfId="9" applyNumberFormat="1" applyFont="1" applyFill="1" applyBorder="1" applyAlignment="1">
      <alignment horizontal="left" vertical="top" wrapText="1"/>
    </xf>
    <xf numFmtId="2" fontId="12" fillId="4" borderId="6" xfId="15" applyNumberFormat="1" applyFont="1" applyFill="1" applyBorder="1" applyAlignment="1" applyProtection="1">
      <alignment horizontal="left" vertical="top" wrapText="1"/>
    </xf>
    <xf numFmtId="2" fontId="24" fillId="5" borderId="4" xfId="0" applyNumberFormat="1" applyFont="1" applyFill="1" applyBorder="1"/>
    <xf numFmtId="2" fontId="24" fillId="5" borderId="6" xfId="0" applyNumberFormat="1" applyFont="1" applyFill="1" applyBorder="1"/>
    <xf numFmtId="2" fontId="13" fillId="0" borderId="13" xfId="11" applyNumberFormat="1" applyFont="1" applyBorder="1" applyAlignment="1">
      <alignment horizontal="left" vertical="top" wrapText="1"/>
    </xf>
    <xf numFmtId="173" fontId="13" fillId="0" borderId="13" xfId="11" applyNumberFormat="1" applyFont="1" applyBorder="1" applyAlignment="1">
      <alignment vertical="top" wrapText="1"/>
    </xf>
    <xf numFmtId="170" fontId="13" fillId="0" borderId="13" xfId="11" applyNumberFormat="1" applyFont="1" applyBorder="1" applyAlignment="1">
      <alignment vertical="top"/>
    </xf>
    <xf numFmtId="2" fontId="24" fillId="0" borderId="0" xfId="0" applyNumberFormat="1" applyFont="1"/>
    <xf numFmtId="2" fontId="0" fillId="0" borderId="10" xfId="0" applyNumberFormat="1" applyBorder="1"/>
    <xf numFmtId="2" fontId="8" fillId="3" borderId="4" xfId="4" applyNumberFormat="1" applyFont="1" applyFill="1" applyBorder="1" applyAlignment="1">
      <alignment horizontal="left" vertical="top" wrapText="1"/>
    </xf>
    <xf numFmtId="173" fontId="8" fillId="3" borderId="4" xfId="15" applyNumberFormat="1" applyFont="1" applyFill="1" applyBorder="1" applyAlignment="1" applyProtection="1">
      <alignment horizontal="right" vertical="top" wrapText="1"/>
    </xf>
    <xf numFmtId="170" fontId="8" fillId="3" borderId="4" xfId="15" applyNumberFormat="1" applyFont="1" applyFill="1" applyBorder="1" applyAlignment="1" applyProtection="1">
      <alignment horizontal="right" vertical="top" wrapText="1"/>
    </xf>
    <xf numFmtId="2" fontId="25" fillId="0" borderId="0" xfId="15" applyNumberFormat="1" applyFont="1" applyFill="1" applyBorder="1" applyAlignment="1" applyProtection="1">
      <alignment horizontal="left" vertical="top" wrapText="1"/>
    </xf>
    <xf numFmtId="173" fontId="8" fillId="0" borderId="0" xfId="15" applyNumberFormat="1" applyFont="1" applyFill="1" applyBorder="1" applyAlignment="1" applyProtection="1">
      <alignment horizontal="right" vertical="top"/>
    </xf>
    <xf numFmtId="170" fontId="8" fillId="0" borderId="0" xfId="17" applyNumberFormat="1" applyFont="1" applyFill="1" applyBorder="1" applyAlignment="1" applyProtection="1">
      <alignment horizontal="right"/>
    </xf>
    <xf numFmtId="2" fontId="8" fillId="0" borderId="0" xfId="4" applyNumberFormat="1" applyFont="1" applyAlignment="1">
      <alignment vertical="top" wrapText="1"/>
    </xf>
    <xf numFmtId="0" fontId="8" fillId="3" borderId="6" xfId="4" applyFont="1" applyFill="1" applyBorder="1" applyAlignment="1">
      <alignment horizontal="left" vertical="center" wrapText="1"/>
    </xf>
    <xf numFmtId="2" fontId="12" fillId="0" borderId="4" xfId="15" applyNumberFormat="1" applyFont="1" applyFill="1" applyBorder="1" applyAlignment="1" applyProtection="1">
      <alignment vertical="top" wrapText="1"/>
    </xf>
    <xf numFmtId="2" fontId="12" fillId="0" borderId="6" xfId="15" applyNumberFormat="1" applyFont="1" applyFill="1" applyBorder="1" applyAlignment="1" applyProtection="1">
      <alignment vertical="top" wrapText="1"/>
    </xf>
    <xf numFmtId="2" fontId="13" fillId="5" borderId="4" xfId="11" quotePrefix="1" applyNumberFormat="1" applyFont="1" applyFill="1" applyBorder="1" applyAlignment="1">
      <alignment horizontal="right" vertical="top" wrapText="1"/>
    </xf>
    <xf numFmtId="173" fontId="13" fillId="0" borderId="4" xfId="11" applyNumberFormat="1" applyFont="1" applyBorder="1" applyAlignment="1">
      <alignment vertical="top" wrapText="1"/>
    </xf>
    <xf numFmtId="2" fontId="33" fillId="4" borderId="0" xfId="0" applyNumberFormat="1" applyFont="1" applyFill="1" applyAlignment="1">
      <alignment horizontal="left" vertical="top" wrapText="1"/>
    </xf>
    <xf numFmtId="173" fontId="33" fillId="4" borderId="0" xfId="0" applyNumberFormat="1" applyFont="1" applyFill="1" applyAlignment="1">
      <alignment horizontal="right" vertical="top"/>
    </xf>
    <xf numFmtId="173" fontId="37" fillId="4" borderId="0" xfId="0" applyNumberFormat="1" applyFont="1" applyFill="1" applyAlignment="1">
      <alignment horizontal="right" vertical="top"/>
    </xf>
    <xf numFmtId="170" fontId="33" fillId="4" borderId="0" xfId="0" applyNumberFormat="1" applyFont="1" applyFill="1" applyAlignment="1">
      <alignment horizontal="right" vertical="top"/>
    </xf>
    <xf numFmtId="2" fontId="32" fillId="5" borderId="10" xfId="0" applyNumberFormat="1" applyFont="1" applyFill="1" applyBorder="1"/>
    <xf numFmtId="2" fontId="32" fillId="0" borderId="0" xfId="0" applyNumberFormat="1" applyFont="1"/>
    <xf numFmtId="0" fontId="13" fillId="0" borderId="0" xfId="0" applyFont="1" applyAlignment="1">
      <alignment horizontal="left" vertical="center" wrapText="1"/>
    </xf>
    <xf numFmtId="165" fontId="13" fillId="0" borderId="0" xfId="5" applyNumberFormat="1" applyFont="1" applyFill="1" applyBorder="1" applyAlignment="1" applyProtection="1">
      <alignment horizontal="center" vertical="top" wrapText="1"/>
    </xf>
    <xf numFmtId="167" fontId="13" fillId="0" borderId="0" xfId="5" applyNumberFormat="1" applyFont="1" applyFill="1" applyBorder="1" applyAlignment="1" applyProtection="1">
      <alignment horizontal="center" vertical="top" wrapText="1"/>
    </xf>
    <xf numFmtId="165" fontId="12" fillId="0" borderId="4" xfId="0" applyNumberFormat="1" applyFont="1" applyBorder="1" applyAlignment="1">
      <alignment horizontal="right" vertical="top" wrapText="1"/>
    </xf>
    <xf numFmtId="173" fontId="12" fillId="0" borderId="0" xfId="9" applyNumberFormat="1" applyFont="1" applyAlignment="1">
      <alignment horizontal="right" vertical="top"/>
    </xf>
    <xf numFmtId="165" fontId="12" fillId="4" borderId="4" xfId="15" applyNumberFormat="1" applyFont="1" applyFill="1" applyBorder="1" applyAlignment="1" applyProtection="1">
      <alignment horizontal="right" vertical="top"/>
    </xf>
    <xf numFmtId="0" fontId="8" fillId="3" borderId="4" xfId="4" applyFont="1" applyFill="1" applyBorder="1" applyAlignment="1">
      <alignment horizontal="left" vertical="top" wrapText="1"/>
    </xf>
    <xf numFmtId="0" fontId="8" fillId="0" borderId="0" xfId="4" applyFont="1" applyAlignment="1">
      <alignment horizontal="left" vertical="top" wrapText="1"/>
    </xf>
    <xf numFmtId="165" fontId="8" fillId="0" borderId="0" xfId="4" applyNumberFormat="1" applyFont="1" applyAlignment="1">
      <alignment vertical="top"/>
    </xf>
    <xf numFmtId="170" fontId="8" fillId="0" borderId="0" xfId="4" applyNumberFormat="1" applyFont="1" applyAlignment="1">
      <alignment horizontal="right" vertical="top"/>
    </xf>
    <xf numFmtId="0" fontId="12" fillId="0" borderId="0" xfId="4" applyFont="1" applyAlignment="1">
      <alignment horizontal="left" vertical="top" wrapText="1"/>
    </xf>
    <xf numFmtId="0" fontId="8" fillId="3" borderId="5" xfId="4" applyFont="1" applyFill="1" applyBorder="1" applyAlignment="1">
      <alignment horizontal="center" vertical="top" wrapText="1"/>
    </xf>
    <xf numFmtId="165" fontId="12" fillId="0" borderId="13" xfId="15" applyNumberFormat="1" applyFont="1" applyFill="1" applyBorder="1" applyAlignment="1" applyProtection="1">
      <alignment horizontal="right" vertical="top"/>
    </xf>
    <xf numFmtId="0" fontId="13" fillId="4" borderId="0" xfId="4" applyFont="1" applyFill="1" applyAlignment="1">
      <alignment horizontal="left" vertical="top" wrapText="1"/>
    </xf>
    <xf numFmtId="165" fontId="13" fillId="4" borderId="0" xfId="4" applyNumberFormat="1" applyFont="1" applyFill="1" applyAlignment="1">
      <alignment vertical="top"/>
    </xf>
    <xf numFmtId="165" fontId="12" fillId="0" borderId="0" xfId="15" applyNumberFormat="1" applyFont="1" applyFill="1" applyBorder="1" applyAlignment="1" applyProtection="1">
      <alignment horizontal="right" vertical="top"/>
    </xf>
    <xf numFmtId="165" fontId="13" fillId="0" borderId="0" xfId="15" applyNumberFormat="1" applyFont="1" applyFill="1" applyBorder="1" applyAlignment="1" applyProtection="1">
      <alignment horizontal="right" vertical="top"/>
    </xf>
    <xf numFmtId="170" fontId="12" fillId="0" borderId="0" xfId="17" applyNumberFormat="1" applyFont="1" applyFill="1" applyBorder="1" applyAlignment="1" applyProtection="1">
      <alignment horizontal="right" vertical="top"/>
    </xf>
    <xf numFmtId="0" fontId="12" fillId="5" borderId="4" xfId="4" applyFont="1" applyFill="1" applyBorder="1" applyAlignment="1">
      <alignment horizontal="left" vertical="top" wrapText="1"/>
    </xf>
    <xf numFmtId="0" fontId="12" fillId="5" borderId="6" xfId="4" applyFont="1" applyFill="1" applyBorder="1" applyAlignment="1">
      <alignment horizontal="left" vertical="top" wrapText="1"/>
    </xf>
    <xf numFmtId="4" fontId="13" fillId="4" borderId="0" xfId="4" applyNumberFormat="1" applyFont="1" applyFill="1" applyAlignment="1">
      <alignment horizontal="left" vertical="top" wrapText="1"/>
    </xf>
    <xf numFmtId="170" fontId="12" fillId="4" borderId="0" xfId="4" applyNumberFormat="1" applyFont="1" applyFill="1" applyAlignment="1">
      <alignment horizontal="right" vertical="top"/>
    </xf>
    <xf numFmtId="0" fontId="13" fillId="0" borderId="0" xfId="4" applyFont="1" applyAlignment="1">
      <alignment horizontal="left" vertical="top" wrapText="1"/>
    </xf>
    <xf numFmtId="0" fontId="12" fillId="5" borderId="5" xfId="4" applyFont="1" applyFill="1" applyBorder="1" applyAlignment="1">
      <alignment horizontal="left" vertical="top" wrapText="1"/>
    </xf>
    <xf numFmtId="0" fontId="13" fillId="5" borderId="6" xfId="4" applyFont="1" applyFill="1" applyBorder="1" applyAlignment="1">
      <alignment horizontal="left" vertical="top" wrapText="1"/>
    </xf>
    <xf numFmtId="170" fontId="13" fillId="4" borderId="5" xfId="4" applyNumberFormat="1" applyFont="1" applyFill="1" applyBorder="1" applyAlignment="1">
      <alignment horizontal="right" vertical="top"/>
    </xf>
    <xf numFmtId="0" fontId="12" fillId="4" borderId="4" xfId="16" applyFont="1" applyFill="1" applyBorder="1" applyAlignment="1">
      <alignment horizontal="left" vertical="top" wrapText="1"/>
    </xf>
    <xf numFmtId="0" fontId="12" fillId="0" borderId="0" xfId="2" applyFont="1" applyAlignment="1">
      <alignment horizontal="left" vertical="top" wrapText="1"/>
    </xf>
    <xf numFmtId="0" fontId="13" fillId="5" borderId="4" xfId="4" applyFont="1" applyFill="1" applyBorder="1" applyAlignment="1">
      <alignment horizontal="left" vertical="top" wrapText="1"/>
    </xf>
    <xf numFmtId="4" fontId="13" fillId="0" borderId="6" xfId="11" applyNumberFormat="1" applyFont="1" applyBorder="1" applyAlignment="1">
      <alignment horizontal="left" vertical="top" wrapText="1"/>
    </xf>
    <xf numFmtId="165" fontId="13" fillId="0" borderId="5" xfId="11" applyNumberFormat="1" applyFont="1" applyBorder="1" applyAlignment="1">
      <alignment vertical="top" wrapText="1"/>
    </xf>
    <xf numFmtId="170" fontId="13" fillId="0" borderId="5" xfId="11" applyNumberFormat="1" applyFont="1" applyBorder="1" applyAlignment="1">
      <alignment vertical="top"/>
    </xf>
    <xf numFmtId="0" fontId="13" fillId="0" borderId="5" xfId="4" applyFont="1" applyBorder="1" applyAlignment="1">
      <alignment horizontal="left" vertical="top" wrapText="1"/>
    </xf>
    <xf numFmtId="0" fontId="12" fillId="0" borderId="5" xfId="4" applyFont="1" applyBorder="1" applyAlignment="1">
      <alignment horizontal="left" vertical="top" wrapText="1"/>
    </xf>
    <xf numFmtId="0" fontId="23" fillId="0" borderId="4" xfId="16" applyFont="1" applyBorder="1" applyAlignment="1">
      <alignment horizontal="left" vertical="top" wrapText="1"/>
    </xf>
    <xf numFmtId="165" fontId="13" fillId="3" borderId="5" xfId="5" applyNumberFormat="1" applyFont="1" applyFill="1" applyBorder="1" applyAlignment="1" applyProtection="1">
      <alignment horizontal="center" vertical="center"/>
    </xf>
    <xf numFmtId="170" fontId="13" fillId="3" borderId="5" xfId="5" applyNumberFormat="1" applyFont="1" applyFill="1" applyBorder="1" applyAlignment="1" applyProtection="1">
      <alignment horizontal="right" vertical="center"/>
    </xf>
    <xf numFmtId="0" fontId="13" fillId="3" borderId="5" xfId="4" applyFont="1" applyFill="1" applyBorder="1" applyAlignment="1">
      <alignment horizontal="center" vertical="top" wrapText="1"/>
    </xf>
    <xf numFmtId="4" fontId="13" fillId="0" borderId="0" xfId="4" applyNumberFormat="1" applyFont="1" applyAlignment="1">
      <alignment horizontal="left" vertical="top" wrapText="1"/>
    </xf>
    <xf numFmtId="165" fontId="13" fillId="0" borderId="0" xfId="4" applyNumberFormat="1" applyFont="1" applyAlignment="1">
      <alignment vertical="top"/>
    </xf>
    <xf numFmtId="170" fontId="13" fillId="0" borderId="0" xfId="4" applyNumberFormat="1" applyFont="1" applyAlignment="1">
      <alignment horizontal="right" vertical="top"/>
    </xf>
    <xf numFmtId="0" fontId="13" fillId="5" borderId="5" xfId="4" applyFont="1" applyFill="1" applyBorder="1" applyAlignment="1">
      <alignment horizontal="left" vertical="top" wrapText="1"/>
    </xf>
    <xf numFmtId="170" fontId="13" fillId="0" borderId="5" xfId="4" applyNumberFormat="1" applyFont="1" applyBorder="1" applyAlignment="1">
      <alignment horizontal="right" vertical="top"/>
    </xf>
    <xf numFmtId="4" fontId="13" fillId="0" borderId="0" xfId="11" applyNumberFormat="1" applyFont="1" applyAlignment="1">
      <alignment horizontal="left" vertical="top" wrapText="1"/>
    </xf>
    <xf numFmtId="165" fontId="12" fillId="4" borderId="0" xfId="15" applyNumberFormat="1" applyFont="1" applyFill="1" applyBorder="1" applyAlignment="1" applyProtection="1">
      <alignment horizontal="right" vertical="top"/>
    </xf>
    <xf numFmtId="165" fontId="13" fillId="4" borderId="0" xfId="15" applyNumberFormat="1" applyFont="1" applyFill="1" applyBorder="1" applyAlignment="1" applyProtection="1">
      <alignment horizontal="right" vertical="top"/>
    </xf>
    <xf numFmtId="0" fontId="8" fillId="3" borderId="4" xfId="4" applyFont="1" applyFill="1" applyBorder="1" applyAlignment="1">
      <alignment horizontal="left" vertical="center" wrapText="1"/>
    </xf>
    <xf numFmtId="165" fontId="36" fillId="0" borderId="0" xfId="0" applyNumberFormat="1" applyFont="1"/>
    <xf numFmtId="167" fontId="9" fillId="4" borderId="0" xfId="9" applyNumberFormat="1" applyFont="1" applyFill="1" applyAlignment="1">
      <alignment horizontal="right"/>
    </xf>
    <xf numFmtId="0" fontId="33" fillId="4" borderId="0" xfId="9" applyFont="1" applyFill="1" applyAlignment="1">
      <alignment wrapText="1"/>
    </xf>
    <xf numFmtId="165" fontId="33" fillId="0" borderId="0" xfId="0" applyNumberFormat="1" applyFont="1"/>
    <xf numFmtId="165" fontId="37" fillId="0" borderId="0" xfId="0" applyNumberFormat="1" applyFont="1"/>
    <xf numFmtId="167" fontId="33" fillId="4" borderId="0" xfId="9" applyNumberFormat="1" applyFont="1" applyFill="1" applyAlignment="1">
      <alignment horizontal="right"/>
    </xf>
    <xf numFmtId="0" fontId="25" fillId="0" borderId="0" xfId="16" applyFont="1" applyAlignment="1">
      <alignment wrapText="1"/>
    </xf>
    <xf numFmtId="0" fontId="25" fillId="0" borderId="0" xfId="16" applyFont="1" applyAlignment="1">
      <alignment vertical="top" wrapText="1"/>
    </xf>
    <xf numFmtId="0" fontId="9" fillId="4" borderId="0" xfId="0" applyFont="1" applyFill="1"/>
    <xf numFmtId="0" fontId="8" fillId="3" borderId="0" xfId="4" applyFont="1" applyFill="1" applyAlignment="1">
      <alignment horizontal="left" vertical="center" wrapText="1"/>
    </xf>
    <xf numFmtId="165" fontId="8" fillId="3" borderId="0" xfId="5" applyNumberFormat="1" applyFont="1" applyFill="1" applyBorder="1" applyAlignment="1" applyProtection="1">
      <alignment horizontal="center" vertical="center"/>
    </xf>
    <xf numFmtId="2" fontId="8" fillId="3" borderId="0" xfId="5" applyNumberFormat="1" applyFont="1" applyFill="1" applyBorder="1" applyAlignment="1" applyProtection="1">
      <alignment horizontal="right" vertical="center"/>
    </xf>
    <xf numFmtId="0" fontId="8" fillId="0" borderId="0" xfId="4" applyFont="1" applyAlignment="1">
      <alignment horizontal="center" vertical="center" wrapText="1"/>
    </xf>
    <xf numFmtId="0" fontId="12" fillId="0" borderId="4" xfId="16" quotePrefix="1" applyFont="1" applyBorder="1" applyAlignment="1">
      <alignment horizontal="left" vertical="top" wrapText="1"/>
    </xf>
    <xf numFmtId="170" fontId="13" fillId="0" borderId="4" xfId="11" applyNumberFormat="1" applyFont="1" applyBorder="1" applyAlignment="1">
      <alignment vertical="top"/>
    </xf>
    <xf numFmtId="165" fontId="9" fillId="0" borderId="13" xfId="0" applyNumberFormat="1" applyFont="1" applyBorder="1" applyAlignment="1">
      <alignment vertical="top" wrapText="1"/>
    </xf>
    <xf numFmtId="165" fontId="12" fillId="4" borderId="13" xfId="15" applyNumberFormat="1" applyFont="1" applyFill="1" applyBorder="1" applyAlignment="1" applyProtection="1">
      <alignment vertical="top"/>
    </xf>
    <xf numFmtId="165" fontId="13" fillId="5" borderId="13" xfId="15" applyNumberFormat="1" applyFont="1" applyFill="1" applyBorder="1" applyAlignment="1" applyProtection="1">
      <alignment vertical="top"/>
    </xf>
    <xf numFmtId="165" fontId="12" fillId="0" borderId="13" xfId="15" applyNumberFormat="1" applyFont="1" applyFill="1" applyBorder="1" applyAlignment="1" applyProtection="1">
      <alignment vertical="top"/>
    </xf>
    <xf numFmtId="0" fontId="12" fillId="0" borderId="4" xfId="22" applyFont="1" applyBorder="1" applyAlignment="1">
      <alignment horizontal="left" vertical="top" wrapText="1"/>
    </xf>
    <xf numFmtId="165" fontId="12" fillId="4" borderId="4" xfId="15" applyNumberFormat="1" applyFont="1" applyFill="1" applyBorder="1" applyAlignment="1" applyProtection="1">
      <alignment vertical="top"/>
    </xf>
    <xf numFmtId="165" fontId="13" fillId="5" borderId="4" xfId="15" applyNumberFormat="1" applyFont="1" applyFill="1" applyBorder="1" applyAlignment="1" applyProtection="1">
      <alignment vertical="top"/>
    </xf>
    <xf numFmtId="165" fontId="12" fillId="4" borderId="13" xfId="16" applyNumberFormat="1" applyFont="1" applyFill="1" applyBorder="1" applyAlignment="1">
      <alignment horizontal="left" vertical="top" wrapText="1"/>
    </xf>
    <xf numFmtId="165" fontId="12" fillId="4" borderId="13" xfId="17" applyNumberFormat="1" applyFont="1" applyFill="1" applyBorder="1" applyAlignment="1" applyProtection="1">
      <alignment horizontal="right" vertical="top"/>
    </xf>
    <xf numFmtId="165" fontId="13" fillId="4" borderId="13" xfId="17" applyNumberFormat="1" applyFont="1" applyFill="1" applyBorder="1" applyAlignment="1" applyProtection="1">
      <alignment horizontal="right" vertical="top"/>
    </xf>
    <xf numFmtId="170" fontId="12" fillId="4" borderId="13" xfId="17" applyNumberFormat="1" applyFont="1" applyFill="1" applyBorder="1" applyAlignment="1" applyProtection="1">
      <alignment horizontal="right" vertical="top"/>
    </xf>
    <xf numFmtId="165" fontId="9" fillId="4" borderId="13" xfId="0" applyNumberFormat="1" applyFont="1" applyFill="1" applyBorder="1" applyAlignment="1">
      <alignment vertical="top" wrapText="1"/>
    </xf>
    <xf numFmtId="165" fontId="12" fillId="4" borderId="1" xfId="9" applyNumberFormat="1" applyFont="1" applyFill="1" applyBorder="1" applyAlignment="1">
      <alignment horizontal="left" vertical="top" wrapText="1"/>
    </xf>
    <xf numFmtId="0" fontId="0" fillId="4" borderId="10" xfId="0" applyFill="1" applyBorder="1"/>
    <xf numFmtId="165" fontId="9" fillId="0" borderId="4" xfId="0" applyNumberFormat="1" applyFont="1" applyBorder="1" applyAlignment="1">
      <alignment vertical="top" wrapText="1"/>
    </xf>
    <xf numFmtId="165" fontId="8" fillId="3" borderId="4" xfId="16" applyNumberFormat="1" applyFont="1" applyFill="1" applyBorder="1" applyAlignment="1">
      <alignment wrapText="1"/>
    </xf>
    <xf numFmtId="165" fontId="12" fillId="3" borderId="4" xfId="16" applyNumberFormat="1" applyFont="1" applyFill="1" applyBorder="1" applyAlignment="1">
      <alignment wrapText="1"/>
    </xf>
    <xf numFmtId="173" fontId="13" fillId="0" borderId="0" xfId="9" applyNumberFormat="1" applyFont="1" applyAlignment="1">
      <alignment horizontal="right" vertical="top"/>
    </xf>
    <xf numFmtId="173" fontId="12" fillId="0" borderId="0" xfId="17" applyNumberFormat="1" applyFont="1" applyFill="1" applyBorder="1" applyAlignment="1" applyProtection="1">
      <alignment horizontal="right" vertical="top"/>
    </xf>
    <xf numFmtId="170" fontId="12" fillId="0" borderId="0" xfId="9" applyNumberFormat="1" applyFont="1" applyAlignment="1">
      <alignment horizontal="right" vertical="top"/>
    </xf>
    <xf numFmtId="0" fontId="12" fillId="0" borderId="4" xfId="4" applyFont="1" applyBorder="1" applyAlignment="1">
      <alignment horizontal="left" vertical="top" wrapText="1"/>
    </xf>
    <xf numFmtId="165" fontId="13" fillId="0" borderId="0" xfId="16" applyNumberFormat="1" applyFont="1" applyAlignment="1">
      <alignment horizontal="left" vertical="center" wrapText="1"/>
    </xf>
    <xf numFmtId="10" fontId="13" fillId="0" borderId="0" xfId="17" applyNumberFormat="1" applyFont="1" applyFill="1" applyBorder="1" applyAlignment="1" applyProtection="1">
      <alignment horizontal="right"/>
    </xf>
    <xf numFmtId="165" fontId="13" fillId="4" borderId="0" xfId="16" applyNumberFormat="1" applyFont="1" applyFill="1" applyAlignment="1">
      <alignment horizontal="center" vertical="top" wrapText="1"/>
    </xf>
    <xf numFmtId="165" fontId="9" fillId="4" borderId="6" xfId="0" applyNumberFormat="1" applyFont="1" applyFill="1" applyBorder="1" applyAlignment="1">
      <alignment vertical="top" wrapText="1"/>
    </xf>
    <xf numFmtId="165" fontId="12" fillId="0" borderId="0" xfId="16" applyNumberFormat="1" applyFont="1" applyAlignment="1">
      <alignment wrapText="1"/>
    </xf>
    <xf numFmtId="165" fontId="12" fillId="0" borderId="4" xfId="9" applyNumberFormat="1" applyFont="1" applyBorder="1" applyAlignment="1">
      <alignment horizontal="left" vertical="top" wrapText="1"/>
    </xf>
    <xf numFmtId="165" fontId="12" fillId="0" borderId="6" xfId="16" applyNumberFormat="1" applyFont="1" applyBorder="1" applyAlignment="1">
      <alignment horizontal="left" vertical="top" wrapText="1"/>
    </xf>
    <xf numFmtId="165" fontId="9" fillId="0" borderId="6" xfId="0" applyNumberFormat="1" applyFont="1" applyBorder="1" applyAlignment="1">
      <alignment vertical="top" wrapText="1"/>
    </xf>
    <xf numFmtId="165" fontId="12" fillId="0" borderId="1" xfId="16" applyNumberFormat="1" applyFont="1" applyBorder="1" applyAlignment="1">
      <alignment horizontal="left" vertical="top" wrapText="1"/>
    </xf>
    <xf numFmtId="165" fontId="13" fillId="5" borderId="0" xfId="11" applyNumberFormat="1" applyFont="1" applyFill="1" applyAlignment="1">
      <alignment horizontal="left" vertical="top" wrapText="1"/>
    </xf>
    <xf numFmtId="170" fontId="13" fillId="5" borderId="0" xfId="11" applyNumberFormat="1" applyFont="1" applyFill="1" applyAlignment="1">
      <alignment vertical="top"/>
    </xf>
    <xf numFmtId="165" fontId="15" fillId="5" borderId="0" xfId="11" applyNumberFormat="1" applyFont="1" applyFill="1" applyAlignment="1">
      <alignment vertical="top" wrapText="1"/>
    </xf>
    <xf numFmtId="165" fontId="12" fillId="0" borderId="4" xfId="16" quotePrefix="1" applyNumberFormat="1" applyFont="1" applyBorder="1" applyAlignment="1">
      <alignment horizontal="left" vertical="top" wrapText="1"/>
    </xf>
    <xf numFmtId="0" fontId="8" fillId="3" borderId="4" xfId="16" quotePrefix="1" applyFont="1" applyFill="1" applyBorder="1" applyAlignment="1">
      <alignment horizontal="left" wrapText="1"/>
    </xf>
    <xf numFmtId="165" fontId="12" fillId="4" borderId="4" xfId="16" quotePrefix="1" applyNumberFormat="1" applyFont="1" applyFill="1" applyBorder="1" applyAlignment="1">
      <alignment horizontal="left" vertical="top" wrapText="1"/>
    </xf>
    <xf numFmtId="165" fontId="12" fillId="4" borderId="4" xfId="17" applyNumberFormat="1" applyFont="1" applyFill="1" applyBorder="1" applyAlignment="1" applyProtection="1">
      <alignment horizontal="right" vertical="top"/>
    </xf>
    <xf numFmtId="165" fontId="13" fillId="4" borderId="4" xfId="17" applyNumberFormat="1" applyFont="1" applyFill="1" applyBorder="1" applyAlignment="1" applyProtection="1">
      <alignment horizontal="right" vertical="top"/>
    </xf>
    <xf numFmtId="165" fontId="9" fillId="4" borderId="4" xfId="0" applyNumberFormat="1" applyFont="1" applyFill="1" applyBorder="1" applyAlignment="1">
      <alignment vertical="top" wrapText="1"/>
    </xf>
    <xf numFmtId="165" fontId="13" fillId="0" borderId="0" xfId="16" applyNumberFormat="1" applyFont="1" applyAlignment="1">
      <alignment horizontal="justify" vertical="top" wrapText="1"/>
    </xf>
    <xf numFmtId="165" fontId="12" fillId="4" borderId="0" xfId="16" applyNumberFormat="1" applyFont="1" applyFill="1" applyAlignment="1">
      <alignment vertical="top" wrapText="1"/>
    </xf>
    <xf numFmtId="165" fontId="8" fillId="3" borderId="6" xfId="4" applyNumberFormat="1" applyFont="1" applyFill="1" applyBorder="1" applyAlignment="1">
      <alignment horizontal="left" vertical="center" wrapText="1"/>
    </xf>
    <xf numFmtId="10" fontId="8" fillId="3" borderId="5" xfId="5" applyNumberFormat="1" applyFont="1" applyFill="1" applyBorder="1" applyAlignment="1" applyProtection="1">
      <alignment horizontal="center" vertical="center"/>
    </xf>
    <xf numFmtId="165" fontId="8" fillId="3" borderId="5" xfId="4" applyNumberFormat="1" applyFont="1" applyFill="1" applyBorder="1" applyAlignment="1">
      <alignment horizontal="center" vertical="top" wrapText="1"/>
    </xf>
    <xf numFmtId="165" fontId="12" fillId="4" borderId="4" xfId="16" applyNumberFormat="1" applyFont="1" applyFill="1" applyBorder="1" applyAlignment="1">
      <alignment horizontal="left" vertical="top" wrapText="1"/>
    </xf>
    <xf numFmtId="165" fontId="12" fillId="4" borderId="6" xfId="9" applyNumberFormat="1" applyFont="1" applyFill="1" applyBorder="1" applyAlignment="1">
      <alignment horizontal="left" vertical="top" wrapText="1"/>
    </xf>
    <xf numFmtId="165" fontId="12" fillId="4" borderId="4" xfId="9" applyNumberFormat="1" applyFont="1" applyFill="1" applyBorder="1" applyAlignment="1">
      <alignment horizontal="left" vertical="top" wrapText="1"/>
    </xf>
    <xf numFmtId="165" fontId="8" fillId="3" borderId="4" xfId="4" applyNumberFormat="1" applyFont="1" applyFill="1" applyBorder="1" applyAlignment="1">
      <alignment horizontal="left" vertical="top" wrapText="1"/>
    </xf>
    <xf numFmtId="165" fontId="8" fillId="3" borderId="4" xfId="4" applyNumberFormat="1" applyFont="1" applyFill="1" applyBorder="1" applyAlignment="1">
      <alignment vertical="top" wrapText="1"/>
    </xf>
    <xf numFmtId="165" fontId="12" fillId="3" borderId="4" xfId="4" applyNumberFormat="1" applyFont="1" applyFill="1" applyBorder="1" applyAlignment="1">
      <alignment horizontal="left" vertical="top" wrapText="1"/>
    </xf>
    <xf numFmtId="165" fontId="12" fillId="3" borderId="6" xfId="4" applyNumberFormat="1" applyFont="1" applyFill="1" applyBorder="1" applyAlignment="1">
      <alignment horizontal="left" vertical="top" wrapText="1"/>
    </xf>
    <xf numFmtId="0" fontId="8" fillId="3" borderId="6" xfId="16" applyFont="1" applyFill="1" applyBorder="1" applyAlignment="1">
      <alignment horizontal="left" vertical="top" wrapText="1"/>
    </xf>
    <xf numFmtId="0" fontId="8" fillId="3" borderId="5" xfId="9" applyFont="1" applyFill="1" applyBorder="1" applyAlignment="1">
      <alignment vertical="center" wrapText="1"/>
    </xf>
    <xf numFmtId="0" fontId="24" fillId="4" borderId="0" xfId="0" applyFont="1" applyFill="1" applyAlignment="1">
      <alignment wrapText="1"/>
    </xf>
    <xf numFmtId="4" fontId="13" fillId="5" borderId="13" xfId="11" applyNumberFormat="1" applyFont="1" applyFill="1" applyBorder="1" applyAlignment="1">
      <alignment horizontal="left" vertical="top" wrapText="1"/>
    </xf>
    <xf numFmtId="170" fontId="13" fillId="5" borderId="1" xfId="11" applyNumberFormat="1" applyFont="1" applyFill="1" applyBorder="1" applyAlignment="1">
      <alignment vertical="top"/>
    </xf>
    <xf numFmtId="0" fontId="24" fillId="5" borderId="4" xfId="0" applyFont="1" applyFill="1" applyBorder="1"/>
    <xf numFmtId="0" fontId="24" fillId="5" borderId="6" xfId="0" applyFont="1" applyFill="1" applyBorder="1"/>
    <xf numFmtId="170" fontId="12" fillId="4" borderId="0" xfId="9" applyNumberFormat="1" applyFont="1" applyFill="1" applyAlignment="1">
      <alignment horizontal="left" vertical="top"/>
    </xf>
    <xf numFmtId="0" fontId="38" fillId="5" borderId="4" xfId="0" applyFont="1" applyFill="1" applyBorder="1"/>
    <xf numFmtId="0" fontId="38" fillId="5" borderId="6" xfId="0" applyFont="1" applyFill="1" applyBorder="1"/>
    <xf numFmtId="0" fontId="24" fillId="3" borderId="4" xfId="0" applyFont="1" applyFill="1" applyBorder="1"/>
    <xf numFmtId="0" fontId="24" fillId="3" borderId="6" xfId="0" applyFont="1" applyFill="1" applyBorder="1"/>
    <xf numFmtId="0" fontId="8" fillId="3" borderId="6" xfId="9" applyFont="1" applyFill="1" applyBorder="1" applyAlignment="1">
      <alignment vertical="center" wrapText="1"/>
    </xf>
    <xf numFmtId="0" fontId="8" fillId="3" borderId="5" xfId="9" applyFont="1" applyFill="1" applyBorder="1" applyAlignment="1">
      <alignment vertical="center"/>
    </xf>
    <xf numFmtId="165" fontId="13" fillId="0" borderId="4" xfId="19" applyNumberFormat="1" applyFont="1" applyBorder="1" applyAlignment="1">
      <alignment horizontal="right" vertical="top"/>
    </xf>
    <xf numFmtId="2" fontId="13" fillId="4" borderId="4" xfId="9" applyNumberFormat="1" applyFont="1" applyFill="1" applyBorder="1" applyAlignment="1">
      <alignment horizontal="left" vertical="top"/>
    </xf>
    <xf numFmtId="2" fontId="13" fillId="4" borderId="6" xfId="9" applyNumberFormat="1" applyFont="1" applyFill="1" applyBorder="1" applyAlignment="1">
      <alignment horizontal="left" vertical="top"/>
    </xf>
    <xf numFmtId="166" fontId="13" fillId="0" borderId="4" xfId="9" applyNumberFormat="1" applyFont="1" applyBorder="1" applyAlignment="1">
      <alignment horizontal="left" vertical="top"/>
    </xf>
    <xf numFmtId="10" fontId="13" fillId="0" borderId="4" xfId="9" applyNumberFormat="1" applyFont="1" applyBorder="1" applyAlignment="1">
      <alignment horizontal="left" vertical="top"/>
    </xf>
    <xf numFmtId="0" fontId="24" fillId="4" borderId="4" xfId="0" applyFont="1" applyFill="1" applyBorder="1"/>
    <xf numFmtId="0" fontId="24" fillId="4" borderId="6" xfId="0" applyFont="1" applyFill="1" applyBorder="1"/>
    <xf numFmtId="0" fontId="12" fillId="0" borderId="19" xfId="9" applyFont="1" applyBorder="1" applyAlignment="1">
      <alignment horizontal="left" vertical="top" wrapText="1"/>
    </xf>
    <xf numFmtId="166" fontId="12" fillId="0" borderId="0" xfId="19" applyNumberFormat="1" applyFont="1" applyAlignment="1">
      <alignment horizontal="right" vertical="top"/>
    </xf>
    <xf numFmtId="0" fontId="12" fillId="4" borderId="16" xfId="9" applyFont="1" applyFill="1" applyBorder="1" applyAlignment="1">
      <alignment horizontal="left" vertical="top" wrapText="1"/>
    </xf>
    <xf numFmtId="0" fontId="12" fillId="0" borderId="4" xfId="19" quotePrefix="1" applyFont="1" applyBorder="1" applyAlignment="1">
      <alignment horizontal="left" vertical="top" wrapText="1"/>
    </xf>
    <xf numFmtId="0" fontId="12" fillId="4" borderId="1" xfId="9" applyFont="1" applyFill="1" applyBorder="1" applyAlignment="1">
      <alignment horizontal="left" vertical="top" wrapText="1"/>
    </xf>
    <xf numFmtId="166" fontId="12" fillId="0" borderId="0" xfId="9" applyNumberFormat="1" applyFont="1" applyAlignment="1">
      <alignment horizontal="left" vertical="top"/>
    </xf>
    <xf numFmtId="170" fontId="12" fillId="0" borderId="0" xfId="9" applyNumberFormat="1" applyFont="1" applyAlignment="1">
      <alignment horizontal="left" vertical="top"/>
    </xf>
    <xf numFmtId="0" fontId="33" fillId="0" borderId="0" xfId="0" applyFont="1" applyAlignment="1">
      <alignment wrapText="1"/>
    </xf>
    <xf numFmtId="0" fontId="33" fillId="0" borderId="0" xfId="0" applyFont="1"/>
    <xf numFmtId="0" fontId="31" fillId="0" borderId="0" xfId="16" applyFont="1" applyAlignment="1">
      <alignment horizontal="left" wrapText="1"/>
    </xf>
    <xf numFmtId="0" fontId="31" fillId="0" borderId="0" xfId="16" applyFont="1" applyAlignment="1">
      <alignment horizontal="left" vertical="top" wrapText="1"/>
    </xf>
    <xf numFmtId="164" fontId="8" fillId="3" borderId="4" xfId="4" applyNumberFormat="1" applyFont="1" applyFill="1" applyBorder="1" applyAlignment="1">
      <alignment vertical="top" wrapText="1"/>
    </xf>
    <xf numFmtId="170" fontId="8" fillId="3" borderId="4" xfId="4" applyNumberFormat="1" applyFont="1" applyFill="1" applyBorder="1" applyAlignment="1">
      <alignment vertical="top"/>
    </xf>
    <xf numFmtId="169" fontId="0" fillId="0" borderId="0" xfId="0" applyNumberFormat="1"/>
    <xf numFmtId="165" fontId="17" fillId="0" borderId="0" xfId="4" applyNumberFormat="1" applyFont="1" applyAlignment="1">
      <alignment horizontal="left" wrapText="1"/>
    </xf>
    <xf numFmtId="176" fontId="17" fillId="0" borderId="0" xfId="4" applyNumberFormat="1" applyFont="1" applyAlignment="1">
      <alignment horizontal="right" wrapText="1"/>
    </xf>
    <xf numFmtId="165" fontId="0" fillId="0" borderId="0" xfId="0" applyNumberFormat="1" applyAlignment="1">
      <alignment wrapText="1"/>
    </xf>
    <xf numFmtId="176" fontId="0" fillId="0" borderId="0" xfId="0" applyNumberFormat="1"/>
    <xf numFmtId="165" fontId="17" fillId="0" borderId="0" xfId="5" applyNumberFormat="1" applyFont="1" applyFill="1" applyBorder="1" applyAlignment="1" applyProtection="1">
      <alignment horizontal="right" wrapText="1"/>
    </xf>
    <xf numFmtId="0" fontId="39" fillId="7" borderId="0" xfId="0" applyFont="1" applyFill="1" applyAlignment="1">
      <alignment horizontal="left"/>
    </xf>
    <xf numFmtId="0" fontId="0" fillId="8" borderId="0" xfId="0" applyFill="1"/>
    <xf numFmtId="0" fontId="40" fillId="0" borderId="0" xfId="20" applyFont="1" applyBorder="1"/>
    <xf numFmtId="0" fontId="41" fillId="0" borderId="0" xfId="0" applyFont="1"/>
    <xf numFmtId="165" fontId="12" fillId="0" borderId="13" xfId="4" applyNumberFormat="1" applyFont="1" applyBorder="1" applyAlignment="1">
      <alignment horizontal="left" vertical="top" wrapText="1"/>
    </xf>
    <xf numFmtId="165" fontId="12" fillId="5" borderId="13" xfId="11" applyNumberFormat="1" applyFont="1" applyFill="1" applyBorder="1" applyAlignment="1">
      <alignment horizontal="right" vertical="top" wrapText="1"/>
    </xf>
    <xf numFmtId="9" fontId="12" fillId="0" borderId="13" xfId="1" applyFont="1" applyBorder="1" applyAlignment="1" applyProtection="1">
      <alignment horizontal="right" vertical="top" wrapText="1"/>
    </xf>
    <xf numFmtId="165" fontId="12" fillId="9" borderId="4" xfId="7" applyNumberFormat="1" applyFont="1" applyFill="1" applyBorder="1" applyAlignment="1">
      <alignment horizontal="right" vertical="center"/>
    </xf>
    <xf numFmtId="165" fontId="13" fillId="9" borderId="4" xfId="7" applyNumberFormat="1" applyFont="1" applyFill="1" applyBorder="1" applyAlignment="1">
      <alignment horizontal="right"/>
    </xf>
    <xf numFmtId="165" fontId="13" fillId="9" borderId="4" xfId="7" applyNumberFormat="1" applyFont="1" applyFill="1" applyBorder="1" applyAlignment="1">
      <alignment horizontal="right" vertical="center"/>
    </xf>
    <xf numFmtId="170" fontId="12" fillId="9" borderId="4" xfId="7" applyNumberFormat="1" applyFont="1" applyFill="1" applyBorder="1" applyAlignment="1">
      <alignment horizontal="right" vertical="center"/>
    </xf>
    <xf numFmtId="170" fontId="13" fillId="9" borderId="4" xfId="7" applyNumberFormat="1" applyFont="1" applyFill="1" applyBorder="1" applyAlignment="1">
      <alignment horizontal="right" vertical="center"/>
    </xf>
    <xf numFmtId="0" fontId="12" fillId="9" borderId="13" xfId="7" applyFont="1" applyFill="1" applyBorder="1" applyAlignment="1">
      <alignment horizontal="left" vertical="top" wrapText="1"/>
    </xf>
    <xf numFmtId="165" fontId="8" fillId="9" borderId="4" xfId="9" applyNumberFormat="1" applyFont="1" applyFill="1" applyBorder="1" applyAlignment="1">
      <alignment horizontal="right" vertical="top" wrapText="1"/>
    </xf>
    <xf numFmtId="165" fontId="12" fillId="9" borderId="13" xfId="9" applyNumberFormat="1" applyFont="1" applyFill="1" applyBorder="1" applyAlignment="1">
      <alignment horizontal="right" vertical="top" wrapText="1"/>
    </xf>
    <xf numFmtId="165" fontId="13" fillId="9" borderId="4" xfId="11" applyNumberFormat="1" applyFont="1" applyFill="1" applyBorder="1" applyAlignment="1">
      <alignment vertical="top" wrapText="1"/>
    </xf>
    <xf numFmtId="170" fontId="13" fillId="9" borderId="4" xfId="11" applyNumberFormat="1" applyFont="1" applyFill="1" applyBorder="1" applyAlignment="1">
      <alignment vertical="top"/>
    </xf>
    <xf numFmtId="170" fontId="12" fillId="9" borderId="4" xfId="9" applyNumberFormat="1" applyFont="1" applyFill="1" applyBorder="1" applyAlignment="1">
      <alignment horizontal="right" vertical="top" wrapText="1"/>
    </xf>
    <xf numFmtId="165" fontId="13" fillId="9" borderId="13" xfId="9" applyNumberFormat="1" applyFont="1" applyFill="1" applyBorder="1" applyAlignment="1">
      <alignment horizontal="right" vertical="top" wrapText="1"/>
    </xf>
    <xf numFmtId="170" fontId="8" fillId="9" borderId="4" xfId="9" applyNumberFormat="1" applyFont="1" applyFill="1" applyBorder="1" applyAlignment="1">
      <alignment horizontal="right" vertical="top" wrapText="1"/>
    </xf>
    <xf numFmtId="165" fontId="13" fillId="9" borderId="4" xfId="9" applyNumberFormat="1" applyFont="1" applyFill="1" applyBorder="1" applyAlignment="1">
      <alignment horizontal="right" vertical="top" wrapText="1"/>
    </xf>
    <xf numFmtId="170" fontId="13" fillId="9" borderId="4" xfId="9" applyNumberFormat="1" applyFont="1" applyFill="1" applyBorder="1" applyAlignment="1">
      <alignment horizontal="right" vertical="top" wrapText="1"/>
    </xf>
    <xf numFmtId="0" fontId="12" fillId="9" borderId="6" xfId="14" applyFont="1" applyFill="1" applyBorder="1" applyAlignment="1">
      <alignment horizontal="justify" vertical="top" wrapText="1"/>
    </xf>
    <xf numFmtId="165" fontId="13" fillId="9" borderId="4" xfId="16" applyNumberFormat="1" applyFont="1" applyFill="1" applyBorder="1" applyAlignment="1">
      <alignment horizontal="right"/>
    </xf>
    <xf numFmtId="170" fontId="13" fillId="9" borderId="4" xfId="17" applyNumberFormat="1" applyFont="1" applyFill="1" applyBorder="1" applyAlignment="1" applyProtection="1">
      <alignment horizontal="right"/>
    </xf>
    <xf numFmtId="170" fontId="12" fillId="9" borderId="13" xfId="17" applyNumberFormat="1" applyFont="1" applyFill="1" applyBorder="1" applyAlignment="1" applyProtection="1">
      <alignment horizontal="right" vertical="top"/>
    </xf>
    <xf numFmtId="0" fontId="12" fillId="9" borderId="13" xfId="2" applyFont="1" applyFill="1" applyBorder="1" applyAlignment="1">
      <alignment horizontal="left" vertical="top" wrapText="1"/>
    </xf>
    <xf numFmtId="165" fontId="12" fillId="9" borderId="13" xfId="15" applyNumberFormat="1" applyFont="1" applyFill="1" applyBorder="1" applyAlignment="1" applyProtection="1">
      <alignment horizontal="right" vertical="top"/>
    </xf>
    <xf numFmtId="165" fontId="13" fillId="9" borderId="13" xfId="15" applyNumberFormat="1" applyFont="1" applyFill="1" applyBorder="1" applyAlignment="1" applyProtection="1">
      <alignment horizontal="right" vertical="top"/>
    </xf>
    <xf numFmtId="165" fontId="13" fillId="9" borderId="4" xfId="4" applyNumberFormat="1" applyFont="1" applyFill="1" applyBorder="1" applyAlignment="1">
      <alignment vertical="top"/>
    </xf>
    <xf numFmtId="176" fontId="0" fillId="9" borderId="0" xfId="0" applyNumberFormat="1" applyFill="1"/>
    <xf numFmtId="165" fontId="13" fillId="9" borderId="0" xfId="8" applyNumberFormat="1" applyFont="1" applyFill="1" applyAlignment="1">
      <alignment horizontal="right"/>
    </xf>
    <xf numFmtId="165" fontId="12" fillId="9" borderId="13" xfId="17" applyNumberFormat="1" applyFont="1" applyFill="1" applyBorder="1" applyAlignment="1" applyProtection="1">
      <alignment horizontal="right" vertical="top"/>
    </xf>
    <xf numFmtId="165" fontId="13" fillId="9" borderId="13" xfId="15" applyNumberFormat="1" applyFont="1" applyFill="1" applyBorder="1" applyAlignment="1" applyProtection="1">
      <alignment vertical="top"/>
    </xf>
    <xf numFmtId="165" fontId="13" fillId="9" borderId="13" xfId="17" applyNumberFormat="1" applyFont="1" applyFill="1" applyBorder="1" applyAlignment="1" applyProtection="1">
      <alignment horizontal="right" vertical="top"/>
    </xf>
    <xf numFmtId="165" fontId="13" fillId="9" borderId="4" xfId="16" applyNumberFormat="1" applyFont="1" applyFill="1" applyBorder="1"/>
    <xf numFmtId="173" fontId="13" fillId="9" borderId="4" xfId="15" applyNumberFormat="1" applyFont="1" applyFill="1" applyBorder="1" applyAlignment="1" applyProtection="1">
      <alignment horizontal="right" vertical="top"/>
    </xf>
    <xf numFmtId="170" fontId="13" fillId="9" borderId="4" xfId="15" applyNumberFormat="1" applyFont="1" applyFill="1" applyBorder="1" applyAlignment="1" applyProtection="1">
      <alignment horizontal="right" vertical="top"/>
    </xf>
    <xf numFmtId="0" fontId="0" fillId="9" borderId="0" xfId="0" applyFill="1"/>
    <xf numFmtId="170" fontId="13" fillId="9" borderId="4" xfId="5" applyNumberFormat="1" applyFont="1" applyFill="1" applyBorder="1" applyAlignment="1" applyProtection="1">
      <alignment horizontal="right" vertical="center" wrapText="1"/>
    </xf>
  </cellXfs>
  <cellStyles count="23">
    <cellStyle name="% 2" xfId="19" xr:uid="{9DF123A4-2777-41A8-8C49-B81937C3251D}"/>
    <cellStyle name="Comma 2 2 15" xfId="15" xr:uid="{E9FC3001-3AA5-4FA8-BDBC-699F2CAD8F3A}"/>
    <cellStyle name="Comma 2 2 2" xfId="18" xr:uid="{F046159A-B1A0-45E3-BEFC-D2E62698018C}"/>
    <cellStyle name="Good 2" xfId="17" xr:uid="{25924DEF-1B00-4561-9FD8-AC9441E12825}"/>
    <cellStyle name="Good 2 3" xfId="10" xr:uid="{53515599-24F2-4E0C-AF8F-84E59D6FBA4E}"/>
    <cellStyle name="Good 4" xfId="5" xr:uid="{481CFBAE-FDCE-4FA8-8421-4F24540CA13B}"/>
    <cellStyle name="Hyperlink" xfId="20" builtinId="8"/>
    <cellStyle name="Normal" xfId="0" builtinId="0"/>
    <cellStyle name="Normal 10" xfId="12" xr:uid="{ADAE6F3F-69AB-45FF-8BF1-21FC646C77D4}"/>
    <cellStyle name="Normal 10 12" xfId="11" xr:uid="{789D249B-5DC7-4D1A-ABCC-8FBB22300654}"/>
    <cellStyle name="Normal 11 2" xfId="8" xr:uid="{36887EEA-8D6C-4149-A262-1F090FE515EC}"/>
    <cellStyle name="Normal 11 2 2" xfId="4" xr:uid="{A4D769BB-461D-462E-ABDA-601219D5199F}"/>
    <cellStyle name="Normal 12 2" xfId="6" xr:uid="{6558E19C-9603-4E84-BE84-B449DD2F3117}"/>
    <cellStyle name="Normal 15" xfId="3" xr:uid="{5E6E023C-5045-48C8-B287-1EC882559962}"/>
    <cellStyle name="Normal 2 2" xfId="13" xr:uid="{F72F2371-6E22-4D90-80EA-F4A46FB875CD}"/>
    <cellStyle name="Normal 2 9" xfId="9" xr:uid="{98D6194B-5CCD-40E6-B6D1-DEDE76232E4A}"/>
    <cellStyle name="Normal 3" xfId="14" xr:uid="{A625079A-B3F2-4F77-A8C1-DB4090526C5B}"/>
    <cellStyle name="Normal 3 2 2 2" xfId="21" xr:uid="{7AB24E25-A3C4-4879-BEDE-99180FD5F293}"/>
    <cellStyle name="Normal 6" xfId="22" xr:uid="{82FB2BEB-D6A4-454A-AAC4-35FF92C5A84D}"/>
    <cellStyle name="Normal 7 2 2 2" xfId="16" xr:uid="{7AB1AE9A-B4A0-4D69-A53B-D8B392925574}"/>
    <cellStyle name="Normal 7 3" xfId="7" xr:uid="{AEA0A76E-B848-4683-B577-10DCF86A4FE0}"/>
    <cellStyle name="Normal 8 2" xfId="2" xr:uid="{6C01B273-A2E5-40DF-AF6F-B6188EAA4D7B}"/>
    <cellStyle name="Per cent" xfId="1" builtinId="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92F22-1230-43FB-8DCB-0E2053734CE7}">
  <dimension ref="A1:AB31"/>
  <sheetViews>
    <sheetView showGridLines="0" workbookViewId="0">
      <selection activeCell="B5" sqref="B5"/>
    </sheetView>
  </sheetViews>
  <sheetFormatPr defaultRowHeight="14.5" x14ac:dyDescent="0.35"/>
  <cols>
    <col min="2" max="2" width="53.54296875" bestFit="1" customWidth="1"/>
  </cols>
  <sheetData>
    <row r="1" spans="1:28" s="1005" customFormat="1" ht="27.5" x14ac:dyDescent="0.6">
      <c r="A1" s="1004" t="s">
        <v>1882</v>
      </c>
      <c r="B1" s="1004"/>
      <c r="C1" s="1004"/>
      <c r="D1" s="1004"/>
      <c r="E1" s="1004"/>
      <c r="F1" s="1004"/>
      <c r="G1" s="1004"/>
      <c r="H1" s="1004"/>
      <c r="I1" s="1004"/>
      <c r="J1" s="1004"/>
      <c r="K1" s="1004"/>
      <c r="L1" s="1004"/>
      <c r="M1" s="1004"/>
      <c r="N1" s="1004"/>
      <c r="O1" s="1004"/>
      <c r="P1" s="1004"/>
      <c r="Q1" s="1004"/>
      <c r="R1" s="1004"/>
      <c r="S1" s="1004"/>
      <c r="T1" s="1004"/>
      <c r="U1" s="1004"/>
      <c r="V1" s="1004"/>
      <c r="W1" s="1004"/>
      <c r="X1" s="1004"/>
      <c r="Y1" s="1004"/>
      <c r="Z1" s="1004"/>
      <c r="AA1" s="1004"/>
      <c r="AB1" s="1004"/>
    </row>
    <row r="2" spans="1:28" s="1005" customFormat="1" ht="27.5" x14ac:dyDescent="0.6">
      <c r="A2" s="1004" t="s">
        <v>1881</v>
      </c>
      <c r="B2" s="1004"/>
      <c r="C2" s="1004"/>
      <c r="D2" s="1004"/>
      <c r="E2" s="1004"/>
      <c r="F2" s="1004"/>
      <c r="G2" s="1004"/>
      <c r="H2" s="1004"/>
      <c r="I2" s="1004"/>
      <c r="J2" s="1004"/>
      <c r="K2" s="1004"/>
      <c r="L2" s="1004"/>
      <c r="M2" s="1004"/>
      <c r="N2" s="1004"/>
      <c r="O2" s="1004"/>
      <c r="P2" s="1004"/>
      <c r="Q2" s="1004"/>
      <c r="R2" s="1004"/>
      <c r="S2" s="1004"/>
      <c r="T2" s="1004"/>
      <c r="U2" s="1004"/>
      <c r="V2" s="1004"/>
      <c r="W2" s="1004"/>
      <c r="X2" s="1004"/>
      <c r="Y2" s="1004"/>
      <c r="Z2" s="1004"/>
      <c r="AA2" s="1004"/>
      <c r="AB2" s="1004"/>
    </row>
    <row r="5" spans="1:28" ht="21" x14ac:dyDescent="0.5">
      <c r="B5" s="1006" t="s">
        <v>5</v>
      </c>
    </row>
    <row r="6" spans="1:28" ht="21" x14ac:dyDescent="0.5">
      <c r="B6" s="1007"/>
    </row>
    <row r="7" spans="1:28" ht="21" x14ac:dyDescent="0.5">
      <c r="B7" s="1006" t="s">
        <v>224</v>
      </c>
    </row>
    <row r="8" spans="1:28" ht="21" x14ac:dyDescent="0.5">
      <c r="B8" s="1007"/>
    </row>
    <row r="9" spans="1:28" ht="21" x14ac:dyDescent="0.5">
      <c r="B9" s="1006" t="s">
        <v>520</v>
      </c>
    </row>
    <row r="10" spans="1:28" ht="21" x14ac:dyDescent="0.5">
      <c r="B10" s="1007"/>
    </row>
    <row r="11" spans="1:28" ht="21" x14ac:dyDescent="0.5">
      <c r="B11" s="1006" t="s">
        <v>650</v>
      </c>
    </row>
    <row r="12" spans="1:28" ht="21" x14ac:dyDescent="0.5">
      <c r="B12" s="1007"/>
    </row>
    <row r="13" spans="1:28" ht="21" x14ac:dyDescent="0.5">
      <c r="B13" s="1006" t="s">
        <v>345</v>
      </c>
    </row>
    <row r="14" spans="1:28" ht="21" x14ac:dyDescent="0.5">
      <c r="B14" s="1007"/>
    </row>
    <row r="15" spans="1:28" ht="21" x14ac:dyDescent="0.5">
      <c r="B15" s="1006" t="s">
        <v>925</v>
      </c>
    </row>
    <row r="16" spans="1:28" ht="21" x14ac:dyDescent="0.5">
      <c r="B16" s="1007"/>
    </row>
    <row r="17" spans="2:2" ht="21" x14ac:dyDescent="0.5">
      <c r="B17" s="1006" t="s">
        <v>926</v>
      </c>
    </row>
    <row r="18" spans="2:2" ht="21" x14ac:dyDescent="0.5">
      <c r="B18" s="1007"/>
    </row>
    <row r="19" spans="2:2" ht="21" x14ac:dyDescent="0.5">
      <c r="B19" s="1006" t="s">
        <v>1586</v>
      </c>
    </row>
    <row r="20" spans="2:2" ht="21" x14ac:dyDescent="0.5">
      <c r="B20" s="1007"/>
    </row>
    <row r="21" spans="2:2" ht="21" x14ac:dyDescent="0.5">
      <c r="B21" s="1006" t="s">
        <v>1587</v>
      </c>
    </row>
    <row r="22" spans="2:2" ht="21" x14ac:dyDescent="0.5">
      <c r="B22" s="1007"/>
    </row>
    <row r="23" spans="2:2" ht="21" x14ac:dyDescent="0.5">
      <c r="B23" s="1006" t="s">
        <v>1710</v>
      </c>
    </row>
    <row r="24" spans="2:2" ht="21" x14ac:dyDescent="0.5">
      <c r="B24" s="1007"/>
    </row>
    <row r="25" spans="2:2" ht="21" x14ac:dyDescent="0.5">
      <c r="B25" s="1006" t="s">
        <v>1711</v>
      </c>
    </row>
    <row r="26" spans="2:2" ht="21" x14ac:dyDescent="0.5">
      <c r="B26" s="1007"/>
    </row>
    <row r="27" spans="2:2" ht="21" x14ac:dyDescent="0.5">
      <c r="B27" s="1007"/>
    </row>
    <row r="28" spans="2:2" ht="21" x14ac:dyDescent="0.5">
      <c r="B28" s="1007"/>
    </row>
    <row r="29" spans="2:2" ht="21" x14ac:dyDescent="0.5">
      <c r="B29" s="1007"/>
    </row>
    <row r="30" spans="2:2" ht="21" x14ac:dyDescent="0.5">
      <c r="B30" s="1007"/>
    </row>
    <row r="31" spans="2:2" ht="21" x14ac:dyDescent="0.5">
      <c r="B31" s="1007"/>
    </row>
  </sheetData>
  <hyperlinks>
    <hyperlink ref="B5" location="HSC!A2" display="HSC!A2" xr:uid="{AD6D3C5D-E822-4665-9482-16A23E4BBE78}"/>
    <hyperlink ref="B7" location="FLG!A2" display="Finance and Local Government" xr:uid="{9BFF8B4B-8CEC-446C-89FC-614BB58658E3}"/>
    <hyperlink ref="B9" location="'Social Justice'!A2" display="'Social Justice'!A2" xr:uid="{E9141F88-E0CE-48F8-BB61-AC2CA2220C66}"/>
    <hyperlink ref="B11" location="'E&amp;S'!A2" display="Education and Skills" xr:uid="{8C98EEEE-03C1-48C2-9F89-90E0EB73B420}"/>
    <hyperlink ref="B13" location="'J&amp;HA'!A2" display="Justice and Home Affairs" xr:uid="{C2732FD5-F18D-42B3-98E2-D5378FC89D71}"/>
    <hyperlink ref="B15" location="Transport!A2" display="Transport" xr:uid="{FED827CD-47D6-4B19-A384-B6FF2FA7E915}"/>
    <hyperlink ref="B17" location="DMFEG!A2" display="Deputy First Minister, Economy and Gaelic" xr:uid="{1C099E37-4D40-4169-B73C-B9C98090D664}"/>
    <hyperlink ref="B19" location="RALRI!A2" display="Rural Affairs, Land Reformand Islands" xr:uid="{050E6CDF-8E21-467A-975C-8265E9848AB2}"/>
    <hyperlink ref="B21" location="NZE!A2" display="Net Zero and Energy" xr:uid="{D387044C-AAAC-447C-88E8-E75DA40CABBD}"/>
    <hyperlink ref="B23" location="CEAC!A2" display="Constitution, External Affairs and Culture" xr:uid="{E4A782C0-627C-4208-A15B-B43AA4F6EDD7}"/>
    <hyperlink ref="B25" location="'Data Sheet'!A1" display="Data Sheet" xr:uid="{BFACB102-F655-4BA8-9B79-BFC3EEEF7A3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D7AA2-4825-40D4-91DD-BF2DAD666247}">
  <sheetPr>
    <tabColor rgb="FFFFFF00"/>
  </sheetPr>
  <dimension ref="A1:Q224"/>
  <sheetViews>
    <sheetView showGridLines="0" topLeftCell="A153" zoomScale="60" zoomScaleNormal="60" workbookViewId="0">
      <selection activeCell="K179" sqref="K179"/>
    </sheetView>
  </sheetViews>
  <sheetFormatPr defaultColWidth="9.1796875" defaultRowHeight="14.5" outlineLevelCol="1" x14ac:dyDescent="0.35"/>
  <cols>
    <col min="1" max="1" width="40.81640625" style="1" customWidth="1"/>
    <col min="2" max="4" width="17.81640625" customWidth="1" outlineLevel="1"/>
    <col min="5" max="5" width="20.453125" customWidth="1" outlineLevel="1"/>
    <col min="6" max="10" width="17.81640625" customWidth="1" outlineLevel="1"/>
    <col min="11" max="11" width="21.1796875" customWidth="1" outlineLevel="1"/>
    <col min="12" max="14" width="17.81640625" customWidth="1" outlineLevel="1"/>
    <col min="15" max="16" width="75.81640625" customWidth="1" outlineLevel="1"/>
    <col min="17" max="17" width="2.54296875" style="126" customWidth="1"/>
  </cols>
  <sheetData>
    <row r="1" spans="1:17" s="7" customFormat="1" ht="21.5" x14ac:dyDescent="0.35">
      <c r="A1" s="2"/>
      <c r="B1" s="3"/>
      <c r="C1" s="3"/>
      <c r="D1" s="3"/>
      <c r="E1" s="3"/>
      <c r="F1" s="3"/>
      <c r="G1" s="3"/>
      <c r="H1" s="3"/>
      <c r="I1" s="3"/>
      <c r="J1" s="3"/>
      <c r="K1" s="3"/>
      <c r="L1" s="3"/>
      <c r="M1" s="3"/>
      <c r="N1" s="4"/>
      <c r="O1" s="5"/>
      <c r="P1" s="6"/>
      <c r="Q1" s="126"/>
    </row>
    <row r="2" spans="1:17" s="7" customFormat="1" ht="128" x14ac:dyDescent="0.35">
      <c r="A2" s="8" t="s">
        <v>5</v>
      </c>
      <c r="B2" s="9" t="s">
        <v>6</v>
      </c>
      <c r="C2" s="9" t="s">
        <v>7</v>
      </c>
      <c r="D2" s="9" t="s">
        <v>8</v>
      </c>
      <c r="E2" s="9" t="s">
        <v>9</v>
      </c>
      <c r="F2" s="9" t="s">
        <v>10</v>
      </c>
      <c r="G2" s="9" t="s">
        <v>11</v>
      </c>
      <c r="H2" s="9" t="s">
        <v>12</v>
      </c>
      <c r="I2" s="9" t="s">
        <v>13</v>
      </c>
      <c r="J2" s="9" t="s">
        <v>14</v>
      </c>
      <c r="K2" s="9" t="s">
        <v>15</v>
      </c>
      <c r="L2" s="9" t="s">
        <v>16</v>
      </c>
      <c r="M2" s="9" t="s">
        <v>17</v>
      </c>
      <c r="N2" s="10" t="s">
        <v>18</v>
      </c>
      <c r="O2" s="11" t="s">
        <v>3</v>
      </c>
      <c r="P2" s="12" t="s">
        <v>4</v>
      </c>
      <c r="Q2" s="126"/>
    </row>
    <row r="3" spans="1:17" s="7" customFormat="1" ht="21.5" x14ac:dyDescent="0.35">
      <c r="A3" s="2"/>
      <c r="B3" s="3"/>
      <c r="C3" s="3"/>
      <c r="D3" s="3"/>
      <c r="E3" s="3"/>
      <c r="F3" s="3"/>
      <c r="G3" s="3"/>
      <c r="H3" s="3"/>
      <c r="I3" s="3"/>
      <c r="J3" s="3"/>
      <c r="K3" s="3"/>
      <c r="L3" s="3"/>
      <c r="M3" s="3"/>
      <c r="N3" s="4"/>
      <c r="O3" s="5"/>
      <c r="P3" s="6"/>
      <c r="Q3" s="126"/>
    </row>
    <row r="4" spans="1:17" s="7" customFormat="1" ht="16" x14ac:dyDescent="0.35">
      <c r="A4" s="13"/>
      <c r="B4" s="14"/>
      <c r="C4" s="14"/>
      <c r="D4" s="14"/>
      <c r="E4" s="14"/>
      <c r="F4" s="14"/>
      <c r="G4" s="15"/>
      <c r="H4" s="15"/>
      <c r="I4" s="15"/>
      <c r="J4" s="15"/>
      <c r="K4" s="15"/>
      <c r="L4" s="15"/>
      <c r="M4" s="15"/>
      <c r="N4" s="16"/>
      <c r="O4" s="17"/>
      <c r="P4" s="18"/>
      <c r="Q4" s="126"/>
    </row>
    <row r="5" spans="1:17" s="23" customFormat="1" ht="16" x14ac:dyDescent="0.35">
      <c r="A5" s="19" t="s">
        <v>19</v>
      </c>
      <c r="B5" s="20"/>
      <c r="C5" s="20"/>
      <c r="D5" s="20"/>
      <c r="E5" s="20"/>
      <c r="F5" s="20"/>
      <c r="G5" s="20"/>
      <c r="H5" s="20"/>
      <c r="I5" s="20"/>
      <c r="J5" s="20"/>
      <c r="K5" s="20"/>
      <c r="L5" s="20"/>
      <c r="M5" s="20"/>
      <c r="N5" s="21"/>
      <c r="O5" s="22"/>
      <c r="P5" s="22"/>
      <c r="Q5" s="126"/>
    </row>
    <row r="6" spans="1:17" s="7" customFormat="1" ht="96" x14ac:dyDescent="0.35">
      <c r="A6" s="24" t="s">
        <v>20</v>
      </c>
      <c r="B6" s="25">
        <v>12419</v>
      </c>
      <c r="C6" s="25">
        <v>236</v>
      </c>
      <c r="D6" s="25">
        <v>0</v>
      </c>
      <c r="E6" s="25">
        <v>0</v>
      </c>
      <c r="F6" s="25">
        <v>0</v>
      </c>
      <c r="G6" s="26">
        <v>12655</v>
      </c>
      <c r="H6" s="25">
        <v>14151.329</v>
      </c>
      <c r="I6" s="25">
        <v>236</v>
      </c>
      <c r="J6" s="25">
        <v>0</v>
      </c>
      <c r="K6" s="25">
        <v>0</v>
      </c>
      <c r="L6" s="25">
        <v>0</v>
      </c>
      <c r="M6" s="26">
        <v>14387.329</v>
      </c>
      <c r="N6" s="27">
        <v>0.13688889766890555</v>
      </c>
      <c r="O6" s="28" t="s">
        <v>21</v>
      </c>
      <c r="P6" s="29" t="s">
        <v>1888</v>
      </c>
      <c r="Q6" s="126"/>
    </row>
    <row r="7" spans="1:17" s="23" customFormat="1" ht="16" x14ac:dyDescent="0.35">
      <c r="A7" s="30" t="s">
        <v>22</v>
      </c>
      <c r="B7" s="26">
        <v>12419</v>
      </c>
      <c r="C7" s="31">
        <v>236</v>
      </c>
      <c r="D7" s="31">
        <v>0</v>
      </c>
      <c r="E7" s="31">
        <v>0</v>
      </c>
      <c r="F7" s="31">
        <v>0</v>
      </c>
      <c r="G7" s="31">
        <v>12655</v>
      </c>
      <c r="H7" s="26">
        <v>14151.329</v>
      </c>
      <c r="I7" s="26">
        <v>236</v>
      </c>
      <c r="J7" s="26">
        <v>0</v>
      </c>
      <c r="K7" s="26">
        <v>0</v>
      </c>
      <c r="L7" s="26">
        <v>0</v>
      </c>
      <c r="M7" s="26">
        <v>14387.329</v>
      </c>
      <c r="N7" s="32">
        <v>0.13688889766890555</v>
      </c>
      <c r="O7" s="33"/>
      <c r="P7" s="33"/>
      <c r="Q7" s="126"/>
    </row>
    <row r="8" spans="1:17" s="7" customFormat="1" ht="32" x14ac:dyDescent="0.35">
      <c r="A8" s="24" t="s">
        <v>23</v>
      </c>
      <c r="B8" s="25">
        <v>1553.9</v>
      </c>
      <c r="C8" s="25">
        <v>35</v>
      </c>
      <c r="D8" s="25">
        <v>0</v>
      </c>
      <c r="E8" s="25">
        <v>0</v>
      </c>
      <c r="F8" s="25">
        <v>0</v>
      </c>
      <c r="G8" s="26">
        <v>1588.9</v>
      </c>
      <c r="H8" s="25">
        <v>1850.3</v>
      </c>
      <c r="I8" s="25">
        <v>35</v>
      </c>
      <c r="J8" s="25">
        <v>0</v>
      </c>
      <c r="K8" s="25">
        <v>0</v>
      </c>
      <c r="L8" s="25">
        <v>0</v>
      </c>
      <c r="M8" s="26">
        <v>1885.3</v>
      </c>
      <c r="N8" s="27">
        <v>0.18654415004090871</v>
      </c>
      <c r="O8" s="34" t="s">
        <v>24</v>
      </c>
      <c r="P8" s="29" t="s">
        <v>1889</v>
      </c>
      <c r="Q8" s="126"/>
    </row>
    <row r="9" spans="1:17" s="23" customFormat="1" ht="16" x14ac:dyDescent="0.35">
      <c r="A9" s="30" t="s">
        <v>22</v>
      </c>
      <c r="B9" s="26">
        <v>1553.9</v>
      </c>
      <c r="C9" s="31">
        <v>35</v>
      </c>
      <c r="D9" s="31">
        <v>0</v>
      </c>
      <c r="E9" s="31">
        <v>0</v>
      </c>
      <c r="F9" s="31">
        <v>0</v>
      </c>
      <c r="G9" s="31">
        <v>1588.9</v>
      </c>
      <c r="H9" s="26">
        <v>1850.3</v>
      </c>
      <c r="I9" s="26">
        <v>35</v>
      </c>
      <c r="J9" s="26">
        <v>0</v>
      </c>
      <c r="K9" s="26">
        <v>0</v>
      </c>
      <c r="L9" s="26">
        <v>0</v>
      </c>
      <c r="M9" s="26">
        <v>1885.3</v>
      </c>
      <c r="N9" s="32">
        <v>0.18654415004090871</v>
      </c>
      <c r="O9" s="33"/>
      <c r="P9" s="33"/>
      <c r="Q9" s="158"/>
    </row>
    <row r="10" spans="1:17" s="7" customFormat="1" ht="16" x14ac:dyDescent="0.35">
      <c r="A10" s="13"/>
      <c r="B10" s="35"/>
      <c r="C10" s="35"/>
      <c r="D10" s="35"/>
      <c r="E10" s="35"/>
      <c r="F10" s="35"/>
      <c r="G10" s="36"/>
      <c r="H10" s="36"/>
      <c r="I10" s="36"/>
      <c r="J10" s="36"/>
      <c r="K10" s="36"/>
      <c r="L10" s="36"/>
      <c r="M10" s="36"/>
      <c r="N10" s="37"/>
      <c r="O10" s="17"/>
      <c r="P10" s="18"/>
      <c r="Q10" s="126"/>
    </row>
    <row r="11" spans="1:17" s="7" customFormat="1" ht="16" x14ac:dyDescent="0.35">
      <c r="A11" s="38"/>
      <c r="B11" s="39"/>
      <c r="C11" s="40"/>
      <c r="D11" s="40"/>
      <c r="E11" s="40"/>
      <c r="F11" s="40"/>
      <c r="G11" s="40"/>
      <c r="H11" s="40"/>
      <c r="I11" s="40"/>
      <c r="J11" s="40"/>
      <c r="K11" s="40"/>
      <c r="L11" s="40"/>
      <c r="M11" s="40"/>
      <c r="N11" s="41"/>
      <c r="O11" s="38"/>
      <c r="P11" s="38"/>
      <c r="Q11" s="126"/>
    </row>
    <row r="12" spans="1:17" s="23" customFormat="1" ht="16" x14ac:dyDescent="0.35">
      <c r="A12" s="19" t="s">
        <v>25</v>
      </c>
      <c r="B12" s="42"/>
      <c r="C12" s="42"/>
      <c r="D12" s="42"/>
      <c r="E12" s="42"/>
      <c r="F12" s="42"/>
      <c r="G12" s="42"/>
      <c r="H12" s="42"/>
      <c r="I12" s="42"/>
      <c r="J12" s="42"/>
      <c r="K12" s="42"/>
      <c r="L12" s="42"/>
      <c r="M12" s="42"/>
      <c r="N12" s="43"/>
      <c r="O12" s="22"/>
      <c r="P12" s="22"/>
      <c r="Q12" s="126"/>
    </row>
    <row r="13" spans="1:17" s="7" customFormat="1" ht="144" x14ac:dyDescent="0.35">
      <c r="A13" s="44" t="s">
        <v>26</v>
      </c>
      <c r="B13" s="25">
        <v>0</v>
      </c>
      <c r="C13" s="25">
        <v>0</v>
      </c>
      <c r="D13" s="25">
        <v>840.31500000000005</v>
      </c>
      <c r="E13" s="25">
        <v>0</v>
      </c>
      <c r="F13" s="25">
        <v>0</v>
      </c>
      <c r="G13" s="26">
        <v>840.31500000000005</v>
      </c>
      <c r="H13" s="25">
        <v>0</v>
      </c>
      <c r="I13" s="25">
        <v>0</v>
      </c>
      <c r="J13" s="25">
        <v>1025.0999999999999</v>
      </c>
      <c r="K13" s="25">
        <v>0</v>
      </c>
      <c r="L13" s="25">
        <v>0</v>
      </c>
      <c r="M13" s="26">
        <v>1025.0999999999999</v>
      </c>
      <c r="N13" s="27">
        <v>0.21989968047696382</v>
      </c>
      <c r="O13" s="45" t="s">
        <v>27</v>
      </c>
      <c r="P13" s="45" t="s">
        <v>28</v>
      </c>
      <c r="Q13" s="126"/>
    </row>
    <row r="14" spans="1:17" s="23" customFormat="1" ht="16" x14ac:dyDescent="0.35">
      <c r="A14" s="30" t="s">
        <v>22</v>
      </c>
      <c r="B14" s="26">
        <v>0</v>
      </c>
      <c r="C14" s="31">
        <v>0</v>
      </c>
      <c r="D14" s="31">
        <v>840.31500000000005</v>
      </c>
      <c r="E14" s="31">
        <v>0</v>
      </c>
      <c r="F14" s="31">
        <v>0</v>
      </c>
      <c r="G14" s="31">
        <v>840.31500000000005</v>
      </c>
      <c r="H14" s="26">
        <v>0</v>
      </c>
      <c r="I14" s="26">
        <v>0</v>
      </c>
      <c r="J14" s="26">
        <v>1025.0999999999999</v>
      </c>
      <c r="K14" s="26">
        <v>0</v>
      </c>
      <c r="L14" s="26">
        <v>0</v>
      </c>
      <c r="M14" s="26">
        <v>1025.0999999999999</v>
      </c>
      <c r="N14" s="32">
        <v>0.21989968047696382</v>
      </c>
      <c r="O14" s="33"/>
      <c r="P14" s="33"/>
      <c r="Q14" s="126"/>
    </row>
    <row r="15" spans="1:17" s="7" customFormat="1" ht="16" x14ac:dyDescent="0.35">
      <c r="A15" s="13"/>
      <c r="B15" s="35"/>
      <c r="C15" s="35"/>
      <c r="D15" s="35"/>
      <c r="E15" s="35"/>
      <c r="F15" s="35"/>
      <c r="G15" s="36"/>
      <c r="H15" s="36"/>
      <c r="I15" s="36"/>
      <c r="J15" s="36"/>
      <c r="K15" s="36"/>
      <c r="L15" s="36"/>
      <c r="M15" s="36"/>
      <c r="N15" s="37"/>
      <c r="O15" s="17"/>
      <c r="P15" s="18"/>
      <c r="Q15" s="126"/>
    </row>
    <row r="16" spans="1:17" s="23" customFormat="1" ht="16" x14ac:dyDescent="0.35">
      <c r="A16" s="38"/>
      <c r="B16" s="40"/>
      <c r="C16" s="40"/>
      <c r="D16" s="40"/>
      <c r="E16" s="40"/>
      <c r="F16" s="40"/>
      <c r="G16" s="40"/>
      <c r="H16" s="40"/>
      <c r="I16" s="40"/>
      <c r="J16" s="40"/>
      <c r="K16" s="40"/>
      <c r="L16" s="40"/>
      <c r="M16" s="40"/>
      <c r="N16" s="41"/>
      <c r="O16" s="38"/>
      <c r="P16" s="38"/>
      <c r="Q16" s="126"/>
    </row>
    <row r="17" spans="1:17" s="23" customFormat="1" ht="32" x14ac:dyDescent="0.35">
      <c r="A17" s="19" t="s">
        <v>29</v>
      </c>
      <c r="B17" s="42"/>
      <c r="C17" s="42"/>
      <c r="D17" s="42"/>
      <c r="E17" s="42"/>
      <c r="F17" s="42"/>
      <c r="G17" s="42"/>
      <c r="H17" s="42"/>
      <c r="I17" s="42"/>
      <c r="J17" s="42"/>
      <c r="K17" s="42"/>
      <c r="L17" s="42"/>
      <c r="M17" s="42"/>
      <c r="N17" s="43"/>
      <c r="O17" s="22"/>
      <c r="P17" s="22"/>
      <c r="Q17" s="126"/>
    </row>
    <row r="18" spans="1:17" s="7" customFormat="1" ht="128" x14ac:dyDescent="0.35">
      <c r="A18" s="46" t="s">
        <v>29</v>
      </c>
      <c r="B18" s="25">
        <v>0</v>
      </c>
      <c r="C18" s="47">
        <v>0</v>
      </c>
      <c r="D18" s="47">
        <v>0</v>
      </c>
      <c r="E18" s="47">
        <v>0</v>
      </c>
      <c r="F18" s="47">
        <v>0</v>
      </c>
      <c r="G18" s="26">
        <v>0</v>
      </c>
      <c r="H18" s="25">
        <v>100</v>
      </c>
      <c r="I18" s="25">
        <v>0</v>
      </c>
      <c r="J18" s="25">
        <v>0</v>
      </c>
      <c r="K18" s="25">
        <v>0</v>
      </c>
      <c r="L18" s="25">
        <v>0</v>
      </c>
      <c r="M18" s="26">
        <v>100</v>
      </c>
      <c r="N18" s="27" t="s">
        <v>50</v>
      </c>
      <c r="O18" s="45" t="s">
        <v>30</v>
      </c>
      <c r="P18" s="45" t="s">
        <v>31</v>
      </c>
      <c r="Q18" s="126"/>
    </row>
    <row r="19" spans="1:17" s="23" customFormat="1" ht="16" x14ac:dyDescent="0.35">
      <c r="A19" s="30" t="s">
        <v>22</v>
      </c>
      <c r="B19" s="26">
        <v>0</v>
      </c>
      <c r="C19" s="31">
        <v>0</v>
      </c>
      <c r="D19" s="31">
        <v>0</v>
      </c>
      <c r="E19" s="31">
        <v>0</v>
      </c>
      <c r="F19" s="31">
        <v>0</v>
      </c>
      <c r="G19" s="31">
        <v>0</v>
      </c>
      <c r="H19" s="31">
        <v>100</v>
      </c>
      <c r="I19" s="31">
        <v>0</v>
      </c>
      <c r="J19" s="31">
        <v>0</v>
      </c>
      <c r="K19" s="31">
        <v>0</v>
      </c>
      <c r="L19" s="31">
        <v>0</v>
      </c>
      <c r="M19" s="31">
        <v>100</v>
      </c>
      <c r="N19" s="32" t="s">
        <v>50</v>
      </c>
      <c r="O19" s="33"/>
      <c r="P19" s="33"/>
      <c r="Q19" s="126"/>
    </row>
    <row r="20" spans="1:17" s="7" customFormat="1" ht="16" x14ac:dyDescent="0.35">
      <c r="A20" s="13"/>
      <c r="B20" s="35"/>
      <c r="C20" s="35"/>
      <c r="D20" s="35"/>
      <c r="E20" s="35"/>
      <c r="F20" s="35"/>
      <c r="G20" s="36"/>
      <c r="H20" s="36"/>
      <c r="I20" s="36"/>
      <c r="J20" s="36"/>
      <c r="K20" s="36"/>
      <c r="L20" s="36"/>
      <c r="M20" s="36"/>
      <c r="N20" s="37"/>
      <c r="O20" s="17"/>
      <c r="P20" s="18"/>
      <c r="Q20" s="126"/>
    </row>
    <row r="21" spans="1:17" s="23" customFormat="1" ht="32.5" thickBot="1" x14ac:dyDescent="0.4">
      <c r="A21" s="48" t="s">
        <v>32</v>
      </c>
      <c r="B21" s="49"/>
      <c r="C21" s="49"/>
      <c r="D21" s="49"/>
      <c r="E21" s="49"/>
      <c r="F21" s="49"/>
      <c r="G21" s="49"/>
      <c r="H21" s="49"/>
      <c r="I21" s="49"/>
      <c r="J21" s="49"/>
      <c r="K21" s="49"/>
      <c r="L21" s="49"/>
      <c r="M21" s="49"/>
      <c r="N21" s="50"/>
      <c r="O21" s="38"/>
      <c r="P21" s="38"/>
      <c r="Q21" s="126"/>
    </row>
    <row r="22" spans="1:17" s="23" customFormat="1" ht="16" x14ac:dyDescent="0.35">
      <c r="A22" s="51" t="s">
        <v>33</v>
      </c>
      <c r="B22" s="52"/>
      <c r="C22" s="52"/>
      <c r="D22" s="52"/>
      <c r="E22" s="52"/>
      <c r="F22" s="52"/>
      <c r="G22" s="52"/>
      <c r="H22" s="52"/>
      <c r="I22" s="52"/>
      <c r="J22" s="52"/>
      <c r="K22" s="52"/>
      <c r="L22" s="52"/>
      <c r="M22" s="52"/>
      <c r="N22" s="53"/>
      <c r="O22" s="22"/>
      <c r="P22" s="22"/>
      <c r="Q22" s="126"/>
    </row>
    <row r="23" spans="1:17" s="7" customFormat="1" ht="112" x14ac:dyDescent="0.35">
      <c r="A23" s="54" t="s">
        <v>33</v>
      </c>
      <c r="B23" s="25">
        <v>1043.0530000000001</v>
      </c>
      <c r="C23" s="47">
        <v>0</v>
      </c>
      <c r="D23" s="47">
        <v>0</v>
      </c>
      <c r="E23" s="47">
        <v>0</v>
      </c>
      <c r="F23" s="47">
        <v>0</v>
      </c>
      <c r="G23" s="26">
        <v>1043.0530000000001</v>
      </c>
      <c r="H23" s="25">
        <v>1116.653</v>
      </c>
      <c r="I23" s="25">
        <v>0</v>
      </c>
      <c r="J23" s="25">
        <v>0</v>
      </c>
      <c r="K23" s="25">
        <v>0</v>
      </c>
      <c r="L23" s="25">
        <v>0</v>
      </c>
      <c r="M23" s="26">
        <v>1116.653</v>
      </c>
      <c r="N23" s="27">
        <v>7.0562090325227866E-2</v>
      </c>
      <c r="O23" s="55" t="s">
        <v>1890</v>
      </c>
      <c r="P23" s="55" t="s">
        <v>34</v>
      </c>
      <c r="Q23" s="126"/>
    </row>
    <row r="24" spans="1:17" s="7" customFormat="1" ht="96" x14ac:dyDescent="0.35">
      <c r="A24" s="54" t="s">
        <v>35</v>
      </c>
      <c r="B24" s="25">
        <v>220.89099999999999</v>
      </c>
      <c r="C24" s="47">
        <v>0</v>
      </c>
      <c r="D24" s="47">
        <v>0</v>
      </c>
      <c r="E24" s="47">
        <v>0</v>
      </c>
      <c r="F24" s="47">
        <v>0</v>
      </c>
      <c r="G24" s="26">
        <v>220.89099999999999</v>
      </c>
      <c r="H24" s="25">
        <v>221.96100000000001</v>
      </c>
      <c r="I24" s="25">
        <v>0</v>
      </c>
      <c r="J24" s="25">
        <v>0</v>
      </c>
      <c r="K24" s="25">
        <v>0</v>
      </c>
      <c r="L24" s="25">
        <v>0</v>
      </c>
      <c r="M24" s="26">
        <v>221.96100000000001</v>
      </c>
      <c r="N24" s="27">
        <v>4.8440180903704614E-3</v>
      </c>
      <c r="O24" s="17" t="s">
        <v>36</v>
      </c>
      <c r="P24" s="55" t="s">
        <v>37</v>
      </c>
      <c r="Q24" s="158"/>
    </row>
    <row r="25" spans="1:17" s="7" customFormat="1" ht="32" x14ac:dyDescent="0.35">
      <c r="A25" s="54" t="s">
        <v>38</v>
      </c>
      <c r="B25" s="25">
        <v>5.9269999999999996</v>
      </c>
      <c r="C25" s="47">
        <v>0</v>
      </c>
      <c r="D25" s="47">
        <v>0</v>
      </c>
      <c r="E25" s="47">
        <v>0</v>
      </c>
      <c r="F25" s="47">
        <v>0</v>
      </c>
      <c r="G25" s="26">
        <v>5.9269999999999996</v>
      </c>
      <c r="H25" s="25">
        <v>5.9939999999999998</v>
      </c>
      <c r="I25" s="25">
        <v>0</v>
      </c>
      <c r="J25" s="25">
        <v>0</v>
      </c>
      <c r="K25" s="25">
        <v>0</v>
      </c>
      <c r="L25" s="25">
        <v>0</v>
      </c>
      <c r="M25" s="26">
        <v>5.9939999999999998</v>
      </c>
      <c r="N25" s="27">
        <v>1.1304201113548198E-2</v>
      </c>
      <c r="O25" s="55" t="s">
        <v>39</v>
      </c>
      <c r="P25" s="55" t="s">
        <v>1304</v>
      </c>
      <c r="Q25" s="158"/>
    </row>
    <row r="26" spans="1:17" s="23" customFormat="1" ht="16" x14ac:dyDescent="0.35">
      <c r="A26" s="30" t="s">
        <v>22</v>
      </c>
      <c r="B26" s="26">
        <v>1269.8710000000001</v>
      </c>
      <c r="C26" s="31">
        <v>0</v>
      </c>
      <c r="D26" s="31">
        <v>0</v>
      </c>
      <c r="E26" s="31">
        <v>0</v>
      </c>
      <c r="F26" s="31">
        <v>0</v>
      </c>
      <c r="G26" s="31">
        <v>1269.8710000000001</v>
      </c>
      <c r="H26" s="31">
        <v>1344.6079999999999</v>
      </c>
      <c r="I26" s="31">
        <v>0</v>
      </c>
      <c r="J26" s="31">
        <v>0</v>
      </c>
      <c r="K26" s="31">
        <v>0</v>
      </c>
      <c r="L26" s="31">
        <v>0</v>
      </c>
      <c r="M26" s="31">
        <v>1344.6079999999999</v>
      </c>
      <c r="N26" s="32">
        <v>5.8854009580500577E-2</v>
      </c>
      <c r="O26" s="33"/>
      <c r="P26" s="33"/>
      <c r="Q26" s="158"/>
    </row>
    <row r="27" spans="1:17" s="7" customFormat="1" ht="16" x14ac:dyDescent="0.35">
      <c r="A27" s="13"/>
      <c r="B27" s="35"/>
      <c r="C27" s="35"/>
      <c r="D27" s="35"/>
      <c r="E27" s="35"/>
      <c r="F27" s="35"/>
      <c r="G27" s="36"/>
      <c r="H27" s="36"/>
      <c r="I27" s="36"/>
      <c r="J27" s="36"/>
      <c r="K27" s="36"/>
      <c r="L27" s="36"/>
      <c r="M27" s="36"/>
      <c r="N27" s="37"/>
      <c r="O27" s="17"/>
      <c r="P27" s="18"/>
      <c r="Q27" s="158"/>
    </row>
    <row r="28" spans="1:17" s="23" customFormat="1" ht="16" x14ac:dyDescent="0.35">
      <c r="A28" s="56"/>
      <c r="B28" s="40"/>
      <c r="C28" s="40"/>
      <c r="D28" s="40"/>
      <c r="E28" s="40"/>
      <c r="F28" s="40"/>
      <c r="G28" s="40"/>
      <c r="H28" s="40"/>
      <c r="I28" s="40"/>
      <c r="J28" s="40"/>
      <c r="K28" s="40"/>
      <c r="L28" s="40"/>
      <c r="M28" s="40"/>
      <c r="N28" s="41"/>
      <c r="O28" s="38"/>
      <c r="P28" s="38"/>
      <c r="Q28" s="158"/>
    </row>
    <row r="29" spans="1:17" s="23" customFormat="1" ht="32" x14ac:dyDescent="0.35">
      <c r="A29" s="19" t="s">
        <v>41</v>
      </c>
      <c r="B29" s="42"/>
      <c r="C29" s="42"/>
      <c r="D29" s="42"/>
      <c r="E29" s="42"/>
      <c r="F29" s="42"/>
      <c r="G29" s="42"/>
      <c r="H29" s="42"/>
      <c r="I29" s="42"/>
      <c r="J29" s="42"/>
      <c r="K29" s="42"/>
      <c r="L29" s="42"/>
      <c r="M29" s="42"/>
      <c r="N29" s="43"/>
      <c r="O29" s="22"/>
      <c r="P29" s="22"/>
      <c r="Q29" s="158"/>
    </row>
    <row r="30" spans="1:17" s="7" customFormat="1" ht="48" x14ac:dyDescent="0.35">
      <c r="A30" s="57" t="s">
        <v>41</v>
      </c>
      <c r="B30" s="25">
        <v>224.018</v>
      </c>
      <c r="C30" s="58">
        <v>0</v>
      </c>
      <c r="D30" s="58">
        <v>0</v>
      </c>
      <c r="E30" s="58">
        <v>0</v>
      </c>
      <c r="F30" s="58">
        <v>0</v>
      </c>
      <c r="G30" s="26">
        <v>224.018</v>
      </c>
      <c r="H30" s="25">
        <v>237.44200000000001</v>
      </c>
      <c r="I30" s="25">
        <v>0</v>
      </c>
      <c r="J30" s="25">
        <v>0</v>
      </c>
      <c r="K30" s="25">
        <v>0</v>
      </c>
      <c r="L30" s="25">
        <v>0</v>
      </c>
      <c r="M30" s="26">
        <v>237.44200000000001</v>
      </c>
      <c r="N30" s="27">
        <v>5.9923756126739842E-2</v>
      </c>
      <c r="O30" s="55" t="s">
        <v>42</v>
      </c>
      <c r="P30" s="55" t="s">
        <v>43</v>
      </c>
      <c r="Q30" s="158"/>
    </row>
    <row r="31" spans="1:17" s="7" customFormat="1" ht="64" x14ac:dyDescent="0.35">
      <c r="A31" s="46" t="s">
        <v>38</v>
      </c>
      <c r="B31" s="25">
        <v>17.03</v>
      </c>
      <c r="C31" s="47">
        <v>0</v>
      </c>
      <c r="D31" s="47">
        <v>0</v>
      </c>
      <c r="E31" s="47">
        <v>0</v>
      </c>
      <c r="F31" s="47">
        <v>0</v>
      </c>
      <c r="G31" s="26">
        <v>17.03</v>
      </c>
      <c r="H31" s="25">
        <v>14.212999999999999</v>
      </c>
      <c r="I31" s="25">
        <v>0</v>
      </c>
      <c r="J31" s="25">
        <v>0</v>
      </c>
      <c r="K31" s="25">
        <v>0</v>
      </c>
      <c r="L31" s="25">
        <v>0</v>
      </c>
      <c r="M31" s="26">
        <v>14.212999999999999</v>
      </c>
      <c r="N31" s="27">
        <v>-0.16541397533763957</v>
      </c>
      <c r="O31" s="55" t="s">
        <v>44</v>
      </c>
      <c r="P31" s="55" t="s">
        <v>45</v>
      </c>
      <c r="Q31" s="158"/>
    </row>
    <row r="32" spans="1:17" s="23" customFormat="1" ht="16" x14ac:dyDescent="0.35">
      <c r="A32" s="30" t="s">
        <v>22</v>
      </c>
      <c r="B32" s="26">
        <v>241.048</v>
      </c>
      <c r="C32" s="31">
        <v>0</v>
      </c>
      <c r="D32" s="31">
        <v>0</v>
      </c>
      <c r="E32" s="31">
        <v>0</v>
      </c>
      <c r="F32" s="31">
        <v>0</v>
      </c>
      <c r="G32" s="31">
        <v>241.048</v>
      </c>
      <c r="H32" s="31">
        <v>251.655</v>
      </c>
      <c r="I32" s="31">
        <v>0</v>
      </c>
      <c r="J32" s="31">
        <v>0</v>
      </c>
      <c r="K32" s="31">
        <v>0</v>
      </c>
      <c r="L32" s="31">
        <v>0</v>
      </c>
      <c r="M32" s="31">
        <v>251.655</v>
      </c>
      <c r="N32" s="32">
        <v>4.4003683913577375E-2</v>
      </c>
      <c r="O32" s="33"/>
      <c r="P32" s="33" t="s">
        <v>46</v>
      </c>
      <c r="Q32" s="158"/>
    </row>
    <row r="33" spans="1:17" s="7" customFormat="1" ht="16" x14ac:dyDescent="0.35">
      <c r="A33" s="13"/>
      <c r="B33" s="35"/>
      <c r="C33" s="35"/>
      <c r="D33" s="35"/>
      <c r="E33" s="35"/>
      <c r="F33" s="35"/>
      <c r="G33" s="36"/>
      <c r="H33" s="36"/>
      <c r="I33" s="36"/>
      <c r="J33" s="36"/>
      <c r="K33" s="36"/>
      <c r="L33" s="36"/>
      <c r="M33" s="31"/>
      <c r="N33" s="37"/>
      <c r="O33" s="17"/>
      <c r="P33" s="18"/>
      <c r="Q33" s="158"/>
    </row>
    <row r="34" spans="1:17" s="23" customFormat="1" ht="16.5" thickBot="1" x14ac:dyDescent="0.4">
      <c r="A34" s="59"/>
      <c r="B34" s="49"/>
      <c r="C34" s="49"/>
      <c r="D34" s="49"/>
      <c r="E34" s="49"/>
      <c r="F34" s="49"/>
      <c r="G34" s="49"/>
      <c r="H34" s="49"/>
      <c r="I34" s="49"/>
      <c r="J34" s="49"/>
      <c r="K34" s="49"/>
      <c r="L34" s="49"/>
      <c r="M34" s="49"/>
      <c r="N34" s="50"/>
      <c r="O34" s="38"/>
      <c r="P34" s="38"/>
      <c r="Q34" s="158"/>
    </row>
    <row r="35" spans="1:17" s="23" customFormat="1" ht="16" x14ac:dyDescent="0.35">
      <c r="A35" s="51" t="s">
        <v>47</v>
      </c>
      <c r="B35" s="52"/>
      <c r="C35" s="52"/>
      <c r="D35" s="52"/>
      <c r="E35" s="52"/>
      <c r="F35" s="52"/>
      <c r="G35" s="52"/>
      <c r="H35" s="52"/>
      <c r="I35" s="52"/>
      <c r="J35" s="52"/>
      <c r="K35" s="52"/>
      <c r="L35" s="52"/>
      <c r="M35" s="52"/>
      <c r="N35" s="53"/>
      <c r="O35" s="22"/>
      <c r="P35" s="22"/>
      <c r="Q35" s="158"/>
    </row>
    <row r="36" spans="1:17" s="7" customFormat="1" ht="160" x14ac:dyDescent="0.35">
      <c r="A36" s="57" t="s">
        <v>47</v>
      </c>
      <c r="B36" s="25">
        <v>447.21</v>
      </c>
      <c r="C36" s="58">
        <v>0</v>
      </c>
      <c r="D36" s="58">
        <v>0</v>
      </c>
      <c r="E36" s="58">
        <v>0</v>
      </c>
      <c r="F36" s="58">
        <v>0</v>
      </c>
      <c r="G36" s="26">
        <v>447.21</v>
      </c>
      <c r="H36" s="25">
        <v>512.44000000000005</v>
      </c>
      <c r="I36" s="25">
        <v>0</v>
      </c>
      <c r="J36" s="25">
        <v>0</v>
      </c>
      <c r="K36" s="25">
        <v>0</v>
      </c>
      <c r="L36" s="25">
        <v>0</v>
      </c>
      <c r="M36" s="26">
        <v>512.44000000000005</v>
      </c>
      <c r="N36" s="27">
        <v>0.14585988685405085</v>
      </c>
      <c r="O36" s="55" t="s">
        <v>1891</v>
      </c>
      <c r="P36" s="55" t="s">
        <v>48</v>
      </c>
      <c r="Q36" s="158"/>
    </row>
    <row r="37" spans="1:17" s="23" customFormat="1" ht="16" x14ac:dyDescent="0.35">
      <c r="A37" s="30" t="s">
        <v>22</v>
      </c>
      <c r="B37" s="26">
        <v>447.21</v>
      </c>
      <c r="C37" s="31">
        <v>0</v>
      </c>
      <c r="D37" s="31">
        <v>0</v>
      </c>
      <c r="E37" s="31">
        <v>0</v>
      </c>
      <c r="F37" s="31">
        <v>0</v>
      </c>
      <c r="G37" s="31">
        <v>447.21</v>
      </c>
      <c r="H37" s="31">
        <v>512.44000000000005</v>
      </c>
      <c r="I37" s="31">
        <v>0</v>
      </c>
      <c r="J37" s="31">
        <v>0</v>
      </c>
      <c r="K37" s="31">
        <v>0</v>
      </c>
      <c r="L37" s="31">
        <v>0</v>
      </c>
      <c r="M37" s="31">
        <v>512.44000000000005</v>
      </c>
      <c r="N37" s="32">
        <v>0.14585988685405085</v>
      </c>
      <c r="O37" s="33"/>
      <c r="P37" s="33" t="s">
        <v>46</v>
      </c>
      <c r="Q37" s="158"/>
    </row>
    <row r="38" spans="1:17" s="7" customFormat="1" ht="16" x14ac:dyDescent="0.35">
      <c r="A38" s="13"/>
      <c r="B38" s="35"/>
      <c r="C38" s="35"/>
      <c r="D38" s="35"/>
      <c r="E38" s="35"/>
      <c r="F38" s="35"/>
      <c r="G38" s="36"/>
      <c r="H38" s="36"/>
      <c r="I38" s="36"/>
      <c r="J38" s="36"/>
      <c r="K38" s="36"/>
      <c r="L38" s="36"/>
      <c r="M38" s="36"/>
      <c r="N38" s="37"/>
      <c r="O38" s="17"/>
      <c r="P38" s="18"/>
      <c r="Q38" s="158"/>
    </row>
    <row r="39" spans="1:17" s="23" customFormat="1" ht="16" x14ac:dyDescent="0.35">
      <c r="A39" s="56"/>
      <c r="B39" s="40"/>
      <c r="C39" s="40"/>
      <c r="D39" s="40"/>
      <c r="E39" s="40"/>
      <c r="F39" s="40"/>
      <c r="G39" s="40"/>
      <c r="H39" s="40"/>
      <c r="I39" s="40"/>
      <c r="J39" s="40"/>
      <c r="K39" s="40"/>
      <c r="L39" s="40"/>
      <c r="M39" s="40"/>
      <c r="N39" s="41"/>
      <c r="O39" s="38"/>
      <c r="P39" s="38"/>
      <c r="Q39" s="158"/>
    </row>
    <row r="40" spans="1:17" s="23" customFormat="1" ht="16" x14ac:dyDescent="0.35">
      <c r="A40" s="19" t="s">
        <v>51</v>
      </c>
      <c r="B40" s="42"/>
      <c r="C40" s="42"/>
      <c r="D40" s="42"/>
      <c r="E40" s="42"/>
      <c r="F40" s="42"/>
      <c r="G40" s="42"/>
      <c r="H40" s="42"/>
      <c r="I40" s="42"/>
      <c r="J40" s="42"/>
      <c r="K40" s="42"/>
      <c r="L40" s="42"/>
      <c r="M40" s="42"/>
      <c r="N40" s="43"/>
      <c r="O40" s="22"/>
      <c r="P40" s="22"/>
      <c r="Q40" s="158"/>
    </row>
    <row r="41" spans="1:17" s="7" customFormat="1" ht="160" x14ac:dyDescent="0.35">
      <c r="A41" s="46" t="s">
        <v>51</v>
      </c>
      <c r="B41" s="25">
        <v>127.53</v>
      </c>
      <c r="C41" s="47">
        <v>0</v>
      </c>
      <c r="D41" s="47">
        <v>0</v>
      </c>
      <c r="E41" s="47">
        <v>0</v>
      </c>
      <c r="F41" s="47">
        <v>0</v>
      </c>
      <c r="G41" s="26">
        <v>127.53</v>
      </c>
      <c r="H41" s="25">
        <v>139.94499999999999</v>
      </c>
      <c r="I41" s="25">
        <v>0</v>
      </c>
      <c r="J41" s="25">
        <v>0</v>
      </c>
      <c r="K41" s="25">
        <v>0</v>
      </c>
      <c r="L41" s="25">
        <v>0</v>
      </c>
      <c r="M41" s="26">
        <v>139.94499999999999</v>
      </c>
      <c r="N41" s="27">
        <v>9.7349643221202792E-2</v>
      </c>
      <c r="O41" s="55" t="s">
        <v>1892</v>
      </c>
      <c r="P41" s="55" t="s">
        <v>52</v>
      </c>
      <c r="Q41" s="158"/>
    </row>
    <row r="42" spans="1:17" s="23" customFormat="1" ht="16" x14ac:dyDescent="0.35">
      <c r="A42" s="30" t="s">
        <v>22</v>
      </c>
      <c r="B42" s="26">
        <v>127.53</v>
      </c>
      <c r="C42" s="26">
        <v>0</v>
      </c>
      <c r="D42" s="26">
        <v>0</v>
      </c>
      <c r="E42" s="26">
        <v>0</v>
      </c>
      <c r="F42" s="26">
        <v>0</v>
      </c>
      <c r="G42" s="26">
        <v>127.53</v>
      </c>
      <c r="H42" s="26">
        <v>139.94499999999999</v>
      </c>
      <c r="I42" s="26">
        <v>0</v>
      </c>
      <c r="J42" s="26">
        <v>0</v>
      </c>
      <c r="K42" s="26">
        <v>0</v>
      </c>
      <c r="L42" s="26">
        <v>0</v>
      </c>
      <c r="M42" s="26">
        <v>139.94499999999999</v>
      </c>
      <c r="N42" s="32">
        <v>9.7349643221202792E-2</v>
      </c>
      <c r="O42" s="33"/>
      <c r="P42" s="33" t="s">
        <v>46</v>
      </c>
      <c r="Q42" s="158"/>
    </row>
    <row r="43" spans="1:17" s="7" customFormat="1" ht="16" x14ac:dyDescent="0.35">
      <c r="A43" s="60"/>
      <c r="B43" s="61"/>
      <c r="C43" s="62"/>
      <c r="D43" s="62"/>
      <c r="E43" s="62"/>
      <c r="F43" s="62"/>
      <c r="G43" s="62"/>
      <c r="H43" s="62"/>
      <c r="I43" s="62"/>
      <c r="J43" s="62"/>
      <c r="K43" s="62"/>
      <c r="L43" s="62"/>
      <c r="M43" s="62"/>
      <c r="N43" s="63"/>
      <c r="O43" s="64"/>
      <c r="P43" s="18"/>
      <c r="Q43" s="158"/>
    </row>
    <row r="44" spans="1:17" s="23" customFormat="1" ht="16.5" thickBot="1" x14ac:dyDescent="0.4">
      <c r="A44" s="59"/>
      <c r="B44" s="49"/>
      <c r="C44" s="49"/>
      <c r="D44" s="49"/>
      <c r="E44" s="49"/>
      <c r="F44" s="49"/>
      <c r="G44" s="49"/>
      <c r="H44" s="49"/>
      <c r="I44" s="49"/>
      <c r="J44" s="49"/>
      <c r="K44" s="49"/>
      <c r="L44" s="49"/>
      <c r="M44" s="49"/>
      <c r="N44" s="50"/>
      <c r="O44" s="38"/>
      <c r="P44" s="38"/>
      <c r="Q44" s="158"/>
    </row>
    <row r="45" spans="1:17" s="23" customFormat="1" ht="16" x14ac:dyDescent="0.35">
      <c r="A45" s="51" t="s">
        <v>53</v>
      </c>
      <c r="B45" s="52"/>
      <c r="C45" s="52"/>
      <c r="D45" s="52"/>
      <c r="E45" s="52"/>
      <c r="F45" s="52"/>
      <c r="G45" s="52"/>
      <c r="H45" s="52"/>
      <c r="I45" s="52"/>
      <c r="J45" s="52"/>
      <c r="K45" s="52"/>
      <c r="L45" s="52"/>
      <c r="M45" s="52"/>
      <c r="N45" s="53"/>
      <c r="O45" s="22"/>
      <c r="P45" s="22"/>
      <c r="Q45" s="158"/>
    </row>
    <row r="46" spans="1:17" s="7" customFormat="1" ht="96" x14ac:dyDescent="0.35">
      <c r="A46" s="65" t="s">
        <v>53</v>
      </c>
      <c r="B46" s="25">
        <v>170.29</v>
      </c>
      <c r="C46" s="66">
        <v>0</v>
      </c>
      <c r="D46" s="66">
        <v>0</v>
      </c>
      <c r="E46" s="66">
        <v>0</v>
      </c>
      <c r="F46" s="66">
        <v>0</v>
      </c>
      <c r="G46" s="26">
        <v>170.29</v>
      </c>
      <c r="H46" s="25">
        <v>172.434</v>
      </c>
      <c r="I46" s="25">
        <v>0</v>
      </c>
      <c r="J46" s="25">
        <v>0</v>
      </c>
      <c r="K46" s="25">
        <v>0</v>
      </c>
      <c r="L46" s="25">
        <v>0</v>
      </c>
      <c r="M46" s="26">
        <v>172.434</v>
      </c>
      <c r="N46" s="27">
        <v>1.2590287157202453E-2</v>
      </c>
      <c r="O46" s="55" t="s">
        <v>1893</v>
      </c>
      <c r="P46" s="67" t="s">
        <v>54</v>
      </c>
      <c r="Q46" s="126"/>
    </row>
    <row r="47" spans="1:17" s="7" customFormat="1" ht="128" x14ac:dyDescent="0.35">
      <c r="A47" s="65" t="s">
        <v>55</v>
      </c>
      <c r="B47" s="25">
        <v>54.52</v>
      </c>
      <c r="C47" s="66">
        <v>0</v>
      </c>
      <c r="D47" s="66">
        <v>0</v>
      </c>
      <c r="E47" s="66">
        <v>0</v>
      </c>
      <c r="F47" s="66">
        <v>0</v>
      </c>
      <c r="G47" s="26">
        <v>54.52</v>
      </c>
      <c r="H47" s="25">
        <v>55.21</v>
      </c>
      <c r="I47" s="25">
        <v>0</v>
      </c>
      <c r="J47" s="25">
        <v>0</v>
      </c>
      <c r="K47" s="25">
        <v>0</v>
      </c>
      <c r="L47" s="25">
        <v>0</v>
      </c>
      <c r="M47" s="26">
        <v>55.21</v>
      </c>
      <c r="N47" s="27">
        <v>1.2655906089508395E-2</v>
      </c>
      <c r="O47" s="55" t="s">
        <v>1894</v>
      </c>
      <c r="P47" s="67" t="s">
        <v>1895</v>
      </c>
      <c r="Q47" s="158"/>
    </row>
    <row r="48" spans="1:17" s="7" customFormat="1" ht="80" x14ac:dyDescent="0.35">
      <c r="A48" s="65" t="s">
        <v>56</v>
      </c>
      <c r="B48" s="25">
        <v>30.814</v>
      </c>
      <c r="C48" s="66">
        <v>0</v>
      </c>
      <c r="D48" s="66">
        <v>0</v>
      </c>
      <c r="E48" s="66">
        <v>0</v>
      </c>
      <c r="F48" s="66">
        <v>0</v>
      </c>
      <c r="G48" s="26">
        <v>30.814</v>
      </c>
      <c r="H48" s="25">
        <v>31.215</v>
      </c>
      <c r="I48" s="25">
        <v>0</v>
      </c>
      <c r="J48" s="25">
        <v>0</v>
      </c>
      <c r="K48" s="25">
        <v>0</v>
      </c>
      <c r="L48" s="25">
        <v>0</v>
      </c>
      <c r="M48" s="26">
        <v>31.215</v>
      </c>
      <c r="N48" s="27">
        <v>1.3013565262542994E-2</v>
      </c>
      <c r="O48" s="55" t="s">
        <v>57</v>
      </c>
      <c r="P48" s="67" t="s">
        <v>58</v>
      </c>
      <c r="Q48" s="158"/>
    </row>
    <row r="49" spans="1:17" s="7" customFormat="1" ht="16" x14ac:dyDescent="0.35">
      <c r="A49" s="68" t="s">
        <v>38</v>
      </c>
      <c r="B49" s="25">
        <v>11.621</v>
      </c>
      <c r="C49" s="69">
        <v>0</v>
      </c>
      <c r="D49" s="69">
        <v>0</v>
      </c>
      <c r="E49" s="69">
        <v>0</v>
      </c>
      <c r="F49" s="69">
        <v>0</v>
      </c>
      <c r="G49" s="26">
        <v>11.621</v>
      </c>
      <c r="H49" s="25">
        <v>11.621</v>
      </c>
      <c r="I49" s="25">
        <v>0</v>
      </c>
      <c r="J49" s="25">
        <v>0</v>
      </c>
      <c r="K49" s="25">
        <v>0</v>
      </c>
      <c r="L49" s="25">
        <v>0</v>
      </c>
      <c r="M49" s="26">
        <v>11.621</v>
      </c>
      <c r="N49" s="27">
        <v>0</v>
      </c>
      <c r="O49" s="55" t="s">
        <v>59</v>
      </c>
      <c r="P49" s="55" t="s">
        <v>74</v>
      </c>
      <c r="Q49" s="158"/>
    </row>
    <row r="50" spans="1:17" s="23" customFormat="1" ht="16" x14ac:dyDescent="0.35">
      <c r="A50" s="30" t="s">
        <v>22</v>
      </c>
      <c r="B50" s="26">
        <v>267.245</v>
      </c>
      <c r="C50" s="31">
        <v>0</v>
      </c>
      <c r="D50" s="31">
        <v>0</v>
      </c>
      <c r="E50" s="31">
        <v>0</v>
      </c>
      <c r="F50" s="31">
        <v>0</v>
      </c>
      <c r="G50" s="31">
        <v>267.245</v>
      </c>
      <c r="H50" s="31">
        <v>270.47999999999996</v>
      </c>
      <c r="I50" s="31">
        <v>0</v>
      </c>
      <c r="J50" s="31">
        <v>0</v>
      </c>
      <c r="K50" s="31">
        <v>0</v>
      </c>
      <c r="L50" s="31">
        <v>0</v>
      </c>
      <c r="M50" s="31">
        <v>270.47999999999996</v>
      </c>
      <c r="N50" s="32">
        <v>1.2104997287133367E-2</v>
      </c>
      <c r="O50" s="33"/>
      <c r="P50" s="33"/>
      <c r="Q50" s="158"/>
    </row>
    <row r="51" spans="1:17" s="7" customFormat="1" ht="16" x14ac:dyDescent="0.35">
      <c r="A51" s="70"/>
      <c r="B51" s="71"/>
      <c r="C51" s="72"/>
      <c r="D51" s="72"/>
      <c r="E51" s="72"/>
      <c r="F51" s="72"/>
      <c r="G51" s="72"/>
      <c r="H51" s="72"/>
      <c r="I51" s="72"/>
      <c r="J51" s="72"/>
      <c r="K51" s="72"/>
      <c r="L51" s="72"/>
      <c r="M51" s="72"/>
      <c r="N51" s="73"/>
      <c r="O51" s="64"/>
      <c r="P51" s="74"/>
      <c r="Q51" s="158"/>
    </row>
    <row r="52" spans="1:17" s="7" customFormat="1" ht="16" x14ac:dyDescent="0.35">
      <c r="A52" s="70"/>
      <c r="B52" s="71"/>
      <c r="C52" s="72"/>
      <c r="D52" s="72"/>
      <c r="E52" s="72"/>
      <c r="F52" s="72"/>
      <c r="G52" s="72"/>
      <c r="H52" s="72"/>
      <c r="I52" s="72"/>
      <c r="J52" s="72"/>
      <c r="K52" s="72"/>
      <c r="L52" s="72"/>
      <c r="M52" s="72"/>
      <c r="N52" s="73"/>
      <c r="O52" s="64"/>
      <c r="P52" s="74"/>
      <c r="Q52" s="158"/>
    </row>
    <row r="53" spans="1:17" s="23" customFormat="1" ht="16" x14ac:dyDescent="0.35">
      <c r="A53" s="38"/>
      <c r="B53" s="40"/>
      <c r="C53" s="40"/>
      <c r="D53" s="40"/>
      <c r="E53" s="40"/>
      <c r="F53" s="40"/>
      <c r="G53" s="40"/>
      <c r="H53" s="40"/>
      <c r="I53" s="40"/>
      <c r="J53" s="40"/>
      <c r="K53" s="40"/>
      <c r="L53" s="40"/>
      <c r="M53" s="40"/>
      <c r="N53" s="41"/>
      <c r="O53" s="38"/>
      <c r="P53" s="38"/>
      <c r="Q53" s="158"/>
    </row>
    <row r="54" spans="1:17" s="23" customFormat="1" ht="16" x14ac:dyDescent="0.35">
      <c r="A54" s="19" t="s">
        <v>62</v>
      </c>
      <c r="B54" s="42"/>
      <c r="C54" s="42"/>
      <c r="D54" s="42"/>
      <c r="E54" s="42"/>
      <c r="F54" s="42"/>
      <c r="G54" s="42"/>
      <c r="H54" s="42"/>
      <c r="I54" s="42"/>
      <c r="J54" s="42"/>
      <c r="K54" s="42"/>
      <c r="L54" s="42"/>
      <c r="M54" s="42"/>
      <c r="N54" s="43"/>
      <c r="O54" s="22"/>
      <c r="P54" s="22"/>
      <c r="Q54" s="158"/>
    </row>
    <row r="55" spans="1:17" s="7" customFormat="1" ht="64" x14ac:dyDescent="0.35">
      <c r="A55" s="46" t="s">
        <v>63</v>
      </c>
      <c r="B55" s="25">
        <v>4</v>
      </c>
      <c r="C55" s="47">
        <v>0</v>
      </c>
      <c r="D55" s="47">
        <v>0</v>
      </c>
      <c r="E55" s="47">
        <v>0</v>
      </c>
      <c r="F55" s="47">
        <v>0</v>
      </c>
      <c r="G55" s="26">
        <v>4</v>
      </c>
      <c r="H55" s="25">
        <v>3.7</v>
      </c>
      <c r="I55" s="25">
        <v>0</v>
      </c>
      <c r="J55" s="25">
        <v>0</v>
      </c>
      <c r="K55" s="25">
        <v>0</v>
      </c>
      <c r="L55" s="25">
        <v>0</v>
      </c>
      <c r="M55" s="26">
        <v>3.7</v>
      </c>
      <c r="N55" s="27">
        <v>-7.4999999999999956E-2</v>
      </c>
      <c r="O55" s="45" t="s">
        <v>64</v>
      </c>
      <c r="P55" s="75" t="s">
        <v>65</v>
      </c>
      <c r="Q55" s="158"/>
    </row>
    <row r="56" spans="1:17" s="7" customFormat="1" ht="96" x14ac:dyDescent="0.35">
      <c r="A56" s="44" t="s">
        <v>66</v>
      </c>
      <c r="B56" s="25">
        <v>2.0070000000000001</v>
      </c>
      <c r="C56" s="25">
        <v>0</v>
      </c>
      <c r="D56" s="25">
        <v>0</v>
      </c>
      <c r="E56" s="25">
        <v>0</v>
      </c>
      <c r="F56" s="25">
        <v>0</v>
      </c>
      <c r="G56" s="26">
        <v>2.0070000000000001</v>
      </c>
      <c r="H56" s="25">
        <v>6.117</v>
      </c>
      <c r="I56" s="25">
        <v>0</v>
      </c>
      <c r="J56" s="25">
        <v>0</v>
      </c>
      <c r="K56" s="25">
        <v>0</v>
      </c>
      <c r="L56" s="25">
        <v>0</v>
      </c>
      <c r="M56" s="26">
        <v>6.117</v>
      </c>
      <c r="N56" s="27">
        <v>2.0478325859491773</v>
      </c>
      <c r="O56" s="55" t="s">
        <v>67</v>
      </c>
      <c r="P56" s="67" t="s">
        <v>68</v>
      </c>
      <c r="Q56" s="158"/>
    </row>
    <row r="57" spans="1:17" s="7" customFormat="1" ht="48" x14ac:dyDescent="0.35">
      <c r="A57" s="44" t="s">
        <v>69</v>
      </c>
      <c r="B57" s="25">
        <v>8.3000000000000007</v>
      </c>
      <c r="C57" s="25">
        <v>0</v>
      </c>
      <c r="D57" s="25">
        <v>0</v>
      </c>
      <c r="E57" s="25">
        <v>0</v>
      </c>
      <c r="F57" s="25">
        <v>0</v>
      </c>
      <c r="G57" s="26">
        <v>8.3000000000000007</v>
      </c>
      <c r="H57" s="25">
        <v>9.4529999999999994</v>
      </c>
      <c r="I57" s="25">
        <v>0</v>
      </c>
      <c r="J57" s="25">
        <v>0</v>
      </c>
      <c r="K57" s="25">
        <v>0</v>
      </c>
      <c r="L57" s="25">
        <v>0</v>
      </c>
      <c r="M57" s="26">
        <v>9.4529999999999994</v>
      </c>
      <c r="N57" s="27">
        <v>0.13891566265060223</v>
      </c>
      <c r="O57" s="55" t="s">
        <v>70</v>
      </c>
      <c r="P57" s="55" t="s">
        <v>71</v>
      </c>
      <c r="Q57" s="126"/>
    </row>
    <row r="58" spans="1:17" s="7" customFormat="1" ht="48" x14ac:dyDescent="0.35">
      <c r="A58" s="44" t="s">
        <v>72</v>
      </c>
      <c r="B58" s="25">
        <v>11.132999999999999</v>
      </c>
      <c r="C58" s="25">
        <v>0</v>
      </c>
      <c r="D58" s="25">
        <v>0</v>
      </c>
      <c r="E58" s="25">
        <v>0</v>
      </c>
      <c r="F58" s="25">
        <v>0</v>
      </c>
      <c r="G58" s="26">
        <v>11.132999999999999</v>
      </c>
      <c r="H58" s="25">
        <v>11.132999999999999</v>
      </c>
      <c r="I58" s="25">
        <v>0</v>
      </c>
      <c r="J58" s="25">
        <v>0</v>
      </c>
      <c r="K58" s="25">
        <v>0</v>
      </c>
      <c r="L58" s="25">
        <v>0</v>
      </c>
      <c r="M58" s="26">
        <v>11.132999999999999</v>
      </c>
      <c r="N58" s="27">
        <v>0</v>
      </c>
      <c r="O58" s="55" t="s">
        <v>73</v>
      </c>
      <c r="P58" s="55" t="s">
        <v>74</v>
      </c>
      <c r="Q58" s="158"/>
    </row>
    <row r="59" spans="1:17" s="7" customFormat="1" ht="96" x14ac:dyDescent="0.35">
      <c r="A59" s="54" t="s">
        <v>75</v>
      </c>
      <c r="B59" s="25">
        <v>118.81699999999999</v>
      </c>
      <c r="C59" s="47">
        <v>0</v>
      </c>
      <c r="D59" s="47">
        <v>0</v>
      </c>
      <c r="E59" s="47">
        <v>0</v>
      </c>
      <c r="F59" s="47">
        <v>0</v>
      </c>
      <c r="G59" s="26">
        <v>118.81699999999999</v>
      </c>
      <c r="H59" s="25">
        <v>117.836</v>
      </c>
      <c r="I59" s="25">
        <v>0</v>
      </c>
      <c r="J59" s="25">
        <v>0</v>
      </c>
      <c r="K59" s="25">
        <v>0</v>
      </c>
      <c r="L59" s="25">
        <v>0</v>
      </c>
      <c r="M59" s="26">
        <v>117.836</v>
      </c>
      <c r="N59" s="27">
        <v>-8.2563942870127558E-3</v>
      </c>
      <c r="O59" s="55" t="s">
        <v>76</v>
      </c>
      <c r="P59" s="67" t="s">
        <v>1896</v>
      </c>
      <c r="Q59" s="158"/>
    </row>
    <row r="60" spans="1:17" s="7" customFormat="1" ht="32" x14ac:dyDescent="0.35">
      <c r="A60" s="54" t="s">
        <v>77</v>
      </c>
      <c r="B60" s="25">
        <v>10</v>
      </c>
      <c r="C60" s="47">
        <v>0</v>
      </c>
      <c r="D60" s="47">
        <v>0</v>
      </c>
      <c r="E60" s="47">
        <v>0</v>
      </c>
      <c r="F60" s="47">
        <v>0</v>
      </c>
      <c r="G60" s="26">
        <v>10</v>
      </c>
      <c r="H60" s="25">
        <v>10</v>
      </c>
      <c r="I60" s="25">
        <v>0</v>
      </c>
      <c r="J60" s="25">
        <v>0</v>
      </c>
      <c r="K60" s="25">
        <v>0</v>
      </c>
      <c r="L60" s="25">
        <v>0</v>
      </c>
      <c r="M60" s="26">
        <v>10</v>
      </c>
      <c r="N60" s="27">
        <v>0</v>
      </c>
      <c r="O60" s="55" t="s">
        <v>78</v>
      </c>
      <c r="P60" s="67" t="s">
        <v>74</v>
      </c>
      <c r="Q60" s="158"/>
    </row>
    <row r="61" spans="1:17" s="7" customFormat="1" ht="80" x14ac:dyDescent="0.35">
      <c r="A61" s="54" t="s">
        <v>79</v>
      </c>
      <c r="B61" s="25">
        <v>50.381999999999998</v>
      </c>
      <c r="C61" s="47">
        <v>0</v>
      </c>
      <c r="D61" s="47">
        <v>0</v>
      </c>
      <c r="E61" s="47">
        <v>0</v>
      </c>
      <c r="F61" s="47">
        <v>0</v>
      </c>
      <c r="G61" s="26">
        <v>50.381999999999998</v>
      </c>
      <c r="H61" s="25">
        <v>109.367</v>
      </c>
      <c r="I61" s="25">
        <v>0</v>
      </c>
      <c r="J61" s="25">
        <v>0</v>
      </c>
      <c r="K61" s="25">
        <v>0</v>
      </c>
      <c r="L61" s="25">
        <v>0</v>
      </c>
      <c r="M61" s="26">
        <v>109.367</v>
      </c>
      <c r="N61" s="27">
        <v>1.1707554285260611</v>
      </c>
      <c r="O61" s="55" t="s">
        <v>80</v>
      </c>
      <c r="P61" s="67" t="s">
        <v>81</v>
      </c>
      <c r="Q61" s="158"/>
    </row>
    <row r="62" spans="1:17" s="7" customFormat="1" ht="128" x14ac:dyDescent="0.35">
      <c r="A62" s="54" t="s">
        <v>82</v>
      </c>
      <c r="B62" s="25">
        <v>9.7249999999999996</v>
      </c>
      <c r="C62" s="47">
        <v>0</v>
      </c>
      <c r="D62" s="47">
        <v>0</v>
      </c>
      <c r="E62" s="47">
        <v>0</v>
      </c>
      <c r="F62" s="47">
        <v>0</v>
      </c>
      <c r="G62" s="26">
        <v>9.7249999999999996</v>
      </c>
      <c r="H62" s="25">
        <v>11.119</v>
      </c>
      <c r="I62" s="25">
        <v>0</v>
      </c>
      <c r="J62" s="25">
        <v>0</v>
      </c>
      <c r="K62" s="25">
        <v>0</v>
      </c>
      <c r="L62" s="25">
        <v>0</v>
      </c>
      <c r="M62" s="26">
        <v>11.119</v>
      </c>
      <c r="N62" s="27">
        <v>0.1433419023136247</v>
      </c>
      <c r="O62" s="55" t="s">
        <v>83</v>
      </c>
      <c r="P62" s="67" t="s">
        <v>1897</v>
      </c>
      <c r="Q62" s="158"/>
    </row>
    <row r="63" spans="1:17" s="7" customFormat="1" ht="48" x14ac:dyDescent="0.35">
      <c r="A63" s="54" t="s">
        <v>84</v>
      </c>
      <c r="B63" s="25">
        <v>40.585000000000001</v>
      </c>
      <c r="C63" s="47">
        <v>0</v>
      </c>
      <c r="D63" s="47">
        <v>0</v>
      </c>
      <c r="E63" s="47">
        <v>0</v>
      </c>
      <c r="F63" s="47">
        <v>0</v>
      </c>
      <c r="G63" s="26">
        <v>40.585000000000001</v>
      </c>
      <c r="H63" s="25">
        <v>58.332000000000001</v>
      </c>
      <c r="I63" s="25">
        <v>0</v>
      </c>
      <c r="J63" s="25">
        <v>0</v>
      </c>
      <c r="K63" s="25">
        <v>0</v>
      </c>
      <c r="L63" s="25">
        <v>0</v>
      </c>
      <c r="M63" s="26">
        <v>58.332000000000001</v>
      </c>
      <c r="N63" s="27">
        <v>0.43727978317112232</v>
      </c>
      <c r="O63" s="55" t="s">
        <v>85</v>
      </c>
      <c r="P63" s="67" t="s">
        <v>86</v>
      </c>
      <c r="Q63" s="158"/>
    </row>
    <row r="64" spans="1:17" s="7" customFormat="1" ht="96" x14ac:dyDescent="0.35">
      <c r="A64" s="54" t="s">
        <v>87</v>
      </c>
      <c r="B64" s="25">
        <v>60.654000000000003</v>
      </c>
      <c r="C64" s="47">
        <v>0</v>
      </c>
      <c r="D64" s="47">
        <v>0</v>
      </c>
      <c r="E64" s="47">
        <v>0</v>
      </c>
      <c r="F64" s="47">
        <v>0</v>
      </c>
      <c r="G64" s="26">
        <v>60.654000000000003</v>
      </c>
      <c r="H64" s="25">
        <v>74.691999999999993</v>
      </c>
      <c r="I64" s="25">
        <v>0</v>
      </c>
      <c r="J64" s="25">
        <v>0</v>
      </c>
      <c r="K64" s="25">
        <v>0</v>
      </c>
      <c r="L64" s="25">
        <v>0</v>
      </c>
      <c r="M64" s="26">
        <v>74.691999999999993</v>
      </c>
      <c r="N64" s="27">
        <v>0.23144392785306803</v>
      </c>
      <c r="O64" s="55" t="s">
        <v>88</v>
      </c>
      <c r="P64" s="67" t="s">
        <v>89</v>
      </c>
      <c r="Q64" s="158"/>
    </row>
    <row r="65" spans="1:17" s="7" customFormat="1" ht="112" x14ac:dyDescent="0.35">
      <c r="A65" s="54" t="s">
        <v>90</v>
      </c>
      <c r="B65" s="25">
        <v>3.544</v>
      </c>
      <c r="C65" s="47">
        <v>0</v>
      </c>
      <c r="D65" s="47">
        <v>0</v>
      </c>
      <c r="E65" s="47">
        <v>0</v>
      </c>
      <c r="F65" s="47">
        <v>0</v>
      </c>
      <c r="G65" s="26">
        <v>3.544</v>
      </c>
      <c r="H65" s="25">
        <v>3.71</v>
      </c>
      <c r="I65" s="25">
        <v>0</v>
      </c>
      <c r="J65" s="25">
        <v>0</v>
      </c>
      <c r="K65" s="25">
        <v>0</v>
      </c>
      <c r="L65" s="25">
        <v>0</v>
      </c>
      <c r="M65" s="26">
        <v>3.71</v>
      </c>
      <c r="N65" s="27">
        <v>4.6839729119638802E-2</v>
      </c>
      <c r="O65" s="55" t="s">
        <v>91</v>
      </c>
      <c r="P65" s="67" t="s">
        <v>92</v>
      </c>
      <c r="Q65" s="158"/>
    </row>
    <row r="66" spans="1:17" s="7" customFormat="1" ht="48" x14ac:dyDescent="0.35">
      <c r="A66" s="54" t="s">
        <v>93</v>
      </c>
      <c r="B66" s="25">
        <v>2.2360000000000002</v>
      </c>
      <c r="C66" s="47">
        <v>0</v>
      </c>
      <c r="D66" s="47">
        <v>0</v>
      </c>
      <c r="E66" s="47">
        <v>0</v>
      </c>
      <c r="F66" s="47">
        <v>0</v>
      </c>
      <c r="G66" s="26">
        <v>2.2360000000000002</v>
      </c>
      <c r="H66" s="25">
        <v>2.2360000000000002</v>
      </c>
      <c r="I66" s="25">
        <v>0</v>
      </c>
      <c r="J66" s="25">
        <v>0</v>
      </c>
      <c r="K66" s="25">
        <v>0</v>
      </c>
      <c r="L66" s="25">
        <v>0</v>
      </c>
      <c r="M66" s="26">
        <v>2.2360000000000002</v>
      </c>
      <c r="N66" s="27">
        <v>0</v>
      </c>
      <c r="O66" s="55" t="s">
        <v>94</v>
      </c>
      <c r="P66" s="55" t="s">
        <v>74</v>
      </c>
      <c r="Q66" s="158"/>
    </row>
    <row r="67" spans="1:17" s="7" customFormat="1" ht="128" x14ac:dyDescent="0.35">
      <c r="A67" s="54" t="s">
        <v>38</v>
      </c>
      <c r="B67" s="25">
        <v>22.891999999999999</v>
      </c>
      <c r="C67" s="47">
        <v>0</v>
      </c>
      <c r="D67" s="47">
        <v>0</v>
      </c>
      <c r="E67" s="47">
        <v>0</v>
      </c>
      <c r="F67" s="47">
        <v>0</v>
      </c>
      <c r="G67" s="26">
        <v>22.891999999999999</v>
      </c>
      <c r="H67" s="25">
        <v>26.169</v>
      </c>
      <c r="I67" s="25">
        <v>0</v>
      </c>
      <c r="J67" s="25">
        <v>0</v>
      </c>
      <c r="K67" s="25">
        <v>0</v>
      </c>
      <c r="L67" s="25">
        <v>0</v>
      </c>
      <c r="M67" s="26">
        <v>26.169</v>
      </c>
      <c r="N67" s="27">
        <v>0.14315044557050502</v>
      </c>
      <c r="O67" s="34" t="s">
        <v>95</v>
      </c>
      <c r="P67" s="55" t="s">
        <v>96</v>
      </c>
      <c r="Q67" s="158"/>
    </row>
    <row r="68" spans="1:17" s="23" customFormat="1" ht="16" x14ac:dyDescent="0.35">
      <c r="A68" s="30" t="s">
        <v>22</v>
      </c>
      <c r="B68" s="26">
        <v>344.27499999999998</v>
      </c>
      <c r="C68" s="31">
        <v>0</v>
      </c>
      <c r="D68" s="31">
        <v>0</v>
      </c>
      <c r="E68" s="31">
        <v>0</v>
      </c>
      <c r="F68" s="31">
        <v>0</v>
      </c>
      <c r="G68" s="31">
        <v>344.27499999999998</v>
      </c>
      <c r="H68" s="31">
        <v>443.86399999999998</v>
      </c>
      <c r="I68" s="31">
        <v>0</v>
      </c>
      <c r="J68" s="31">
        <v>0</v>
      </c>
      <c r="K68" s="31">
        <v>0</v>
      </c>
      <c r="L68" s="31">
        <v>0</v>
      </c>
      <c r="M68" s="31">
        <v>443.86399999999998</v>
      </c>
      <c r="N68" s="32">
        <v>0.2892716578316753</v>
      </c>
      <c r="O68" s="33"/>
      <c r="P68" s="33"/>
      <c r="Q68" s="158"/>
    </row>
    <row r="69" spans="1:17" s="7" customFormat="1" ht="16" x14ac:dyDescent="0.35">
      <c r="A69" s="13"/>
      <c r="B69" s="35"/>
      <c r="C69" s="35"/>
      <c r="D69" s="35"/>
      <c r="E69" s="35"/>
      <c r="F69" s="35"/>
      <c r="G69" s="36"/>
      <c r="H69" s="36"/>
      <c r="I69" s="36"/>
      <c r="J69" s="36"/>
      <c r="K69" s="36"/>
      <c r="L69" s="36"/>
      <c r="M69" s="36"/>
      <c r="N69" s="37"/>
      <c r="O69" s="17"/>
      <c r="P69" s="18"/>
      <c r="Q69" s="158"/>
    </row>
    <row r="70" spans="1:17" s="23" customFormat="1" ht="16.5" thickBot="1" x14ac:dyDescent="0.4">
      <c r="A70" s="59"/>
      <c r="B70" s="49"/>
      <c r="C70" s="49"/>
      <c r="D70" s="49"/>
      <c r="E70" s="49"/>
      <c r="F70" s="49"/>
      <c r="G70" s="49"/>
      <c r="H70" s="49"/>
      <c r="I70" s="49"/>
      <c r="J70" s="49"/>
      <c r="K70" s="49"/>
      <c r="L70" s="49"/>
      <c r="M70" s="49"/>
      <c r="N70" s="50"/>
      <c r="O70" s="38"/>
      <c r="P70" s="38"/>
      <c r="Q70" s="158"/>
    </row>
    <row r="71" spans="1:17" s="23" customFormat="1" ht="32" x14ac:dyDescent="0.35">
      <c r="A71" s="51" t="s">
        <v>97</v>
      </c>
      <c r="B71" s="52"/>
      <c r="C71" s="52"/>
      <c r="D71" s="52"/>
      <c r="E71" s="52"/>
      <c r="F71" s="52"/>
      <c r="G71" s="52"/>
      <c r="H71" s="52"/>
      <c r="I71" s="52"/>
      <c r="J71" s="52"/>
      <c r="K71" s="52"/>
      <c r="L71" s="52"/>
      <c r="M71" s="52"/>
      <c r="N71" s="53"/>
      <c r="O71" s="76"/>
      <c r="P71" s="76"/>
      <c r="Q71" s="158"/>
    </row>
    <row r="72" spans="1:17" s="7" customFormat="1" ht="32" x14ac:dyDescent="0.35">
      <c r="A72" s="54" t="s">
        <v>98</v>
      </c>
      <c r="B72" s="25">
        <v>38.003999999999998</v>
      </c>
      <c r="C72" s="47">
        <v>0</v>
      </c>
      <c r="D72" s="47">
        <v>0</v>
      </c>
      <c r="E72" s="47">
        <v>0</v>
      </c>
      <c r="F72" s="47">
        <v>0</v>
      </c>
      <c r="G72" s="26">
        <v>38.003999999999998</v>
      </c>
      <c r="H72" s="25">
        <v>38.003999999999998</v>
      </c>
      <c r="I72" s="25">
        <v>0</v>
      </c>
      <c r="J72" s="25">
        <v>0</v>
      </c>
      <c r="K72" s="25">
        <v>0</v>
      </c>
      <c r="L72" s="25">
        <v>0</v>
      </c>
      <c r="M72" s="26">
        <v>38.003999999999998</v>
      </c>
      <c r="N72" s="27">
        <v>0</v>
      </c>
      <c r="O72" s="77" t="s">
        <v>99</v>
      </c>
      <c r="P72" s="77" t="s">
        <v>74</v>
      </c>
      <c r="Q72" s="158"/>
    </row>
    <row r="73" spans="1:17" s="7" customFormat="1" ht="32" x14ac:dyDescent="0.35">
      <c r="A73" s="78" t="s">
        <v>100</v>
      </c>
      <c r="B73" s="25">
        <v>10.487</v>
      </c>
      <c r="C73" s="79">
        <v>0</v>
      </c>
      <c r="D73" s="79">
        <v>0</v>
      </c>
      <c r="E73" s="79">
        <v>0</v>
      </c>
      <c r="F73" s="79">
        <v>0</v>
      </c>
      <c r="G73" s="26">
        <v>10.487</v>
      </c>
      <c r="H73" s="25">
        <v>10.487</v>
      </c>
      <c r="I73" s="25">
        <v>0</v>
      </c>
      <c r="J73" s="25">
        <v>0</v>
      </c>
      <c r="K73" s="25">
        <v>0</v>
      </c>
      <c r="L73" s="25">
        <v>0</v>
      </c>
      <c r="M73" s="26">
        <v>10.487</v>
      </c>
      <c r="N73" s="27">
        <v>0</v>
      </c>
      <c r="O73" s="55" t="s">
        <v>101</v>
      </c>
      <c r="P73" s="80" t="s">
        <v>74</v>
      </c>
      <c r="Q73" s="158"/>
    </row>
    <row r="74" spans="1:17" s="7" customFormat="1" ht="64" x14ac:dyDescent="0.35">
      <c r="A74" s="46" t="s">
        <v>102</v>
      </c>
      <c r="B74" s="25">
        <v>8.6649999999999991</v>
      </c>
      <c r="C74" s="47">
        <v>0</v>
      </c>
      <c r="D74" s="47">
        <v>0</v>
      </c>
      <c r="E74" s="47">
        <v>0</v>
      </c>
      <c r="F74" s="47">
        <v>0</v>
      </c>
      <c r="G74" s="26">
        <v>8.6649999999999991</v>
      </c>
      <c r="H74" s="25">
        <v>8.9350000000000005</v>
      </c>
      <c r="I74" s="25">
        <v>0</v>
      </c>
      <c r="J74" s="25">
        <v>0</v>
      </c>
      <c r="K74" s="25">
        <v>0</v>
      </c>
      <c r="L74" s="25">
        <v>0</v>
      </c>
      <c r="M74" s="26">
        <v>8.9350000000000005</v>
      </c>
      <c r="N74" s="27">
        <v>3.1159838430467556E-2</v>
      </c>
      <c r="O74" s="55" t="s">
        <v>103</v>
      </c>
      <c r="P74" s="80" t="s">
        <v>1304</v>
      </c>
      <c r="Q74" s="126"/>
    </row>
    <row r="75" spans="1:17" s="7" customFormat="1" ht="48" x14ac:dyDescent="0.35">
      <c r="A75" s="46" t="s">
        <v>104</v>
      </c>
      <c r="B75" s="25">
        <v>3.1</v>
      </c>
      <c r="C75" s="47">
        <v>0</v>
      </c>
      <c r="D75" s="47">
        <v>0</v>
      </c>
      <c r="E75" s="47">
        <v>0</v>
      </c>
      <c r="F75" s="47">
        <v>0</v>
      </c>
      <c r="G75" s="26">
        <v>3.1</v>
      </c>
      <c r="H75" s="25">
        <v>3.1</v>
      </c>
      <c r="I75" s="25">
        <v>0</v>
      </c>
      <c r="J75" s="25">
        <v>0</v>
      </c>
      <c r="K75" s="25">
        <v>0</v>
      </c>
      <c r="L75" s="25">
        <v>0</v>
      </c>
      <c r="M75" s="26">
        <v>3.1</v>
      </c>
      <c r="N75" s="27">
        <v>0</v>
      </c>
      <c r="O75" s="55" t="s">
        <v>105</v>
      </c>
      <c r="P75" s="80" t="s">
        <v>74</v>
      </c>
      <c r="Q75" s="158"/>
    </row>
    <row r="76" spans="1:17" s="7" customFormat="1" ht="64" x14ac:dyDescent="0.35">
      <c r="A76" s="46" t="s">
        <v>106</v>
      </c>
      <c r="B76" s="25">
        <v>1.9</v>
      </c>
      <c r="C76" s="47">
        <v>0</v>
      </c>
      <c r="D76" s="47">
        <v>0</v>
      </c>
      <c r="E76" s="47">
        <v>0</v>
      </c>
      <c r="F76" s="47">
        <v>0</v>
      </c>
      <c r="G76" s="26">
        <v>1.9</v>
      </c>
      <c r="H76" s="25">
        <v>2</v>
      </c>
      <c r="I76" s="25">
        <v>0</v>
      </c>
      <c r="J76" s="25">
        <v>0</v>
      </c>
      <c r="K76" s="25">
        <v>0</v>
      </c>
      <c r="L76" s="25">
        <v>0</v>
      </c>
      <c r="M76" s="26">
        <v>2</v>
      </c>
      <c r="N76" s="27">
        <v>5.2631578947368474E-2</v>
      </c>
      <c r="O76" s="55" t="s">
        <v>107</v>
      </c>
      <c r="P76" s="80" t="s">
        <v>108</v>
      </c>
      <c r="Q76" s="158"/>
    </row>
    <row r="77" spans="1:17" s="7" customFormat="1" ht="48" x14ac:dyDescent="0.35">
      <c r="A77" s="46" t="s">
        <v>109</v>
      </c>
      <c r="B77" s="25">
        <v>1.431</v>
      </c>
      <c r="C77" s="47">
        <v>0</v>
      </c>
      <c r="D77" s="47">
        <v>0</v>
      </c>
      <c r="E77" s="47">
        <v>0</v>
      </c>
      <c r="F77" s="47">
        <v>0</v>
      </c>
      <c r="G77" s="26">
        <v>1.431</v>
      </c>
      <c r="H77" s="25">
        <v>2.9340000000000002</v>
      </c>
      <c r="I77" s="25">
        <v>0</v>
      </c>
      <c r="J77" s="25">
        <v>0</v>
      </c>
      <c r="K77" s="25">
        <v>0</v>
      </c>
      <c r="L77" s="25">
        <v>0</v>
      </c>
      <c r="M77" s="26">
        <v>2.9340000000000002</v>
      </c>
      <c r="N77" s="27">
        <v>1.050314465408805</v>
      </c>
      <c r="O77" s="55" t="s">
        <v>110</v>
      </c>
      <c r="P77" s="80" t="s">
        <v>111</v>
      </c>
      <c r="Q77" s="158"/>
    </row>
    <row r="78" spans="1:17" s="7" customFormat="1" ht="80" x14ac:dyDescent="0.35">
      <c r="A78" s="46" t="s">
        <v>112</v>
      </c>
      <c r="B78" s="25">
        <v>2.2999999999999998</v>
      </c>
      <c r="C78" s="47">
        <v>0</v>
      </c>
      <c r="D78" s="47">
        <v>0</v>
      </c>
      <c r="E78" s="47">
        <v>0</v>
      </c>
      <c r="F78" s="47">
        <v>0</v>
      </c>
      <c r="G78" s="26">
        <v>2.2999999999999998</v>
      </c>
      <c r="H78" s="25">
        <v>3.1</v>
      </c>
      <c r="I78" s="25">
        <v>0</v>
      </c>
      <c r="J78" s="25">
        <v>0</v>
      </c>
      <c r="K78" s="25">
        <v>0</v>
      </c>
      <c r="L78" s="25">
        <v>0</v>
      </c>
      <c r="M78" s="26">
        <v>3.1</v>
      </c>
      <c r="N78" s="27">
        <v>0.3478260869565219</v>
      </c>
      <c r="O78" s="55" t="s">
        <v>113</v>
      </c>
      <c r="P78" s="80" t="s">
        <v>1898</v>
      </c>
      <c r="Q78" s="158"/>
    </row>
    <row r="79" spans="1:17" s="7" customFormat="1" ht="96" x14ac:dyDescent="0.35">
      <c r="A79" s="46" t="s">
        <v>114</v>
      </c>
      <c r="B79" s="25">
        <v>4.75</v>
      </c>
      <c r="C79" s="47">
        <v>0</v>
      </c>
      <c r="D79" s="47">
        <v>0</v>
      </c>
      <c r="E79" s="47">
        <v>0</v>
      </c>
      <c r="F79" s="47">
        <v>0</v>
      </c>
      <c r="G79" s="26">
        <v>4.75</v>
      </c>
      <c r="H79" s="25">
        <v>5</v>
      </c>
      <c r="I79" s="25">
        <v>0</v>
      </c>
      <c r="J79" s="25">
        <v>0</v>
      </c>
      <c r="K79" s="25">
        <v>0</v>
      </c>
      <c r="L79" s="25">
        <v>0</v>
      </c>
      <c r="M79" s="26">
        <v>5</v>
      </c>
      <c r="N79" s="27">
        <v>5.2631578947368418E-2</v>
      </c>
      <c r="O79" s="55" t="s">
        <v>115</v>
      </c>
      <c r="P79" s="80" t="s">
        <v>1304</v>
      </c>
      <c r="Q79" s="158"/>
    </row>
    <row r="80" spans="1:17" s="7" customFormat="1" ht="48" x14ac:dyDescent="0.35">
      <c r="A80" s="46" t="s">
        <v>116</v>
      </c>
      <c r="B80" s="25">
        <v>1.1259999999999999</v>
      </c>
      <c r="C80" s="47">
        <v>0</v>
      </c>
      <c r="D80" s="47">
        <v>0</v>
      </c>
      <c r="E80" s="47">
        <v>0</v>
      </c>
      <c r="F80" s="47">
        <v>0</v>
      </c>
      <c r="G80" s="26">
        <v>1.1259999999999999</v>
      </c>
      <c r="H80" s="25">
        <v>4.4349999999999996</v>
      </c>
      <c r="I80" s="25">
        <v>0</v>
      </c>
      <c r="J80" s="25">
        <v>0</v>
      </c>
      <c r="K80" s="25">
        <v>0</v>
      </c>
      <c r="L80" s="25">
        <v>0</v>
      </c>
      <c r="M80" s="26">
        <v>4.4349999999999996</v>
      </c>
      <c r="N80" s="27">
        <v>2.9387211367673181</v>
      </c>
      <c r="O80" s="55" t="s">
        <v>117</v>
      </c>
      <c r="P80" s="80" t="s">
        <v>118</v>
      </c>
      <c r="Q80" s="158"/>
    </row>
    <row r="81" spans="1:17" s="7" customFormat="1" ht="64" x14ac:dyDescent="0.35">
      <c r="A81" s="46" t="s">
        <v>38</v>
      </c>
      <c r="B81" s="25">
        <v>30.672000000000001</v>
      </c>
      <c r="C81" s="47">
        <v>0</v>
      </c>
      <c r="D81" s="47">
        <v>0</v>
      </c>
      <c r="E81" s="47">
        <v>0</v>
      </c>
      <c r="F81" s="47">
        <v>0</v>
      </c>
      <c r="G81" s="26">
        <v>30.672000000000001</v>
      </c>
      <c r="H81" s="25">
        <v>31.096</v>
      </c>
      <c r="I81" s="25">
        <v>0</v>
      </c>
      <c r="J81" s="25">
        <v>0</v>
      </c>
      <c r="K81" s="25">
        <v>0</v>
      </c>
      <c r="L81" s="25">
        <v>0</v>
      </c>
      <c r="M81" s="26">
        <v>31.096</v>
      </c>
      <c r="N81" s="27">
        <v>1.3823682837767328E-2</v>
      </c>
      <c r="O81" s="55" t="s">
        <v>119</v>
      </c>
      <c r="P81" s="80" t="s">
        <v>1304</v>
      </c>
      <c r="Q81" s="158"/>
    </row>
    <row r="82" spans="1:17" s="23" customFormat="1" ht="16" x14ac:dyDescent="0.35">
      <c r="A82" s="30" t="s">
        <v>22</v>
      </c>
      <c r="B82" s="26">
        <v>102.435</v>
      </c>
      <c r="C82" s="31">
        <v>0</v>
      </c>
      <c r="D82" s="31">
        <v>0</v>
      </c>
      <c r="E82" s="31">
        <v>0</v>
      </c>
      <c r="F82" s="31">
        <v>0</v>
      </c>
      <c r="G82" s="31">
        <v>102.435</v>
      </c>
      <c r="H82" s="31">
        <v>109.09100000000001</v>
      </c>
      <c r="I82" s="31">
        <v>0</v>
      </c>
      <c r="J82" s="31">
        <v>0</v>
      </c>
      <c r="K82" s="31">
        <v>0</v>
      </c>
      <c r="L82" s="31">
        <v>0</v>
      </c>
      <c r="M82" s="31">
        <v>109.09100000000001</v>
      </c>
      <c r="N82" s="32">
        <v>6.4977790794162202E-2</v>
      </c>
      <c r="O82" s="33"/>
      <c r="P82" s="33"/>
      <c r="Q82" s="158"/>
    </row>
    <row r="83" spans="1:17" s="7" customFormat="1" ht="16" x14ac:dyDescent="0.35">
      <c r="A83" s="70"/>
      <c r="B83" s="71"/>
      <c r="C83" s="72"/>
      <c r="D83" s="72"/>
      <c r="E83" s="72"/>
      <c r="F83" s="72"/>
      <c r="G83" s="72"/>
      <c r="H83" s="72"/>
      <c r="I83" s="72"/>
      <c r="J83" s="72"/>
      <c r="K83" s="72"/>
      <c r="L83" s="72"/>
      <c r="M83" s="72"/>
      <c r="N83" s="73"/>
      <c r="O83" s="64"/>
      <c r="P83" s="74"/>
      <c r="Q83" s="158"/>
    </row>
    <row r="84" spans="1:17" s="23" customFormat="1" ht="16.5" thickBot="1" x14ac:dyDescent="0.4">
      <c r="A84" s="59"/>
      <c r="B84" s="49"/>
      <c r="C84" s="49"/>
      <c r="D84" s="49"/>
      <c r="E84" s="49"/>
      <c r="F84" s="49"/>
      <c r="G84" s="49"/>
      <c r="H84" s="49"/>
      <c r="I84" s="49"/>
      <c r="J84" s="49"/>
      <c r="K84" s="49"/>
      <c r="L84" s="49"/>
      <c r="M84" s="49"/>
      <c r="N84" s="50"/>
      <c r="O84" s="38"/>
      <c r="P84" s="38"/>
      <c r="Q84" s="158"/>
    </row>
    <row r="85" spans="1:17" s="23" customFormat="1" ht="16" x14ac:dyDescent="0.35">
      <c r="A85" s="51" t="s">
        <v>120</v>
      </c>
      <c r="B85" s="52"/>
      <c r="C85" s="52"/>
      <c r="D85" s="52"/>
      <c r="E85" s="52"/>
      <c r="F85" s="52"/>
      <c r="G85" s="52"/>
      <c r="H85" s="52"/>
      <c r="I85" s="52"/>
      <c r="J85" s="52"/>
      <c r="K85" s="52"/>
      <c r="L85" s="52"/>
      <c r="M85" s="52"/>
      <c r="N85" s="53"/>
      <c r="O85" s="76"/>
      <c r="P85" s="76"/>
      <c r="Q85" s="158"/>
    </row>
    <row r="86" spans="1:17" s="7" customFormat="1" ht="112" x14ac:dyDescent="0.35">
      <c r="A86" s="46" t="s">
        <v>121</v>
      </c>
      <c r="B86" s="25">
        <v>60</v>
      </c>
      <c r="C86" s="47">
        <v>0</v>
      </c>
      <c r="D86" s="47">
        <v>0</v>
      </c>
      <c r="E86" s="47">
        <v>0</v>
      </c>
      <c r="F86" s="47">
        <v>0</v>
      </c>
      <c r="G86" s="26">
        <v>60</v>
      </c>
      <c r="H86" s="25">
        <v>60</v>
      </c>
      <c r="I86" s="25">
        <v>0</v>
      </c>
      <c r="J86" s="25">
        <v>0</v>
      </c>
      <c r="K86" s="25">
        <v>0</v>
      </c>
      <c r="L86" s="25">
        <v>0</v>
      </c>
      <c r="M86" s="26">
        <v>60</v>
      </c>
      <c r="N86" s="27">
        <v>0</v>
      </c>
      <c r="O86" s="45" t="s">
        <v>122</v>
      </c>
      <c r="P86" s="45" t="s">
        <v>74</v>
      </c>
      <c r="Q86" s="158"/>
    </row>
    <row r="87" spans="1:17" s="7" customFormat="1" ht="80" x14ac:dyDescent="0.35">
      <c r="A87" s="46" t="s">
        <v>123</v>
      </c>
      <c r="B87" s="25">
        <v>20.367999999999999</v>
      </c>
      <c r="C87" s="47">
        <v>0</v>
      </c>
      <c r="D87" s="47">
        <v>0</v>
      </c>
      <c r="E87" s="47">
        <v>0</v>
      </c>
      <c r="F87" s="47">
        <v>0</v>
      </c>
      <c r="G87" s="26">
        <v>20.367999999999999</v>
      </c>
      <c r="H87" s="1013">
        <v>23.388000000000002</v>
      </c>
      <c r="I87" s="25">
        <v>0</v>
      </c>
      <c r="J87" s="25">
        <v>0</v>
      </c>
      <c r="K87" s="25">
        <v>0</v>
      </c>
      <c r="L87" s="25">
        <v>0</v>
      </c>
      <c r="M87" s="1013">
        <v>23.388000000000002</v>
      </c>
      <c r="N87" s="1014">
        <v>0.14827179890023584</v>
      </c>
      <c r="O87" s="1016" t="s">
        <v>1908</v>
      </c>
      <c r="P87" s="45" t="s">
        <v>40</v>
      </c>
      <c r="Q87" s="158"/>
    </row>
    <row r="88" spans="1:17" s="23" customFormat="1" ht="16" x14ac:dyDescent="0.35">
      <c r="A88" s="30" t="s">
        <v>22</v>
      </c>
      <c r="B88" s="26">
        <v>80.367999999999995</v>
      </c>
      <c r="C88" s="26">
        <v>0</v>
      </c>
      <c r="D88" s="26">
        <v>0</v>
      </c>
      <c r="E88" s="26">
        <v>0</v>
      </c>
      <c r="F88" s="26">
        <v>0</v>
      </c>
      <c r="G88" s="26">
        <v>80.367999999999995</v>
      </c>
      <c r="H88" s="1013">
        <v>83.388000000000005</v>
      </c>
      <c r="I88" s="26">
        <v>0</v>
      </c>
      <c r="J88" s="26">
        <v>0</v>
      </c>
      <c r="K88" s="26">
        <v>0</v>
      </c>
      <c r="L88" s="26">
        <v>0</v>
      </c>
      <c r="M88" s="1013">
        <v>83.388000000000005</v>
      </c>
      <c r="N88" s="1015">
        <v>3.7577145132391132E-2</v>
      </c>
      <c r="O88" s="33"/>
      <c r="P88" s="33"/>
      <c r="Q88" s="158"/>
    </row>
    <row r="89" spans="1:17" s="7" customFormat="1" ht="16" x14ac:dyDescent="0.35">
      <c r="A89" s="70"/>
      <c r="B89" s="71"/>
      <c r="C89" s="72"/>
      <c r="D89" s="72"/>
      <c r="E89" s="72"/>
      <c r="F89" s="72"/>
      <c r="G89" s="72"/>
      <c r="H89" s="72"/>
      <c r="I89" s="72"/>
      <c r="J89" s="72"/>
      <c r="K89" s="72"/>
      <c r="L89" s="72"/>
      <c r="M89" s="72"/>
      <c r="N89" s="73"/>
      <c r="O89" s="64"/>
      <c r="P89" s="74"/>
      <c r="Q89" s="158"/>
    </row>
    <row r="90" spans="1:17" s="23" customFormat="1" ht="16.5" thickBot="1" x14ac:dyDescent="0.4">
      <c r="A90" s="59"/>
      <c r="B90" s="49"/>
      <c r="C90" s="49"/>
      <c r="D90" s="49"/>
      <c r="E90" s="49"/>
      <c r="F90" s="49"/>
      <c r="G90" s="49"/>
      <c r="H90" s="49"/>
      <c r="I90" s="49"/>
      <c r="J90" s="49"/>
      <c r="K90" s="49"/>
      <c r="L90" s="49"/>
      <c r="M90" s="49"/>
      <c r="N90" s="50"/>
      <c r="O90" s="38"/>
      <c r="P90" s="38"/>
      <c r="Q90" s="158"/>
    </row>
    <row r="91" spans="1:17" s="23" customFormat="1" ht="16" x14ac:dyDescent="0.35">
      <c r="A91" s="51" t="s">
        <v>124</v>
      </c>
      <c r="B91" s="52"/>
      <c r="C91" s="52"/>
      <c r="D91" s="52"/>
      <c r="E91" s="52"/>
      <c r="F91" s="52"/>
      <c r="G91" s="52"/>
      <c r="H91" s="52"/>
      <c r="I91" s="52"/>
      <c r="J91" s="52"/>
      <c r="K91" s="52"/>
      <c r="L91" s="52"/>
      <c r="M91" s="52"/>
      <c r="N91" s="53"/>
      <c r="O91" s="76"/>
      <c r="P91" s="76"/>
      <c r="Q91" s="158"/>
    </row>
    <row r="92" spans="1:17" s="7" customFormat="1" ht="64" x14ac:dyDescent="0.35">
      <c r="A92" s="46" t="s">
        <v>124</v>
      </c>
      <c r="B92" s="25">
        <v>34.837000000000003</v>
      </c>
      <c r="C92" s="47">
        <v>1.6020000000000001</v>
      </c>
      <c r="D92" s="47">
        <v>0</v>
      </c>
      <c r="E92" s="47">
        <v>0</v>
      </c>
      <c r="F92" s="47">
        <v>0</v>
      </c>
      <c r="G92" s="26">
        <v>36.439</v>
      </c>
      <c r="H92" s="25">
        <v>34.847000000000001</v>
      </c>
      <c r="I92" s="25">
        <v>1.6020000000000001</v>
      </c>
      <c r="J92" s="25">
        <v>0</v>
      </c>
      <c r="K92" s="25">
        <v>0</v>
      </c>
      <c r="L92" s="25">
        <v>0</v>
      </c>
      <c r="M92" s="26">
        <v>36.448999999999998</v>
      </c>
      <c r="N92" s="27">
        <v>2.7443124125244961E-4</v>
      </c>
      <c r="O92" s="45" t="s">
        <v>125</v>
      </c>
      <c r="P92" s="45" t="s">
        <v>74</v>
      </c>
      <c r="Q92" s="158"/>
    </row>
    <row r="93" spans="1:17" s="23" customFormat="1" ht="16" x14ac:dyDescent="0.35">
      <c r="A93" s="30" t="s">
        <v>22</v>
      </c>
      <c r="B93" s="26">
        <v>34.837000000000003</v>
      </c>
      <c r="C93" s="31">
        <v>1.6020000000000001</v>
      </c>
      <c r="D93" s="31">
        <v>0</v>
      </c>
      <c r="E93" s="31">
        <v>0</v>
      </c>
      <c r="F93" s="31">
        <v>0</v>
      </c>
      <c r="G93" s="31">
        <v>36.439</v>
      </c>
      <c r="H93" s="31">
        <v>34.847000000000001</v>
      </c>
      <c r="I93" s="31">
        <v>1.6020000000000001</v>
      </c>
      <c r="J93" s="31">
        <v>0</v>
      </c>
      <c r="K93" s="31">
        <v>0</v>
      </c>
      <c r="L93" s="31">
        <v>0</v>
      </c>
      <c r="M93" s="31">
        <v>36.448999999999998</v>
      </c>
      <c r="N93" s="32">
        <v>2.7443124125244961E-4</v>
      </c>
      <c r="O93" s="33"/>
      <c r="P93" s="33"/>
      <c r="Q93" s="158"/>
    </row>
    <row r="94" spans="1:17" s="7" customFormat="1" ht="16" x14ac:dyDescent="0.35">
      <c r="A94" s="70"/>
      <c r="B94" s="71"/>
      <c r="C94" s="72"/>
      <c r="D94" s="72"/>
      <c r="E94" s="72"/>
      <c r="F94" s="72"/>
      <c r="G94" s="72"/>
      <c r="H94" s="72"/>
      <c r="I94" s="72"/>
      <c r="J94" s="72"/>
      <c r="K94" s="72"/>
      <c r="L94" s="72"/>
      <c r="M94" s="72"/>
      <c r="N94" s="81"/>
      <c r="O94" s="82"/>
      <c r="P94" s="82"/>
      <c r="Q94" s="158"/>
    </row>
    <row r="95" spans="1:17" s="23" customFormat="1" ht="16.5" thickBot="1" x14ac:dyDescent="0.4">
      <c r="A95" s="59"/>
      <c r="B95" s="49"/>
      <c r="C95" s="49"/>
      <c r="D95" s="49"/>
      <c r="E95" s="49"/>
      <c r="F95" s="49"/>
      <c r="G95" s="49"/>
      <c r="H95" s="49"/>
      <c r="I95" s="49"/>
      <c r="J95" s="49"/>
      <c r="K95" s="49"/>
      <c r="L95" s="49"/>
      <c r="M95" s="49"/>
      <c r="N95" s="50"/>
      <c r="O95" s="38"/>
      <c r="P95" s="38"/>
      <c r="Q95" s="158"/>
    </row>
    <row r="96" spans="1:17" s="23" customFormat="1" ht="16" x14ac:dyDescent="0.35">
      <c r="A96" s="51" t="s">
        <v>126</v>
      </c>
      <c r="B96" s="52"/>
      <c r="C96" s="52"/>
      <c r="D96" s="52"/>
      <c r="E96" s="52"/>
      <c r="F96" s="52"/>
      <c r="G96" s="52"/>
      <c r="H96" s="52"/>
      <c r="I96" s="52"/>
      <c r="J96" s="52"/>
      <c r="K96" s="52"/>
      <c r="L96" s="52"/>
      <c r="M96" s="52"/>
      <c r="N96" s="53"/>
      <c r="O96" s="76"/>
      <c r="P96" s="76"/>
      <c r="Q96" s="158"/>
    </row>
    <row r="97" spans="1:17" s="7" customFormat="1" ht="80" x14ac:dyDescent="0.35">
      <c r="A97" s="46" t="s">
        <v>126</v>
      </c>
      <c r="B97" s="25">
        <v>12.977</v>
      </c>
      <c r="C97" s="47">
        <v>0</v>
      </c>
      <c r="D97" s="47">
        <v>0</v>
      </c>
      <c r="E97" s="47">
        <v>0</v>
      </c>
      <c r="F97" s="47">
        <v>0</v>
      </c>
      <c r="G97" s="26">
        <v>12.977</v>
      </c>
      <c r="H97" s="25">
        <v>12.977</v>
      </c>
      <c r="I97" s="25">
        <v>0</v>
      </c>
      <c r="J97" s="25">
        <v>0</v>
      </c>
      <c r="K97" s="25">
        <v>0</v>
      </c>
      <c r="L97" s="25">
        <v>0</v>
      </c>
      <c r="M97" s="26">
        <v>12.977</v>
      </c>
      <c r="N97" s="27">
        <v>0</v>
      </c>
      <c r="O97" s="45" t="s">
        <v>127</v>
      </c>
      <c r="P97" s="45" t="s">
        <v>74</v>
      </c>
      <c r="Q97" s="158"/>
    </row>
    <row r="98" spans="1:17" s="23" customFormat="1" ht="16" x14ac:dyDescent="0.35">
      <c r="A98" s="30" t="s">
        <v>22</v>
      </c>
      <c r="B98" s="26">
        <v>12.977</v>
      </c>
      <c r="C98" s="31">
        <v>0</v>
      </c>
      <c r="D98" s="31">
        <v>0</v>
      </c>
      <c r="E98" s="31">
        <v>0</v>
      </c>
      <c r="F98" s="31">
        <v>0</v>
      </c>
      <c r="G98" s="31">
        <v>12.977</v>
      </c>
      <c r="H98" s="31">
        <v>12.977</v>
      </c>
      <c r="I98" s="31">
        <v>0</v>
      </c>
      <c r="J98" s="31">
        <v>0</v>
      </c>
      <c r="K98" s="31">
        <v>0</v>
      </c>
      <c r="L98" s="31">
        <v>0</v>
      </c>
      <c r="M98" s="31">
        <v>12.977</v>
      </c>
      <c r="N98" s="32">
        <v>0</v>
      </c>
      <c r="O98" s="33"/>
      <c r="P98" s="33"/>
      <c r="Q98" s="126"/>
    </row>
    <row r="99" spans="1:17" s="7" customFormat="1" ht="16" x14ac:dyDescent="0.35">
      <c r="A99" s="13"/>
      <c r="B99" s="35"/>
      <c r="C99" s="35"/>
      <c r="D99" s="35"/>
      <c r="E99" s="35"/>
      <c r="F99" s="35"/>
      <c r="G99" s="36"/>
      <c r="H99" s="36"/>
      <c r="I99" s="36"/>
      <c r="J99" s="36"/>
      <c r="K99" s="36"/>
      <c r="L99" s="36"/>
      <c r="M99" s="36"/>
      <c r="N99" s="37"/>
      <c r="O99" s="17"/>
      <c r="P99" s="18"/>
      <c r="Q99" s="158"/>
    </row>
    <row r="100" spans="1:17" s="23" customFormat="1" ht="16" x14ac:dyDescent="0.35">
      <c r="A100" s="38" t="s">
        <v>46</v>
      </c>
      <c r="B100" s="40"/>
      <c r="C100" s="40"/>
      <c r="D100" s="40"/>
      <c r="E100" s="40"/>
      <c r="F100" s="40"/>
      <c r="G100" s="40"/>
      <c r="H100" s="40"/>
      <c r="I100" s="40"/>
      <c r="J100" s="40"/>
      <c r="K100" s="40"/>
      <c r="L100" s="40"/>
      <c r="M100" s="40"/>
      <c r="N100" s="41"/>
      <c r="O100" s="38"/>
      <c r="P100" s="38"/>
      <c r="Q100" s="158"/>
    </row>
    <row r="101" spans="1:17" s="23" customFormat="1" ht="16" x14ac:dyDescent="0.35">
      <c r="A101" s="19" t="s">
        <v>1906</v>
      </c>
      <c r="B101" s="42"/>
      <c r="C101" s="42"/>
      <c r="D101" s="42"/>
      <c r="E101" s="42"/>
      <c r="F101" s="42"/>
      <c r="G101" s="42"/>
      <c r="H101" s="42"/>
      <c r="I101" s="42"/>
      <c r="J101" s="42"/>
      <c r="K101" s="42"/>
      <c r="L101" s="42"/>
      <c r="M101" s="42"/>
      <c r="N101" s="43"/>
      <c r="O101" s="22"/>
      <c r="P101" s="22"/>
      <c r="Q101" s="158"/>
    </row>
    <row r="102" spans="1:17" s="7" customFormat="1" ht="96" x14ac:dyDescent="0.35">
      <c r="A102" s="46" t="s">
        <v>128</v>
      </c>
      <c r="B102" s="25">
        <v>59.706000000000003</v>
      </c>
      <c r="C102" s="47">
        <v>0</v>
      </c>
      <c r="D102" s="47">
        <v>0</v>
      </c>
      <c r="E102" s="47">
        <v>0</v>
      </c>
      <c r="F102" s="47">
        <v>0</v>
      </c>
      <c r="G102" s="26">
        <v>59.706000000000003</v>
      </c>
      <c r="H102" s="25">
        <v>658.50900000000001</v>
      </c>
      <c r="I102" s="25">
        <v>0</v>
      </c>
      <c r="J102" s="25">
        <v>0</v>
      </c>
      <c r="K102" s="25">
        <v>0</v>
      </c>
      <c r="L102" s="25">
        <v>0</v>
      </c>
      <c r="M102" s="26">
        <v>658.50900000000001</v>
      </c>
      <c r="N102" s="27">
        <v>10.029193045925032</v>
      </c>
      <c r="O102" s="45" t="s">
        <v>1899</v>
      </c>
      <c r="P102" s="45" t="s">
        <v>129</v>
      </c>
      <c r="Q102" s="126"/>
    </row>
    <row r="103" spans="1:17" s="7" customFormat="1" ht="32" x14ac:dyDescent="0.35">
      <c r="A103" s="54" t="s">
        <v>130</v>
      </c>
      <c r="B103" s="25">
        <v>62.241</v>
      </c>
      <c r="C103" s="47">
        <v>0.156</v>
      </c>
      <c r="D103" s="47">
        <v>0</v>
      </c>
      <c r="E103" s="47">
        <v>0</v>
      </c>
      <c r="F103" s="47">
        <v>0</v>
      </c>
      <c r="G103" s="26">
        <v>62.396999999999998</v>
      </c>
      <c r="H103" s="25">
        <v>75.641000000000005</v>
      </c>
      <c r="I103" s="25">
        <v>0.156</v>
      </c>
      <c r="J103" s="25">
        <v>0</v>
      </c>
      <c r="K103" s="25">
        <v>0</v>
      </c>
      <c r="L103" s="25">
        <v>0</v>
      </c>
      <c r="M103" s="26">
        <v>75.797000000000011</v>
      </c>
      <c r="N103" s="27">
        <v>0.21475391445101549</v>
      </c>
      <c r="O103" s="83" t="s">
        <v>131</v>
      </c>
      <c r="P103" s="45" t="s">
        <v>132</v>
      </c>
      <c r="Q103" s="126"/>
    </row>
    <row r="104" spans="1:17" s="7" customFormat="1" ht="48" x14ac:dyDescent="0.35">
      <c r="A104" s="84" t="s">
        <v>133</v>
      </c>
      <c r="B104" s="25">
        <v>32.630000000000003</v>
      </c>
      <c r="C104" s="47">
        <v>0.80400000000000005</v>
      </c>
      <c r="D104" s="47">
        <v>0</v>
      </c>
      <c r="E104" s="47">
        <v>0</v>
      </c>
      <c r="F104" s="47">
        <v>0</v>
      </c>
      <c r="G104" s="26">
        <v>33.434000000000005</v>
      </c>
      <c r="H104" s="25">
        <v>36.96</v>
      </c>
      <c r="I104" s="25">
        <v>0.80400000000000005</v>
      </c>
      <c r="J104" s="25">
        <v>0</v>
      </c>
      <c r="K104" s="25">
        <v>0</v>
      </c>
      <c r="L104" s="25">
        <v>0</v>
      </c>
      <c r="M104" s="26">
        <v>37.764000000000003</v>
      </c>
      <c r="N104" s="27">
        <v>0.12950888317281803</v>
      </c>
      <c r="O104" s="55" t="s">
        <v>134</v>
      </c>
      <c r="P104" s="55" t="s">
        <v>135</v>
      </c>
      <c r="Q104" s="126"/>
    </row>
    <row r="105" spans="1:17" s="7" customFormat="1" ht="112" x14ac:dyDescent="0.35">
      <c r="A105" s="85" t="s">
        <v>136</v>
      </c>
      <c r="B105" s="25">
        <v>14</v>
      </c>
      <c r="C105" s="47">
        <v>0</v>
      </c>
      <c r="D105" s="47">
        <v>0</v>
      </c>
      <c r="E105" s="47">
        <v>0</v>
      </c>
      <c r="F105" s="47">
        <v>0</v>
      </c>
      <c r="G105" s="26">
        <v>14</v>
      </c>
      <c r="H105" s="25">
        <v>14.015000000000001</v>
      </c>
      <c r="I105" s="25">
        <v>0</v>
      </c>
      <c r="J105" s="25">
        <v>0</v>
      </c>
      <c r="K105" s="25">
        <v>0</v>
      </c>
      <c r="L105" s="25">
        <v>0</v>
      </c>
      <c r="M105" s="26">
        <v>14.015000000000001</v>
      </c>
      <c r="N105" s="27">
        <v>1.071428571428612E-3</v>
      </c>
      <c r="O105" s="55" t="s">
        <v>137</v>
      </c>
      <c r="P105" s="55" t="s">
        <v>1304</v>
      </c>
      <c r="Q105" s="126"/>
    </row>
    <row r="106" spans="1:17" s="7" customFormat="1" ht="48" x14ac:dyDescent="0.35">
      <c r="A106" s="54" t="s">
        <v>138</v>
      </c>
      <c r="B106" s="25">
        <v>8</v>
      </c>
      <c r="C106" s="47">
        <v>0</v>
      </c>
      <c r="D106" s="47">
        <v>0</v>
      </c>
      <c r="E106" s="47">
        <v>0</v>
      </c>
      <c r="F106" s="47">
        <v>0</v>
      </c>
      <c r="G106" s="26">
        <v>8</v>
      </c>
      <c r="H106" s="25">
        <v>13</v>
      </c>
      <c r="I106" s="25">
        <v>0</v>
      </c>
      <c r="J106" s="25">
        <v>0</v>
      </c>
      <c r="K106" s="25">
        <v>0</v>
      </c>
      <c r="L106" s="25">
        <v>0</v>
      </c>
      <c r="M106" s="26">
        <v>13</v>
      </c>
      <c r="N106" s="27">
        <v>0.625</v>
      </c>
      <c r="O106" s="28" t="s">
        <v>139</v>
      </c>
      <c r="P106" s="55" t="s">
        <v>140</v>
      </c>
      <c r="Q106" s="126"/>
    </row>
    <row r="107" spans="1:17" s="7" customFormat="1" ht="48" x14ac:dyDescent="0.35">
      <c r="A107" s="65" t="s">
        <v>141</v>
      </c>
      <c r="B107" s="25">
        <v>3.6</v>
      </c>
      <c r="C107" s="66">
        <v>0</v>
      </c>
      <c r="D107" s="66">
        <v>0</v>
      </c>
      <c r="E107" s="66">
        <v>0</v>
      </c>
      <c r="F107" s="66">
        <v>0</v>
      </c>
      <c r="G107" s="26">
        <v>3.6</v>
      </c>
      <c r="H107" s="25">
        <v>3.6</v>
      </c>
      <c r="I107" s="25">
        <v>0</v>
      </c>
      <c r="J107" s="25">
        <v>0</v>
      </c>
      <c r="K107" s="25">
        <v>0</v>
      </c>
      <c r="L107" s="25">
        <v>0</v>
      </c>
      <c r="M107" s="26">
        <v>3.6</v>
      </c>
      <c r="N107" s="27">
        <v>0</v>
      </c>
      <c r="O107" s="55" t="s">
        <v>142</v>
      </c>
      <c r="P107" s="55" t="s">
        <v>74</v>
      </c>
      <c r="Q107" s="126"/>
    </row>
    <row r="108" spans="1:17" s="7" customFormat="1" ht="96" x14ac:dyDescent="0.35">
      <c r="A108" s="86" t="s">
        <v>143</v>
      </c>
      <c r="B108" s="25">
        <v>1.736</v>
      </c>
      <c r="C108" s="47">
        <v>0</v>
      </c>
      <c r="D108" s="47">
        <v>0</v>
      </c>
      <c r="E108" s="47">
        <v>0</v>
      </c>
      <c r="F108" s="47">
        <v>0</v>
      </c>
      <c r="G108" s="26">
        <v>1.736</v>
      </c>
      <c r="H108" s="25">
        <v>2.3119999999999998</v>
      </c>
      <c r="I108" s="25">
        <v>0</v>
      </c>
      <c r="J108" s="25">
        <v>0</v>
      </c>
      <c r="K108" s="25">
        <v>0</v>
      </c>
      <c r="L108" s="25">
        <v>0</v>
      </c>
      <c r="M108" s="26">
        <v>2.3119999999999998</v>
      </c>
      <c r="N108" s="27">
        <v>0.33179723502304137</v>
      </c>
      <c r="O108" s="55" t="s">
        <v>144</v>
      </c>
      <c r="P108" s="55" t="s">
        <v>145</v>
      </c>
      <c r="Q108" s="126"/>
    </row>
    <row r="109" spans="1:17" s="7" customFormat="1" ht="64" x14ac:dyDescent="0.35">
      <c r="A109" s="65" t="s">
        <v>38</v>
      </c>
      <c r="B109" s="25">
        <v>22.975999999999999</v>
      </c>
      <c r="C109" s="47">
        <v>0</v>
      </c>
      <c r="D109" s="47">
        <v>0</v>
      </c>
      <c r="E109" s="47">
        <v>0</v>
      </c>
      <c r="F109" s="47">
        <v>0</v>
      </c>
      <c r="G109" s="26">
        <v>22.975999999999999</v>
      </c>
      <c r="H109" s="25">
        <v>23.311</v>
      </c>
      <c r="I109" s="25">
        <v>0</v>
      </c>
      <c r="J109" s="25">
        <v>0</v>
      </c>
      <c r="K109" s="25">
        <v>0</v>
      </c>
      <c r="L109" s="25">
        <v>0</v>
      </c>
      <c r="M109" s="26">
        <v>23.311</v>
      </c>
      <c r="N109" s="27">
        <v>1.458043175487469E-2</v>
      </c>
      <c r="O109" s="28" t="s">
        <v>1900</v>
      </c>
      <c r="P109" s="55" t="s">
        <v>1304</v>
      </c>
      <c r="Q109" s="126"/>
    </row>
    <row r="110" spans="1:17" s="23" customFormat="1" ht="16" x14ac:dyDescent="0.35">
      <c r="A110" s="30" t="s">
        <v>22</v>
      </c>
      <c r="B110" s="26">
        <v>204.88899999999998</v>
      </c>
      <c r="C110" s="31">
        <v>0.96000000000000008</v>
      </c>
      <c r="D110" s="31">
        <v>0</v>
      </c>
      <c r="E110" s="31">
        <v>0</v>
      </c>
      <c r="F110" s="31">
        <v>0</v>
      </c>
      <c r="G110" s="31">
        <v>205.84899999999999</v>
      </c>
      <c r="H110" s="31">
        <v>827.34800000000007</v>
      </c>
      <c r="I110" s="31">
        <v>0.96000000000000008</v>
      </c>
      <c r="J110" s="31">
        <v>0</v>
      </c>
      <c r="K110" s="31">
        <v>0</v>
      </c>
      <c r="L110" s="31">
        <v>0</v>
      </c>
      <c r="M110" s="31">
        <v>828.30800000000011</v>
      </c>
      <c r="N110" s="32">
        <v>3.0238621513828101</v>
      </c>
      <c r="O110" s="33"/>
      <c r="P110" s="33"/>
      <c r="Q110" s="126"/>
    </row>
    <row r="111" spans="1:17" s="7" customFormat="1" ht="16" x14ac:dyDescent="0.35">
      <c r="A111" s="70"/>
      <c r="B111" s="71"/>
      <c r="C111" s="72"/>
      <c r="D111" s="72"/>
      <c r="E111" s="72"/>
      <c r="F111" s="72"/>
      <c r="G111" s="72"/>
      <c r="H111" s="72"/>
      <c r="I111" s="72"/>
      <c r="J111" s="72"/>
      <c r="K111" s="72"/>
      <c r="L111" s="72"/>
      <c r="M111" s="72"/>
      <c r="N111" s="73"/>
      <c r="O111" s="64"/>
      <c r="P111" s="74"/>
      <c r="Q111" s="126"/>
    </row>
    <row r="112" spans="1:17" s="23" customFormat="1" ht="16" x14ac:dyDescent="0.35">
      <c r="A112" s="56"/>
      <c r="B112" s="40"/>
      <c r="C112" s="40"/>
      <c r="D112" s="40"/>
      <c r="E112" s="40"/>
      <c r="F112" s="40"/>
      <c r="G112" s="40"/>
      <c r="H112" s="40"/>
      <c r="I112" s="40"/>
      <c r="J112" s="40"/>
      <c r="K112" s="40"/>
      <c r="L112" s="40"/>
      <c r="M112" s="40"/>
      <c r="N112" s="41"/>
      <c r="O112" s="38"/>
      <c r="P112" s="38"/>
      <c r="Q112" s="126"/>
    </row>
    <row r="113" spans="1:17" s="23" customFormat="1" ht="16" x14ac:dyDescent="0.35">
      <c r="A113" s="19" t="s">
        <v>146</v>
      </c>
      <c r="B113" s="42"/>
      <c r="C113" s="42"/>
      <c r="D113" s="42"/>
      <c r="E113" s="42"/>
      <c r="F113" s="42"/>
      <c r="G113" s="42"/>
      <c r="H113" s="42"/>
      <c r="I113" s="42"/>
      <c r="J113" s="42"/>
      <c r="K113" s="42"/>
      <c r="L113" s="42"/>
      <c r="M113" s="42"/>
      <c r="N113" s="43"/>
      <c r="O113" s="22"/>
      <c r="P113" s="22"/>
      <c r="Q113" s="126"/>
    </row>
    <row r="114" spans="1:17" s="7" customFormat="1" ht="48" x14ac:dyDescent="0.35">
      <c r="A114" s="54" t="s">
        <v>146</v>
      </c>
      <c r="B114" s="25">
        <v>112.803</v>
      </c>
      <c r="C114" s="47">
        <v>0</v>
      </c>
      <c r="D114" s="47">
        <v>0</v>
      </c>
      <c r="E114" s="47">
        <v>0</v>
      </c>
      <c r="F114" s="47">
        <v>0</v>
      </c>
      <c r="G114" s="26">
        <v>112.803</v>
      </c>
      <c r="H114" s="25">
        <v>109.32899999999999</v>
      </c>
      <c r="I114" s="25">
        <v>0</v>
      </c>
      <c r="J114" s="25">
        <v>0</v>
      </c>
      <c r="K114" s="25">
        <v>0</v>
      </c>
      <c r="L114" s="25">
        <v>0</v>
      </c>
      <c r="M114" s="26">
        <v>109.32899999999999</v>
      </c>
      <c r="N114" s="27">
        <v>-3.0797053269859879E-2</v>
      </c>
      <c r="O114" s="55" t="s">
        <v>147</v>
      </c>
      <c r="P114" s="55" t="s">
        <v>148</v>
      </c>
      <c r="Q114" s="126"/>
    </row>
    <row r="115" spans="1:17" s="7" customFormat="1" ht="32" x14ac:dyDescent="0.35">
      <c r="A115" s="54" t="s">
        <v>149</v>
      </c>
      <c r="B115" s="25">
        <v>4.1779999999999999</v>
      </c>
      <c r="C115" s="47">
        <v>0</v>
      </c>
      <c r="D115" s="47">
        <v>0</v>
      </c>
      <c r="E115" s="47">
        <v>0</v>
      </c>
      <c r="F115" s="47">
        <v>0</v>
      </c>
      <c r="G115" s="26">
        <v>4.1779999999999999</v>
      </c>
      <c r="H115" s="25">
        <v>4.9710000000000001</v>
      </c>
      <c r="I115" s="25">
        <v>0</v>
      </c>
      <c r="J115" s="25">
        <v>0</v>
      </c>
      <c r="K115" s="25">
        <v>0</v>
      </c>
      <c r="L115" s="25">
        <v>0</v>
      </c>
      <c r="M115" s="26">
        <v>4.9710000000000001</v>
      </c>
      <c r="N115" s="27">
        <v>0.1898037338439445</v>
      </c>
      <c r="O115" s="55" t="s">
        <v>150</v>
      </c>
      <c r="P115" s="55" t="s">
        <v>151</v>
      </c>
      <c r="Q115" s="126"/>
    </row>
    <row r="116" spans="1:17" s="23" customFormat="1" ht="16" x14ac:dyDescent="0.35">
      <c r="A116" s="30" t="s">
        <v>22</v>
      </c>
      <c r="B116" s="26">
        <v>116.98099999999999</v>
      </c>
      <c r="C116" s="31">
        <v>0</v>
      </c>
      <c r="D116" s="31">
        <v>0</v>
      </c>
      <c r="E116" s="31">
        <v>0</v>
      </c>
      <c r="F116" s="31">
        <v>0</v>
      </c>
      <c r="G116" s="31">
        <v>116.98099999999999</v>
      </c>
      <c r="H116" s="31">
        <v>114.3</v>
      </c>
      <c r="I116" s="31">
        <v>0</v>
      </c>
      <c r="J116" s="31">
        <v>0</v>
      </c>
      <c r="K116" s="31">
        <v>0</v>
      </c>
      <c r="L116" s="31">
        <v>0</v>
      </c>
      <c r="M116" s="31">
        <v>114.3</v>
      </c>
      <c r="N116" s="32">
        <v>-2.2918251681897039E-2</v>
      </c>
      <c r="O116" s="33" t="s">
        <v>46</v>
      </c>
      <c r="P116" s="33" t="s">
        <v>46</v>
      </c>
      <c r="Q116" s="126"/>
    </row>
    <row r="117" spans="1:17" s="7" customFormat="1" ht="16" x14ac:dyDescent="0.35">
      <c r="A117" s="70"/>
      <c r="B117" s="71"/>
      <c r="C117" s="72"/>
      <c r="D117" s="72"/>
      <c r="E117" s="72"/>
      <c r="F117" s="72"/>
      <c r="G117" s="72"/>
      <c r="H117" s="72"/>
      <c r="I117" s="72"/>
      <c r="J117" s="72"/>
      <c r="K117" s="72"/>
      <c r="L117" s="72"/>
      <c r="M117" s="72"/>
      <c r="N117" s="73"/>
      <c r="O117" s="64"/>
      <c r="P117" s="74"/>
      <c r="Q117" s="126"/>
    </row>
    <row r="118" spans="1:17" s="23" customFormat="1" ht="16" x14ac:dyDescent="0.35">
      <c r="A118" s="56"/>
      <c r="B118" s="40"/>
      <c r="C118" s="40"/>
      <c r="D118" s="40"/>
      <c r="E118" s="40"/>
      <c r="F118" s="40"/>
      <c r="G118" s="40"/>
      <c r="H118" s="40"/>
      <c r="I118" s="40"/>
      <c r="J118" s="40"/>
      <c r="K118" s="40"/>
      <c r="L118" s="40"/>
      <c r="M118" s="40"/>
      <c r="N118" s="41"/>
      <c r="O118" s="38"/>
      <c r="P118" s="38"/>
      <c r="Q118" s="126"/>
    </row>
    <row r="119" spans="1:17" s="23" customFormat="1" ht="16" x14ac:dyDescent="0.35">
      <c r="A119" s="19" t="s">
        <v>152</v>
      </c>
      <c r="B119" s="42"/>
      <c r="C119" s="42"/>
      <c r="D119" s="42"/>
      <c r="E119" s="42"/>
      <c r="F119" s="42"/>
      <c r="G119" s="42"/>
      <c r="H119" s="42"/>
      <c r="I119" s="42"/>
      <c r="J119" s="42"/>
      <c r="K119" s="42"/>
      <c r="L119" s="42"/>
      <c r="M119" s="42"/>
      <c r="N119" s="43"/>
      <c r="O119" s="22"/>
      <c r="P119" s="22"/>
      <c r="Q119" s="126"/>
    </row>
    <row r="120" spans="1:17" s="7" customFormat="1" ht="80" x14ac:dyDescent="0.35">
      <c r="A120" s="54" t="s">
        <v>153</v>
      </c>
      <c r="B120" s="25">
        <v>17.25</v>
      </c>
      <c r="C120" s="47">
        <v>0</v>
      </c>
      <c r="D120" s="47">
        <v>0</v>
      </c>
      <c r="E120" s="47">
        <v>0</v>
      </c>
      <c r="F120" s="47">
        <v>0</v>
      </c>
      <c r="G120" s="26">
        <v>17.25</v>
      </c>
      <c r="H120" s="25">
        <v>17.5</v>
      </c>
      <c r="I120" s="25">
        <v>0</v>
      </c>
      <c r="J120" s="25">
        <v>0</v>
      </c>
      <c r="K120" s="25">
        <v>0</v>
      </c>
      <c r="L120" s="25">
        <v>0</v>
      </c>
      <c r="M120" s="26">
        <v>17.5</v>
      </c>
      <c r="N120" s="27">
        <v>1.4492753623188406E-2</v>
      </c>
      <c r="O120" s="55" t="s">
        <v>154</v>
      </c>
      <c r="P120" s="55" t="s">
        <v>1304</v>
      </c>
      <c r="Q120" s="126"/>
    </row>
    <row r="121" spans="1:17" s="7" customFormat="1" ht="48" x14ac:dyDescent="0.35">
      <c r="A121" s="54" t="s">
        <v>155</v>
      </c>
      <c r="B121" s="25">
        <v>12.489000000000001</v>
      </c>
      <c r="C121" s="47">
        <v>0</v>
      </c>
      <c r="D121" s="47">
        <v>0</v>
      </c>
      <c r="E121" s="47">
        <v>0</v>
      </c>
      <c r="F121" s="47">
        <v>0</v>
      </c>
      <c r="G121" s="26">
        <v>12.489000000000001</v>
      </c>
      <c r="H121" s="25">
        <v>12.489000000000001</v>
      </c>
      <c r="I121" s="25">
        <v>0</v>
      </c>
      <c r="J121" s="25">
        <v>0</v>
      </c>
      <c r="K121" s="25">
        <v>0</v>
      </c>
      <c r="L121" s="25">
        <v>0</v>
      </c>
      <c r="M121" s="26">
        <v>12.489000000000001</v>
      </c>
      <c r="N121" s="27">
        <v>0</v>
      </c>
      <c r="O121" s="55" t="s">
        <v>156</v>
      </c>
      <c r="P121" s="87" t="s">
        <v>74</v>
      </c>
      <c r="Q121" s="126"/>
    </row>
    <row r="122" spans="1:17" s="7" customFormat="1" ht="32" x14ac:dyDescent="0.35">
      <c r="A122" s="54" t="s">
        <v>157</v>
      </c>
      <c r="B122" s="25">
        <v>4.4249999999999998</v>
      </c>
      <c r="C122" s="47">
        <v>0</v>
      </c>
      <c r="D122" s="47">
        <v>0</v>
      </c>
      <c r="E122" s="47">
        <v>0</v>
      </c>
      <c r="F122" s="47">
        <v>0</v>
      </c>
      <c r="G122" s="26">
        <v>4.4249999999999998</v>
      </c>
      <c r="H122" s="25">
        <v>11</v>
      </c>
      <c r="I122" s="25">
        <v>0</v>
      </c>
      <c r="J122" s="25">
        <v>0</v>
      </c>
      <c r="K122" s="25">
        <v>0</v>
      </c>
      <c r="L122" s="25">
        <v>0</v>
      </c>
      <c r="M122" s="26">
        <v>11</v>
      </c>
      <c r="N122" s="27">
        <v>1.4858757062146895</v>
      </c>
      <c r="O122" s="55" t="s">
        <v>158</v>
      </c>
      <c r="P122" s="55" t="s">
        <v>159</v>
      </c>
      <c r="Q122" s="126"/>
    </row>
    <row r="123" spans="1:17" s="7" customFormat="1" ht="48" x14ac:dyDescent="0.35">
      <c r="A123" s="54" t="s">
        <v>160</v>
      </c>
      <c r="B123" s="25">
        <v>3.5</v>
      </c>
      <c r="C123" s="47">
        <v>0</v>
      </c>
      <c r="D123" s="47">
        <v>0</v>
      </c>
      <c r="E123" s="47">
        <v>0</v>
      </c>
      <c r="F123" s="47">
        <v>0</v>
      </c>
      <c r="G123" s="26">
        <v>3.5</v>
      </c>
      <c r="H123" s="25">
        <v>3.8</v>
      </c>
      <c r="I123" s="25">
        <v>0</v>
      </c>
      <c r="J123" s="25">
        <v>0</v>
      </c>
      <c r="K123" s="25">
        <v>0</v>
      </c>
      <c r="L123" s="25">
        <v>0</v>
      </c>
      <c r="M123" s="26">
        <v>3.8</v>
      </c>
      <c r="N123" s="27">
        <v>8.571428571428566E-2</v>
      </c>
      <c r="O123" s="55" t="s">
        <v>161</v>
      </c>
      <c r="P123" s="55" t="s">
        <v>162</v>
      </c>
      <c r="Q123" s="126"/>
    </row>
    <row r="124" spans="1:17" s="7" customFormat="1" ht="64" x14ac:dyDescent="0.35">
      <c r="A124" s="54" t="s">
        <v>164</v>
      </c>
      <c r="B124" s="25">
        <v>3.3</v>
      </c>
      <c r="C124" s="47">
        <v>0</v>
      </c>
      <c r="D124" s="47">
        <v>0</v>
      </c>
      <c r="E124" s="47">
        <v>0</v>
      </c>
      <c r="F124" s="47">
        <v>0</v>
      </c>
      <c r="G124" s="26">
        <v>3.3</v>
      </c>
      <c r="H124" s="25">
        <v>3.3</v>
      </c>
      <c r="I124" s="25">
        <v>0</v>
      </c>
      <c r="J124" s="25">
        <v>0</v>
      </c>
      <c r="K124" s="25">
        <v>0</v>
      </c>
      <c r="L124" s="25">
        <v>0</v>
      </c>
      <c r="M124" s="26">
        <v>3.3</v>
      </c>
      <c r="N124" s="27">
        <v>0</v>
      </c>
      <c r="O124" s="55" t="s">
        <v>1901</v>
      </c>
      <c r="P124" s="55" t="s">
        <v>74</v>
      </c>
      <c r="Q124" s="126"/>
    </row>
    <row r="125" spans="1:17" s="7" customFormat="1" ht="32" x14ac:dyDescent="0.35">
      <c r="A125" s="54" t="s">
        <v>38</v>
      </c>
      <c r="B125" s="25">
        <v>5.7409999999999997</v>
      </c>
      <c r="C125" s="47">
        <v>0</v>
      </c>
      <c r="D125" s="47">
        <v>0</v>
      </c>
      <c r="E125" s="47">
        <v>0</v>
      </c>
      <c r="F125" s="47">
        <v>0</v>
      </c>
      <c r="G125" s="26">
        <v>5.7409999999999997</v>
      </c>
      <c r="H125" s="25">
        <v>6.0389999999999997</v>
      </c>
      <c r="I125" s="25">
        <v>0</v>
      </c>
      <c r="J125" s="25">
        <v>0</v>
      </c>
      <c r="K125" s="25">
        <v>0</v>
      </c>
      <c r="L125" s="25">
        <v>0</v>
      </c>
      <c r="M125" s="26">
        <v>6.0389999999999997</v>
      </c>
      <c r="N125" s="27">
        <v>5.1907333217209556E-2</v>
      </c>
      <c r="O125" s="55" t="s">
        <v>165</v>
      </c>
      <c r="P125" s="55" t="s">
        <v>166</v>
      </c>
      <c r="Q125" s="126"/>
    </row>
    <row r="126" spans="1:17" s="23" customFormat="1" ht="16" x14ac:dyDescent="0.35">
      <c r="A126" s="30" t="s">
        <v>22</v>
      </c>
      <c r="B126" s="26">
        <v>46.704999999999998</v>
      </c>
      <c r="C126" s="31">
        <v>0</v>
      </c>
      <c r="D126" s="31">
        <v>0</v>
      </c>
      <c r="E126" s="31">
        <v>0</v>
      </c>
      <c r="F126" s="31">
        <v>0</v>
      </c>
      <c r="G126" s="31">
        <v>46.704999999999998</v>
      </c>
      <c r="H126" s="31">
        <v>54.128</v>
      </c>
      <c r="I126" s="31">
        <v>0</v>
      </c>
      <c r="J126" s="31">
        <v>0</v>
      </c>
      <c r="K126" s="31">
        <v>0</v>
      </c>
      <c r="L126" s="31">
        <v>0</v>
      </c>
      <c r="M126" s="31">
        <v>54.128</v>
      </c>
      <c r="N126" s="32">
        <v>0.15893373300503164</v>
      </c>
      <c r="O126" s="33"/>
      <c r="P126" s="33"/>
      <c r="Q126" s="126"/>
    </row>
    <row r="127" spans="1:17" s="7" customFormat="1" ht="16" x14ac:dyDescent="0.35">
      <c r="A127" s="70"/>
      <c r="B127" s="71"/>
      <c r="C127" s="72"/>
      <c r="D127" s="72"/>
      <c r="E127" s="72"/>
      <c r="F127" s="72"/>
      <c r="G127" s="72"/>
      <c r="H127" s="72"/>
      <c r="I127" s="72"/>
      <c r="J127" s="72"/>
      <c r="K127" s="72"/>
      <c r="L127" s="72"/>
      <c r="M127" s="72"/>
      <c r="N127" s="73"/>
      <c r="O127" s="64"/>
      <c r="P127" s="74"/>
      <c r="Q127" s="126"/>
    </row>
    <row r="128" spans="1:17" s="23" customFormat="1" ht="16.5" thickBot="1" x14ac:dyDescent="0.4">
      <c r="A128" s="59"/>
      <c r="B128" s="49"/>
      <c r="C128" s="49"/>
      <c r="D128" s="49"/>
      <c r="E128" s="49"/>
      <c r="F128" s="49"/>
      <c r="G128" s="49"/>
      <c r="H128" s="49"/>
      <c r="I128" s="49"/>
      <c r="J128" s="49"/>
      <c r="K128" s="49"/>
      <c r="L128" s="49"/>
      <c r="M128" s="49"/>
      <c r="N128" s="50"/>
      <c r="O128" s="88"/>
      <c r="P128" s="88"/>
      <c r="Q128" s="126"/>
    </row>
    <row r="129" spans="1:17" s="23" customFormat="1" ht="16" x14ac:dyDescent="0.35">
      <c r="A129" s="51" t="s">
        <v>167</v>
      </c>
      <c r="B129" s="52"/>
      <c r="C129" s="52"/>
      <c r="D129" s="52"/>
      <c r="E129" s="52"/>
      <c r="F129" s="52"/>
      <c r="G129" s="52"/>
      <c r="H129" s="52"/>
      <c r="I129" s="52"/>
      <c r="J129" s="52"/>
      <c r="K129" s="52"/>
      <c r="L129" s="52"/>
      <c r="M129" s="52"/>
      <c r="N129" s="53"/>
      <c r="O129" s="22"/>
      <c r="P129" s="22"/>
      <c r="Q129" s="126"/>
    </row>
    <row r="130" spans="1:17" s="7" customFormat="1" ht="48" x14ac:dyDescent="0.35">
      <c r="A130" s="89" t="s">
        <v>168</v>
      </c>
      <c r="B130" s="25">
        <v>3.3849999999999998</v>
      </c>
      <c r="C130" s="58">
        <v>0</v>
      </c>
      <c r="D130" s="58">
        <v>0</v>
      </c>
      <c r="E130" s="58">
        <v>0</v>
      </c>
      <c r="F130" s="58">
        <v>0</v>
      </c>
      <c r="G130" s="26">
        <v>3.3849999999999998</v>
      </c>
      <c r="H130" s="25">
        <v>4.4370000000000003</v>
      </c>
      <c r="I130" s="25">
        <v>0</v>
      </c>
      <c r="J130" s="25">
        <v>0</v>
      </c>
      <c r="K130" s="25">
        <v>0</v>
      </c>
      <c r="L130" s="25">
        <v>0</v>
      </c>
      <c r="M130" s="26">
        <v>4.4370000000000003</v>
      </c>
      <c r="N130" s="27">
        <v>0.31078286558345658</v>
      </c>
      <c r="O130" s="45" t="s">
        <v>169</v>
      </c>
      <c r="P130" s="45" t="s">
        <v>170</v>
      </c>
      <c r="Q130" s="126"/>
    </row>
    <row r="131" spans="1:17" s="7" customFormat="1" ht="32" x14ac:dyDescent="0.35">
      <c r="A131" s="78" t="s">
        <v>171</v>
      </c>
      <c r="B131" s="25">
        <v>15.7</v>
      </c>
      <c r="C131" s="79">
        <v>0</v>
      </c>
      <c r="D131" s="79">
        <v>0</v>
      </c>
      <c r="E131" s="79">
        <v>0</v>
      </c>
      <c r="F131" s="79">
        <v>0</v>
      </c>
      <c r="G131" s="26">
        <v>15.7</v>
      </c>
      <c r="H131" s="25">
        <v>16</v>
      </c>
      <c r="I131" s="25">
        <v>0</v>
      </c>
      <c r="J131" s="25">
        <v>0</v>
      </c>
      <c r="K131" s="25">
        <v>0</v>
      </c>
      <c r="L131" s="25">
        <v>0</v>
      </c>
      <c r="M131" s="26">
        <v>16</v>
      </c>
      <c r="N131" s="27">
        <v>1.9108280254777118E-2</v>
      </c>
      <c r="O131" s="90" t="s">
        <v>172</v>
      </c>
      <c r="P131" s="55" t="s">
        <v>1304</v>
      </c>
      <c r="Q131" s="126"/>
    </row>
    <row r="132" spans="1:17" s="7" customFormat="1" ht="48" x14ac:dyDescent="0.35">
      <c r="A132" s="78" t="s">
        <v>174</v>
      </c>
      <c r="B132" s="25">
        <v>3</v>
      </c>
      <c r="C132" s="79">
        <v>0</v>
      </c>
      <c r="D132" s="79">
        <v>0</v>
      </c>
      <c r="E132" s="79">
        <v>0</v>
      </c>
      <c r="F132" s="79">
        <v>0</v>
      </c>
      <c r="G132" s="26">
        <v>3</v>
      </c>
      <c r="H132" s="25">
        <v>7.5860000000000003</v>
      </c>
      <c r="I132" s="25">
        <v>0</v>
      </c>
      <c r="J132" s="25">
        <v>0</v>
      </c>
      <c r="K132" s="25">
        <v>0</v>
      </c>
      <c r="L132" s="25">
        <v>0</v>
      </c>
      <c r="M132" s="26">
        <v>7.5860000000000003</v>
      </c>
      <c r="N132" s="27">
        <v>1.5286666666666668</v>
      </c>
      <c r="O132" s="91" t="s">
        <v>175</v>
      </c>
      <c r="P132" s="55" t="s">
        <v>1902</v>
      </c>
      <c r="Q132" s="126"/>
    </row>
    <row r="133" spans="1:17" s="7" customFormat="1" ht="64" x14ac:dyDescent="0.35">
      <c r="A133" s="78" t="s">
        <v>176</v>
      </c>
      <c r="B133" s="25">
        <v>3.0880000000000001</v>
      </c>
      <c r="C133" s="79">
        <v>0</v>
      </c>
      <c r="D133" s="79">
        <v>0</v>
      </c>
      <c r="E133" s="79">
        <v>0</v>
      </c>
      <c r="F133" s="79">
        <v>0</v>
      </c>
      <c r="G133" s="26">
        <v>3.0880000000000001</v>
      </c>
      <c r="H133" s="25">
        <v>10.595000000000001</v>
      </c>
      <c r="I133" s="25">
        <v>0</v>
      </c>
      <c r="J133" s="25">
        <v>0</v>
      </c>
      <c r="K133" s="25">
        <v>0</v>
      </c>
      <c r="L133" s="25">
        <v>0</v>
      </c>
      <c r="M133" s="26">
        <v>10.595000000000001</v>
      </c>
      <c r="N133" s="27">
        <v>2.4310233160621761</v>
      </c>
      <c r="O133" s="91" t="s">
        <v>177</v>
      </c>
      <c r="P133" s="55" t="s">
        <v>178</v>
      </c>
      <c r="Q133" s="126"/>
    </row>
    <row r="134" spans="1:17" s="7" customFormat="1" ht="80" x14ac:dyDescent="0.35">
      <c r="A134" s="78" t="s">
        <v>179</v>
      </c>
      <c r="B134" s="25">
        <v>4.2389999999999999</v>
      </c>
      <c r="C134" s="79">
        <v>0</v>
      </c>
      <c r="D134" s="79">
        <v>0</v>
      </c>
      <c r="E134" s="79">
        <v>0</v>
      </c>
      <c r="F134" s="79">
        <v>0</v>
      </c>
      <c r="G134" s="26">
        <v>4.2389999999999999</v>
      </c>
      <c r="H134" s="25">
        <v>5.2539999999999996</v>
      </c>
      <c r="I134" s="25">
        <v>0</v>
      </c>
      <c r="J134" s="25">
        <v>0</v>
      </c>
      <c r="K134" s="25">
        <v>0</v>
      </c>
      <c r="L134" s="25">
        <v>0</v>
      </c>
      <c r="M134" s="26">
        <v>5.2539999999999996</v>
      </c>
      <c r="N134" s="27">
        <v>0.23944326492097187</v>
      </c>
      <c r="O134" s="91" t="s">
        <v>180</v>
      </c>
      <c r="P134" s="55" t="s">
        <v>181</v>
      </c>
      <c r="Q134" s="126"/>
    </row>
    <row r="135" spans="1:17" s="7" customFormat="1" ht="48" x14ac:dyDescent="0.35">
      <c r="A135" s="54" t="s">
        <v>38</v>
      </c>
      <c r="B135" s="25">
        <v>14.744</v>
      </c>
      <c r="C135" s="47">
        <v>0</v>
      </c>
      <c r="D135" s="47">
        <v>0</v>
      </c>
      <c r="E135" s="47">
        <v>0</v>
      </c>
      <c r="F135" s="47">
        <v>0</v>
      </c>
      <c r="G135" s="26">
        <v>14.744</v>
      </c>
      <c r="H135" s="25">
        <v>14.477</v>
      </c>
      <c r="I135" s="25">
        <v>0</v>
      </c>
      <c r="J135" s="25">
        <v>0</v>
      </c>
      <c r="K135" s="25">
        <v>0</v>
      </c>
      <c r="L135" s="25">
        <v>0</v>
      </c>
      <c r="M135" s="26">
        <v>14.477</v>
      </c>
      <c r="N135" s="27">
        <v>-1.810906131307647E-2</v>
      </c>
      <c r="O135" s="55" t="s">
        <v>1903</v>
      </c>
      <c r="P135" s="55" t="s">
        <v>183</v>
      </c>
      <c r="Q135" s="126"/>
    </row>
    <row r="136" spans="1:17" s="23" customFormat="1" ht="16" x14ac:dyDescent="0.35">
      <c r="A136" s="30" t="s">
        <v>22</v>
      </c>
      <c r="B136" s="26">
        <v>44.156000000000006</v>
      </c>
      <c r="C136" s="31">
        <v>0</v>
      </c>
      <c r="D136" s="31">
        <v>0</v>
      </c>
      <c r="E136" s="31">
        <v>0</v>
      </c>
      <c r="F136" s="31">
        <v>0</v>
      </c>
      <c r="G136" s="31">
        <v>44.156000000000006</v>
      </c>
      <c r="H136" s="31">
        <v>58.349000000000004</v>
      </c>
      <c r="I136" s="31">
        <v>0</v>
      </c>
      <c r="J136" s="31">
        <v>0</v>
      </c>
      <c r="K136" s="31">
        <v>0</v>
      </c>
      <c r="L136" s="31">
        <v>0</v>
      </c>
      <c r="M136" s="31">
        <v>58.349000000000004</v>
      </c>
      <c r="N136" s="32">
        <v>0.32142857142857134</v>
      </c>
      <c r="O136" s="33"/>
      <c r="P136" s="33"/>
      <c r="Q136" s="126"/>
    </row>
    <row r="137" spans="1:17" s="7" customFormat="1" ht="16" x14ac:dyDescent="0.35">
      <c r="A137" s="92" t="s">
        <v>46</v>
      </c>
      <c r="B137" s="93"/>
      <c r="C137" s="94"/>
      <c r="D137" s="94"/>
      <c r="E137" s="94"/>
      <c r="F137" s="94"/>
      <c r="G137" s="94"/>
      <c r="H137" s="94"/>
      <c r="I137" s="94"/>
      <c r="J137" s="94"/>
      <c r="K137" s="94"/>
      <c r="L137" s="94"/>
      <c r="M137" s="94"/>
      <c r="N137" s="95"/>
      <c r="O137" s="96"/>
      <c r="P137" s="97"/>
      <c r="Q137" s="126"/>
    </row>
    <row r="138" spans="1:17" s="23" customFormat="1" ht="16" x14ac:dyDescent="0.35">
      <c r="A138" s="56"/>
      <c r="B138" s="40"/>
      <c r="C138" s="40"/>
      <c r="D138" s="40"/>
      <c r="E138" s="40"/>
      <c r="F138" s="40"/>
      <c r="G138" s="40"/>
      <c r="H138" s="40"/>
      <c r="I138" s="40"/>
      <c r="J138" s="40"/>
      <c r="K138" s="40"/>
      <c r="L138" s="40"/>
      <c r="M138" s="40"/>
      <c r="N138" s="41"/>
      <c r="O138" s="38"/>
      <c r="P138" s="38"/>
      <c r="Q138" s="126"/>
    </row>
    <row r="139" spans="1:17" s="23" customFormat="1" ht="32" x14ac:dyDescent="0.35">
      <c r="A139" s="19" t="s">
        <v>184</v>
      </c>
      <c r="B139" s="42"/>
      <c r="C139" s="42"/>
      <c r="D139" s="42"/>
      <c r="E139" s="42"/>
      <c r="F139" s="42"/>
      <c r="G139" s="42"/>
      <c r="H139" s="42"/>
      <c r="I139" s="42"/>
      <c r="J139" s="42"/>
      <c r="K139" s="42"/>
      <c r="L139" s="42"/>
      <c r="M139" s="42"/>
      <c r="N139" s="43"/>
      <c r="O139" s="22"/>
      <c r="P139" s="22"/>
      <c r="Q139" s="126"/>
    </row>
    <row r="140" spans="1:17" s="7" customFormat="1" ht="96" x14ac:dyDescent="0.35">
      <c r="A140" s="54" t="s">
        <v>185</v>
      </c>
      <c r="B140" s="25">
        <v>76.832999999999998</v>
      </c>
      <c r="C140" s="58">
        <v>0</v>
      </c>
      <c r="D140" s="58">
        <v>0</v>
      </c>
      <c r="E140" s="58">
        <v>0</v>
      </c>
      <c r="F140" s="58">
        <v>0</v>
      </c>
      <c r="G140" s="26">
        <v>76.832999999999998</v>
      </c>
      <c r="H140" s="25">
        <v>78.332999999999998</v>
      </c>
      <c r="I140" s="25">
        <v>0</v>
      </c>
      <c r="J140" s="25">
        <v>0</v>
      </c>
      <c r="K140" s="25">
        <v>0</v>
      </c>
      <c r="L140" s="25">
        <v>0</v>
      </c>
      <c r="M140" s="26">
        <v>78.332999999999998</v>
      </c>
      <c r="N140" s="27">
        <v>1.9522861270547812E-2</v>
      </c>
      <c r="O140" s="98" t="s">
        <v>186</v>
      </c>
      <c r="P140" s="45" t="s">
        <v>187</v>
      </c>
      <c r="Q140" s="126"/>
    </row>
    <row r="141" spans="1:17" s="7" customFormat="1" ht="64" x14ac:dyDescent="0.35">
      <c r="A141" s="54" t="s">
        <v>188</v>
      </c>
      <c r="B141" s="25">
        <v>3.66</v>
      </c>
      <c r="C141" s="79">
        <v>0</v>
      </c>
      <c r="D141" s="79">
        <v>0</v>
      </c>
      <c r="E141" s="79">
        <v>0</v>
      </c>
      <c r="F141" s="79">
        <v>0</v>
      </c>
      <c r="G141" s="26">
        <v>3.66</v>
      </c>
      <c r="H141" s="25">
        <v>4.0599999999999996</v>
      </c>
      <c r="I141" s="25">
        <v>0</v>
      </c>
      <c r="J141" s="25">
        <v>0</v>
      </c>
      <c r="K141" s="25">
        <v>0</v>
      </c>
      <c r="L141" s="25">
        <v>0</v>
      </c>
      <c r="M141" s="26">
        <v>4.0599999999999996</v>
      </c>
      <c r="N141" s="27">
        <v>0.10928961748633864</v>
      </c>
      <c r="O141" s="99" t="s">
        <v>189</v>
      </c>
      <c r="P141" s="55" t="s">
        <v>190</v>
      </c>
      <c r="Q141" s="126"/>
    </row>
    <row r="142" spans="1:17" s="7" customFormat="1" ht="96" x14ac:dyDescent="0.35">
      <c r="A142" s="57" t="s">
        <v>191</v>
      </c>
      <c r="B142" s="25">
        <v>1.85</v>
      </c>
      <c r="C142" s="79">
        <v>0</v>
      </c>
      <c r="D142" s="79">
        <v>0</v>
      </c>
      <c r="E142" s="79">
        <v>0</v>
      </c>
      <c r="F142" s="79">
        <v>0</v>
      </c>
      <c r="G142" s="26">
        <v>1.85</v>
      </c>
      <c r="H142" s="25">
        <v>2.4500000000000002</v>
      </c>
      <c r="I142" s="25">
        <v>0</v>
      </c>
      <c r="J142" s="25">
        <v>0</v>
      </c>
      <c r="K142" s="25">
        <v>0</v>
      </c>
      <c r="L142" s="25">
        <v>0</v>
      </c>
      <c r="M142" s="26">
        <v>2.4500000000000002</v>
      </c>
      <c r="N142" s="27">
        <v>0.32432432432432434</v>
      </c>
      <c r="O142" s="99" t="s">
        <v>192</v>
      </c>
      <c r="P142" s="55" t="s">
        <v>1904</v>
      </c>
      <c r="Q142" s="126"/>
    </row>
    <row r="143" spans="1:17" s="7" customFormat="1" ht="32" x14ac:dyDescent="0.35">
      <c r="A143" s="54" t="s">
        <v>193</v>
      </c>
      <c r="B143" s="25">
        <v>1.1120000000000001</v>
      </c>
      <c r="C143" s="79">
        <v>0</v>
      </c>
      <c r="D143" s="79">
        <v>0</v>
      </c>
      <c r="E143" s="79">
        <v>0</v>
      </c>
      <c r="F143" s="79">
        <v>0</v>
      </c>
      <c r="G143" s="26">
        <v>1.1120000000000001</v>
      </c>
      <c r="H143" s="25">
        <v>2.38</v>
      </c>
      <c r="I143" s="25">
        <v>0</v>
      </c>
      <c r="J143" s="25">
        <v>0</v>
      </c>
      <c r="K143" s="25">
        <v>0</v>
      </c>
      <c r="L143" s="25">
        <v>0</v>
      </c>
      <c r="M143" s="26">
        <v>2.38</v>
      </c>
      <c r="N143" s="27">
        <v>1.1402877697841725</v>
      </c>
      <c r="O143" s="55" t="s">
        <v>194</v>
      </c>
      <c r="P143" s="55" t="s">
        <v>195</v>
      </c>
      <c r="Q143" s="126"/>
    </row>
    <row r="144" spans="1:17" s="101" customFormat="1" ht="32" x14ac:dyDescent="0.35">
      <c r="A144" s="100" t="s">
        <v>196</v>
      </c>
      <c r="B144" s="25">
        <v>2</v>
      </c>
      <c r="C144" s="79">
        <v>0</v>
      </c>
      <c r="D144" s="79">
        <v>0</v>
      </c>
      <c r="E144" s="79">
        <v>0</v>
      </c>
      <c r="F144" s="79">
        <v>0</v>
      </c>
      <c r="G144" s="26">
        <v>2</v>
      </c>
      <c r="H144" s="25">
        <v>2.5</v>
      </c>
      <c r="I144" s="25">
        <v>0</v>
      </c>
      <c r="J144" s="25">
        <v>0</v>
      </c>
      <c r="K144" s="25">
        <v>0</v>
      </c>
      <c r="L144" s="25">
        <v>0</v>
      </c>
      <c r="M144" s="26">
        <v>2.5</v>
      </c>
      <c r="N144" s="27">
        <v>0.25</v>
      </c>
      <c r="O144" s="99" t="s">
        <v>197</v>
      </c>
      <c r="P144" s="55" t="s">
        <v>198</v>
      </c>
      <c r="Q144" s="126"/>
    </row>
    <row r="145" spans="1:17" s="7" customFormat="1" ht="48" x14ac:dyDescent="0.35">
      <c r="A145" s="102" t="s">
        <v>199</v>
      </c>
      <c r="B145" s="25">
        <v>2.4</v>
      </c>
      <c r="C145" s="79">
        <v>0</v>
      </c>
      <c r="D145" s="79">
        <v>0</v>
      </c>
      <c r="E145" s="79">
        <v>0</v>
      </c>
      <c r="F145" s="79">
        <v>0</v>
      </c>
      <c r="G145" s="26">
        <v>2.4</v>
      </c>
      <c r="H145" s="25">
        <v>2.2000000000000002</v>
      </c>
      <c r="I145" s="25">
        <v>0</v>
      </c>
      <c r="J145" s="25">
        <v>0</v>
      </c>
      <c r="K145" s="25">
        <v>0</v>
      </c>
      <c r="L145" s="25">
        <v>0</v>
      </c>
      <c r="M145" s="26">
        <v>2.2000000000000002</v>
      </c>
      <c r="N145" s="27">
        <v>-8.3333333333333232E-2</v>
      </c>
      <c r="O145" s="55" t="s">
        <v>200</v>
      </c>
      <c r="P145" s="55" t="s">
        <v>1905</v>
      </c>
      <c r="Q145" s="126"/>
    </row>
    <row r="146" spans="1:17" s="7" customFormat="1" ht="32" x14ac:dyDescent="0.35">
      <c r="A146" s="102" t="s">
        <v>201</v>
      </c>
      <c r="B146" s="25">
        <v>11.177</v>
      </c>
      <c r="C146" s="79">
        <v>0</v>
      </c>
      <c r="D146" s="79">
        <v>0</v>
      </c>
      <c r="E146" s="79">
        <v>0</v>
      </c>
      <c r="F146" s="79">
        <v>0</v>
      </c>
      <c r="G146" s="26">
        <v>11.177</v>
      </c>
      <c r="H146" s="25">
        <v>11.177</v>
      </c>
      <c r="I146" s="25">
        <v>0</v>
      </c>
      <c r="J146" s="25">
        <v>0</v>
      </c>
      <c r="K146" s="25">
        <v>0</v>
      </c>
      <c r="L146" s="25">
        <v>0</v>
      </c>
      <c r="M146" s="26">
        <v>11.177</v>
      </c>
      <c r="N146" s="27">
        <v>0</v>
      </c>
      <c r="O146" s="55" t="s">
        <v>202</v>
      </c>
      <c r="P146" s="55" t="s">
        <v>74</v>
      </c>
      <c r="Q146" s="126"/>
    </row>
    <row r="147" spans="1:17" s="7" customFormat="1" ht="32" x14ac:dyDescent="0.35">
      <c r="A147" s="44" t="s">
        <v>203</v>
      </c>
      <c r="B147" s="25">
        <v>12.928000000000001</v>
      </c>
      <c r="C147" s="79">
        <v>0</v>
      </c>
      <c r="D147" s="79">
        <v>0</v>
      </c>
      <c r="E147" s="79">
        <v>0</v>
      </c>
      <c r="F147" s="79">
        <v>0</v>
      </c>
      <c r="G147" s="26">
        <v>12.928000000000001</v>
      </c>
      <c r="H147" s="25">
        <v>11.959</v>
      </c>
      <c r="I147" s="25">
        <v>0</v>
      </c>
      <c r="J147" s="25">
        <v>0</v>
      </c>
      <c r="K147" s="25">
        <v>0</v>
      </c>
      <c r="L147" s="25">
        <v>0</v>
      </c>
      <c r="M147" s="26">
        <v>11.959</v>
      </c>
      <c r="N147" s="27">
        <v>-7.4953589108910978E-2</v>
      </c>
      <c r="O147" s="55" t="s">
        <v>204</v>
      </c>
      <c r="P147" s="55" t="s">
        <v>205</v>
      </c>
      <c r="Q147" s="126"/>
    </row>
    <row r="148" spans="1:17" s="7" customFormat="1" ht="80" x14ac:dyDescent="0.35">
      <c r="A148" s="54" t="s">
        <v>206</v>
      </c>
      <c r="B148" s="25">
        <v>944.79899999999998</v>
      </c>
      <c r="C148" s="79">
        <v>120.282</v>
      </c>
      <c r="D148" s="79">
        <v>0</v>
      </c>
      <c r="E148" s="79">
        <v>0</v>
      </c>
      <c r="F148" s="79">
        <v>0</v>
      </c>
      <c r="G148" s="26">
        <v>1065.0809999999999</v>
      </c>
      <c r="H148" s="1011">
        <v>-292.08199999999999</v>
      </c>
      <c r="I148" s="25">
        <v>142.74</v>
      </c>
      <c r="J148" s="25">
        <v>0</v>
      </c>
      <c r="K148" s="25">
        <v>0</v>
      </c>
      <c r="L148" s="25">
        <v>0</v>
      </c>
      <c r="M148" s="1013">
        <v>-149.34199999999998</v>
      </c>
      <c r="N148" s="1014">
        <v>-1.1402165656884311</v>
      </c>
      <c r="O148" s="55" t="s">
        <v>207</v>
      </c>
      <c r="P148" s="55" t="s">
        <v>208</v>
      </c>
      <c r="Q148" s="126"/>
    </row>
    <row r="149" spans="1:17" s="23" customFormat="1" ht="16" x14ac:dyDescent="0.35">
      <c r="A149" s="30" t="s">
        <v>22</v>
      </c>
      <c r="B149" s="26">
        <v>1056.759</v>
      </c>
      <c r="C149" s="31">
        <v>120.282</v>
      </c>
      <c r="D149" s="31">
        <v>0</v>
      </c>
      <c r="E149" s="31">
        <v>0</v>
      </c>
      <c r="F149" s="31">
        <v>0</v>
      </c>
      <c r="G149" s="31">
        <v>1177.0409999999999</v>
      </c>
      <c r="H149" s="1012">
        <v>-177.023</v>
      </c>
      <c r="I149" s="31">
        <v>142.74</v>
      </c>
      <c r="J149" s="31">
        <v>0</v>
      </c>
      <c r="K149" s="31">
        <v>0</v>
      </c>
      <c r="L149" s="31">
        <v>0</v>
      </c>
      <c r="M149" s="1012">
        <v>-34.282999999999987</v>
      </c>
      <c r="N149" s="1015">
        <v>-1.0291264280513592</v>
      </c>
      <c r="O149" s="103"/>
      <c r="P149" s="103"/>
      <c r="Q149" s="126"/>
    </row>
    <row r="150" spans="1:17" s="7" customFormat="1" ht="16" x14ac:dyDescent="0.35">
      <c r="A150" s="13"/>
      <c r="B150" s="35"/>
      <c r="C150" s="35"/>
      <c r="D150" s="35"/>
      <c r="E150" s="35"/>
      <c r="F150" s="35"/>
      <c r="G150" s="36"/>
      <c r="H150" s="36"/>
      <c r="I150" s="36"/>
      <c r="J150" s="36"/>
      <c r="K150" s="36"/>
      <c r="L150" s="36"/>
      <c r="M150" s="36"/>
      <c r="N150" s="37"/>
      <c r="O150" s="17"/>
      <c r="P150" s="18"/>
      <c r="Q150" s="126"/>
    </row>
    <row r="151" spans="1:17" s="7" customFormat="1" ht="16.5" thickBot="1" x14ac:dyDescent="0.4">
      <c r="A151" s="70"/>
      <c r="B151" s="71"/>
      <c r="C151" s="72"/>
      <c r="D151" s="72"/>
      <c r="E151" s="72"/>
      <c r="F151" s="72"/>
      <c r="G151" s="72"/>
      <c r="H151" s="72"/>
      <c r="I151" s="72"/>
      <c r="J151" s="72"/>
      <c r="K151" s="72"/>
      <c r="L151" s="72"/>
      <c r="M151" s="72"/>
      <c r="N151" s="73"/>
      <c r="O151" s="104"/>
      <c r="P151" s="105"/>
      <c r="Q151" s="305"/>
    </row>
    <row r="152" spans="1:17" s="23" customFormat="1" ht="16" x14ac:dyDescent="0.35">
      <c r="A152" s="51" t="s">
        <v>210</v>
      </c>
      <c r="B152" s="52"/>
      <c r="C152" s="52"/>
      <c r="D152" s="52"/>
      <c r="E152" s="52"/>
      <c r="F152" s="52"/>
      <c r="G152" s="52"/>
      <c r="H152" s="52"/>
      <c r="I152" s="52"/>
      <c r="J152" s="52"/>
      <c r="K152" s="52"/>
      <c r="L152" s="52"/>
      <c r="M152" s="52"/>
      <c r="N152" s="53"/>
      <c r="O152" s="22"/>
      <c r="P152" s="22"/>
      <c r="Q152" s="305"/>
    </row>
    <row r="153" spans="1:17" s="23" customFormat="1" ht="144" x14ac:dyDescent="0.35">
      <c r="A153" s="106" t="s">
        <v>210</v>
      </c>
      <c r="B153" s="25">
        <v>0</v>
      </c>
      <c r="C153" s="25">
        <v>0</v>
      </c>
      <c r="D153" s="25">
        <v>0</v>
      </c>
      <c r="E153" s="25">
        <v>0</v>
      </c>
      <c r="F153" s="25">
        <v>103.67</v>
      </c>
      <c r="G153" s="26">
        <v>103.67</v>
      </c>
      <c r="H153" s="25">
        <v>0</v>
      </c>
      <c r="I153" s="25">
        <v>0</v>
      </c>
      <c r="J153" s="25">
        <v>0</v>
      </c>
      <c r="K153" s="25">
        <v>0</v>
      </c>
      <c r="L153" s="25">
        <v>107.655</v>
      </c>
      <c r="M153" s="26">
        <v>107.655</v>
      </c>
      <c r="N153" s="27">
        <v>3.8439278479791637E-2</v>
      </c>
      <c r="O153" s="45" t="s">
        <v>211</v>
      </c>
      <c r="P153" s="45" t="s">
        <v>212</v>
      </c>
      <c r="Q153" s="305"/>
    </row>
    <row r="154" spans="1:17" s="23" customFormat="1" ht="16" x14ac:dyDescent="0.35">
      <c r="A154" s="30" t="s">
        <v>22</v>
      </c>
      <c r="B154" s="26">
        <v>0</v>
      </c>
      <c r="C154" s="31">
        <v>0</v>
      </c>
      <c r="D154" s="31">
        <v>0</v>
      </c>
      <c r="E154" s="31">
        <v>0</v>
      </c>
      <c r="F154" s="31">
        <v>103.67</v>
      </c>
      <c r="G154" s="31">
        <v>103.67</v>
      </c>
      <c r="H154" s="31">
        <v>0</v>
      </c>
      <c r="I154" s="31">
        <v>0</v>
      </c>
      <c r="J154" s="31">
        <v>0</v>
      </c>
      <c r="K154" s="31">
        <v>0</v>
      </c>
      <c r="L154" s="31">
        <v>107.655</v>
      </c>
      <c r="M154" s="31">
        <v>107.655</v>
      </c>
      <c r="N154" s="32">
        <v>3.8439278479791637E-2</v>
      </c>
      <c r="O154" s="33"/>
      <c r="P154" s="33"/>
      <c r="Q154" s="305"/>
    </row>
    <row r="155" spans="1:17" s="7" customFormat="1" ht="16" x14ac:dyDescent="0.35">
      <c r="A155" s="13"/>
      <c r="B155" s="35"/>
      <c r="C155" s="35"/>
      <c r="D155" s="35"/>
      <c r="E155" s="35"/>
      <c r="F155" s="35"/>
      <c r="G155" s="36"/>
      <c r="H155" s="36"/>
      <c r="I155" s="36"/>
      <c r="J155" s="36"/>
      <c r="K155" s="36"/>
      <c r="L155" s="36"/>
      <c r="M155" s="36"/>
      <c r="N155" s="37"/>
      <c r="O155" s="17"/>
      <c r="P155" s="18"/>
      <c r="Q155" s="305"/>
    </row>
    <row r="156" spans="1:17" s="23" customFormat="1" ht="16" x14ac:dyDescent="0.35">
      <c r="A156" s="56"/>
      <c r="B156" s="40"/>
      <c r="C156" s="40"/>
      <c r="D156" s="40"/>
      <c r="E156" s="40"/>
      <c r="F156" s="40"/>
      <c r="G156" s="40"/>
      <c r="H156" s="40"/>
      <c r="I156" s="40"/>
      <c r="J156" s="40"/>
      <c r="K156" s="40"/>
      <c r="L156" s="40"/>
      <c r="M156" s="40"/>
      <c r="N156" s="41"/>
      <c r="O156" s="38"/>
      <c r="P156" s="38"/>
      <c r="Q156" s="305"/>
    </row>
    <row r="157" spans="1:17" s="23" customFormat="1" ht="16" x14ac:dyDescent="0.35">
      <c r="A157" s="19" t="s">
        <v>213</v>
      </c>
      <c r="B157" s="42"/>
      <c r="C157" s="42"/>
      <c r="D157" s="42"/>
      <c r="E157" s="42"/>
      <c r="F157" s="42"/>
      <c r="G157" s="42"/>
      <c r="H157" s="42"/>
      <c r="I157" s="42"/>
      <c r="J157" s="42"/>
      <c r="K157" s="42"/>
      <c r="L157" s="42"/>
      <c r="M157" s="42"/>
      <c r="N157" s="43"/>
      <c r="O157" s="22"/>
      <c r="P157" s="22"/>
      <c r="Q157" s="305"/>
    </row>
    <row r="158" spans="1:17" s="7" customFormat="1" ht="32" x14ac:dyDescent="0.35">
      <c r="A158" s="107" t="s">
        <v>214</v>
      </c>
      <c r="B158" s="25">
        <v>0</v>
      </c>
      <c r="C158" s="25">
        <v>0</v>
      </c>
      <c r="D158" s="25">
        <v>0</v>
      </c>
      <c r="E158" s="25">
        <v>0</v>
      </c>
      <c r="F158" s="25">
        <v>0</v>
      </c>
      <c r="G158" s="26">
        <v>0</v>
      </c>
      <c r="H158" s="25">
        <v>0</v>
      </c>
      <c r="I158" s="25">
        <v>0</v>
      </c>
      <c r="J158" s="25">
        <v>0</v>
      </c>
      <c r="K158" s="25">
        <v>0</v>
      </c>
      <c r="L158" s="25">
        <v>0</v>
      </c>
      <c r="M158" s="26">
        <v>0</v>
      </c>
      <c r="N158" s="27" t="s">
        <v>50</v>
      </c>
      <c r="O158" s="45" t="s">
        <v>215</v>
      </c>
      <c r="P158" s="45" t="s">
        <v>74</v>
      </c>
      <c r="Q158" s="305"/>
    </row>
    <row r="159" spans="1:17" s="23" customFormat="1" ht="16" x14ac:dyDescent="0.35">
      <c r="A159" s="30" t="s">
        <v>22</v>
      </c>
      <c r="B159" s="26">
        <v>0</v>
      </c>
      <c r="C159" s="26">
        <v>0</v>
      </c>
      <c r="D159" s="26">
        <v>0</v>
      </c>
      <c r="E159" s="26">
        <v>0</v>
      </c>
      <c r="F159" s="26">
        <v>0</v>
      </c>
      <c r="G159" s="26">
        <v>0</v>
      </c>
      <c r="H159" s="26">
        <v>0</v>
      </c>
      <c r="I159" s="26">
        <v>0</v>
      </c>
      <c r="J159" s="26">
        <v>0</v>
      </c>
      <c r="K159" s="26">
        <v>0</v>
      </c>
      <c r="L159" s="26">
        <v>0</v>
      </c>
      <c r="M159" s="26">
        <v>0</v>
      </c>
      <c r="N159" s="32" t="s">
        <v>50</v>
      </c>
      <c r="O159" s="33"/>
      <c r="P159" s="33"/>
      <c r="Q159" s="305"/>
    </row>
    <row r="160" spans="1:17" s="7" customFormat="1" ht="16" x14ac:dyDescent="0.35">
      <c r="A160" s="108"/>
      <c r="B160" s="109"/>
      <c r="C160" s="110"/>
      <c r="D160" s="110"/>
      <c r="E160" s="110"/>
      <c r="F160" s="110"/>
      <c r="G160" s="110"/>
      <c r="H160" s="110"/>
      <c r="I160" s="110"/>
      <c r="J160" s="110"/>
      <c r="K160" s="110"/>
      <c r="L160" s="110"/>
      <c r="M160" s="110"/>
      <c r="N160" s="111"/>
      <c r="O160" s="112"/>
      <c r="P160" s="113"/>
      <c r="Q160" s="305"/>
    </row>
    <row r="161" spans="1:17" s="23" customFormat="1" ht="16" x14ac:dyDescent="0.35">
      <c r="A161" s="56"/>
      <c r="B161" s="40"/>
      <c r="C161" s="40"/>
      <c r="D161" s="40"/>
      <c r="E161" s="40"/>
      <c r="F161" s="40"/>
      <c r="G161" s="40"/>
      <c r="H161" s="40"/>
      <c r="I161" s="40"/>
      <c r="J161" s="40"/>
      <c r="K161" s="40"/>
      <c r="L161" s="40"/>
      <c r="M161" s="40"/>
      <c r="N161" s="41"/>
      <c r="O161" s="38"/>
      <c r="P161" s="38"/>
      <c r="Q161" s="305"/>
    </row>
    <row r="162" spans="1:17" s="23" customFormat="1" ht="16" x14ac:dyDescent="0.35">
      <c r="A162" s="19" t="s">
        <v>216</v>
      </c>
      <c r="B162" s="42"/>
      <c r="C162" s="42"/>
      <c r="D162" s="42"/>
      <c r="E162" s="42"/>
      <c r="F162" s="42"/>
      <c r="G162" s="42"/>
      <c r="H162" s="42"/>
      <c r="I162" s="42"/>
      <c r="J162" s="42"/>
      <c r="K162" s="42"/>
      <c r="L162" s="42"/>
      <c r="M162" s="42"/>
      <c r="N162" s="43"/>
      <c r="O162" s="22"/>
      <c r="P162" s="22"/>
      <c r="Q162" s="305"/>
    </row>
    <row r="163" spans="1:17" s="7" customFormat="1" ht="32" x14ac:dyDescent="0.35">
      <c r="A163" s="44" t="s">
        <v>217</v>
      </c>
      <c r="B163" s="25">
        <v>0</v>
      </c>
      <c r="C163" s="25">
        <v>0</v>
      </c>
      <c r="D163" s="25">
        <v>-20</v>
      </c>
      <c r="E163" s="25">
        <v>0</v>
      </c>
      <c r="F163" s="25">
        <v>0</v>
      </c>
      <c r="G163" s="26">
        <v>-20</v>
      </c>
      <c r="H163" s="25">
        <v>0</v>
      </c>
      <c r="I163" s="25">
        <v>0</v>
      </c>
      <c r="J163" s="25">
        <v>-20</v>
      </c>
      <c r="K163" s="25">
        <v>0</v>
      </c>
      <c r="L163" s="25">
        <v>0</v>
      </c>
      <c r="M163" s="26">
        <v>-20</v>
      </c>
      <c r="N163" s="27">
        <v>0</v>
      </c>
      <c r="O163" s="45" t="s">
        <v>218</v>
      </c>
      <c r="P163" s="45" t="s">
        <v>74</v>
      </c>
      <c r="Q163" s="305"/>
    </row>
    <row r="164" spans="1:17" s="23" customFormat="1" ht="16" x14ac:dyDescent="0.35">
      <c r="A164" s="30" t="s">
        <v>22</v>
      </c>
      <c r="B164" s="26">
        <v>0</v>
      </c>
      <c r="C164" s="31">
        <v>0</v>
      </c>
      <c r="D164" s="31">
        <v>-20</v>
      </c>
      <c r="E164" s="31">
        <v>0</v>
      </c>
      <c r="F164" s="31">
        <v>0</v>
      </c>
      <c r="G164" s="31">
        <v>-20</v>
      </c>
      <c r="H164" s="31">
        <v>0</v>
      </c>
      <c r="I164" s="31">
        <v>0</v>
      </c>
      <c r="J164" s="31">
        <v>-20</v>
      </c>
      <c r="K164" s="31">
        <v>0</v>
      </c>
      <c r="L164" s="31">
        <v>0</v>
      </c>
      <c r="M164" s="31">
        <v>-20</v>
      </c>
      <c r="N164" s="32">
        <v>0</v>
      </c>
      <c r="O164" s="33"/>
      <c r="P164" s="33"/>
      <c r="Q164" s="305"/>
    </row>
    <row r="165" spans="1:17" s="7" customFormat="1" ht="16" x14ac:dyDescent="0.35">
      <c r="A165" s="70"/>
      <c r="B165" s="71"/>
      <c r="C165" s="72"/>
      <c r="D165" s="72"/>
      <c r="E165" s="72"/>
      <c r="F165" s="72"/>
      <c r="G165" s="72"/>
      <c r="H165" s="72"/>
      <c r="I165" s="72"/>
      <c r="J165" s="72"/>
      <c r="K165" s="72"/>
      <c r="L165" s="72"/>
      <c r="M165" s="72"/>
      <c r="N165" s="73"/>
      <c r="O165" s="104"/>
      <c r="P165" s="105"/>
      <c r="Q165" s="305"/>
    </row>
    <row r="166" spans="1:17" s="7" customFormat="1" ht="16" x14ac:dyDescent="0.35">
      <c r="A166" s="13"/>
      <c r="B166" s="35"/>
      <c r="C166" s="35"/>
      <c r="D166" s="35"/>
      <c r="E166" s="35"/>
      <c r="F166" s="35"/>
      <c r="G166" s="36"/>
      <c r="H166" s="36"/>
      <c r="I166" s="36"/>
      <c r="J166" s="36"/>
      <c r="K166" s="36"/>
      <c r="L166" s="36"/>
      <c r="M166" s="36"/>
      <c r="N166" s="37"/>
      <c r="O166" s="17"/>
      <c r="P166" s="18"/>
      <c r="Q166" s="305"/>
    </row>
    <row r="167" spans="1:17" s="23" customFormat="1" ht="16" x14ac:dyDescent="0.35">
      <c r="A167" s="114" t="s">
        <v>219</v>
      </c>
      <c r="B167" s="115">
        <v>18370.185999999998</v>
      </c>
      <c r="C167" s="115">
        <v>393.84399999999999</v>
      </c>
      <c r="D167" s="115">
        <v>820.31500000000005</v>
      </c>
      <c r="E167" s="115">
        <v>0</v>
      </c>
      <c r="F167" s="115">
        <v>103.67</v>
      </c>
      <c r="G167" s="115">
        <v>19688.014999999996</v>
      </c>
      <c r="H167" s="1035">
        <v>20182.025999999998</v>
      </c>
      <c r="I167" s="115">
        <v>416.30200000000002</v>
      </c>
      <c r="J167" s="115">
        <v>1005.0999999999999</v>
      </c>
      <c r="K167" s="115">
        <v>0</v>
      </c>
      <c r="L167" s="115">
        <v>107.655</v>
      </c>
      <c r="M167" s="1035">
        <v>21711.082999999999</v>
      </c>
      <c r="N167" s="116">
        <v>0.10257854842146369</v>
      </c>
      <c r="O167" s="117"/>
      <c r="P167" s="118"/>
      <c r="Q167" s="305"/>
    </row>
    <row r="168" spans="1:17" s="7" customFormat="1" ht="16" x14ac:dyDescent="0.35">
      <c r="A168" s="13"/>
      <c r="B168" s="35"/>
      <c r="C168" s="35"/>
      <c r="D168" s="35"/>
      <c r="E168" s="35"/>
      <c r="F168" s="35"/>
      <c r="G168" s="36"/>
      <c r="H168" s="36"/>
      <c r="I168" s="36"/>
      <c r="J168" s="36"/>
      <c r="K168" s="36"/>
      <c r="L168" s="36"/>
      <c r="M168" s="36"/>
      <c r="N168" s="37"/>
      <c r="O168" s="17"/>
      <c r="P168" s="18"/>
      <c r="Q168" s="305"/>
    </row>
    <row r="169" spans="1:17" s="23" customFormat="1" ht="16" x14ac:dyDescent="0.35">
      <c r="A169" s="19" t="s">
        <v>220</v>
      </c>
      <c r="B169" s="42"/>
      <c r="C169" s="42"/>
      <c r="D169" s="42"/>
      <c r="E169" s="42"/>
      <c r="F169" s="42"/>
      <c r="G169" s="42"/>
      <c r="H169" s="42"/>
      <c r="I169" s="42"/>
      <c r="J169" s="42"/>
      <c r="K169" s="42"/>
      <c r="L169" s="42"/>
      <c r="M169" s="42"/>
      <c r="N169" s="43"/>
      <c r="O169" s="22"/>
      <c r="P169" s="22"/>
      <c r="Q169" s="305"/>
    </row>
    <row r="170" spans="1:17" s="7" customFormat="1" ht="48" x14ac:dyDescent="0.35">
      <c r="A170" s="119" t="s">
        <v>22</v>
      </c>
      <c r="B170" s="120">
        <v>22.47</v>
      </c>
      <c r="C170" s="120">
        <v>0.61299999999999999</v>
      </c>
      <c r="D170" s="120">
        <v>0</v>
      </c>
      <c r="E170" s="120">
        <v>0</v>
      </c>
      <c r="F170" s="120">
        <v>0.35</v>
      </c>
      <c r="G170" s="26">
        <v>23.433</v>
      </c>
      <c r="H170" s="25">
        <v>21.97</v>
      </c>
      <c r="I170" s="25">
        <v>0.73499999999999999</v>
      </c>
      <c r="J170" s="25">
        <v>0</v>
      </c>
      <c r="K170" s="25">
        <v>0</v>
      </c>
      <c r="L170" s="25">
        <v>0.35</v>
      </c>
      <c r="M170" s="26">
        <v>23.055</v>
      </c>
      <c r="N170" s="27">
        <v>-1.613109717065677E-2</v>
      </c>
      <c r="O170" s="121" t="s">
        <v>221</v>
      </c>
      <c r="P170" s="45" t="s">
        <v>222</v>
      </c>
      <c r="Q170" s="305"/>
    </row>
    <row r="171" spans="1:17" s="7" customFormat="1" ht="16" x14ac:dyDescent="0.35">
      <c r="A171" s="122"/>
      <c r="G171" s="23"/>
      <c r="H171" s="23"/>
      <c r="I171" s="23"/>
      <c r="J171" s="23"/>
      <c r="K171" s="23"/>
      <c r="L171" s="23"/>
      <c r="M171" s="23"/>
      <c r="N171" s="123"/>
      <c r="O171" s="124"/>
      <c r="P171" s="125"/>
      <c r="Q171" s="305"/>
    </row>
    <row r="172" spans="1:17" s="7" customFormat="1" ht="16" x14ac:dyDescent="0.35">
      <c r="A172" s="114" t="s">
        <v>223</v>
      </c>
      <c r="B172" s="115">
        <v>18392.655999999999</v>
      </c>
      <c r="C172" s="115">
        <v>394.45699999999999</v>
      </c>
      <c r="D172" s="115">
        <v>820.31500000000005</v>
      </c>
      <c r="E172" s="115">
        <v>0</v>
      </c>
      <c r="F172" s="115">
        <v>104.02</v>
      </c>
      <c r="G172" s="115">
        <v>19711.447999999997</v>
      </c>
      <c r="H172" s="1035">
        <v>20203.995999999999</v>
      </c>
      <c r="I172" s="115">
        <v>417.03700000000003</v>
      </c>
      <c r="J172" s="115">
        <v>1005.0999999999999</v>
      </c>
      <c r="K172" s="115">
        <v>0</v>
      </c>
      <c r="L172" s="115">
        <v>108.005</v>
      </c>
      <c r="M172" s="1035">
        <v>21734.137999999999</v>
      </c>
      <c r="N172" s="116">
        <v>0.1024374262103932</v>
      </c>
      <c r="O172" s="124"/>
      <c r="P172" s="125"/>
      <c r="Q172" s="305"/>
    </row>
    <row r="173" spans="1:17" s="7" customFormat="1" ht="16" x14ac:dyDescent="0.35">
      <c r="A173"/>
      <c r="B173"/>
      <c r="C173"/>
      <c r="D173"/>
      <c r="E173"/>
      <c r="F173"/>
      <c r="G173"/>
      <c r="H173"/>
      <c r="I173"/>
      <c r="J173"/>
      <c r="K173"/>
      <c r="L173"/>
      <c r="M173"/>
      <c r="N173"/>
      <c r="O173" s="124"/>
      <c r="P173" s="125"/>
      <c r="Q173" s="305"/>
    </row>
    <row r="174" spans="1:17" s="7" customFormat="1" ht="16" x14ac:dyDescent="0.35">
      <c r="A174" s="1"/>
      <c r="B174"/>
      <c r="C174"/>
      <c r="D174"/>
      <c r="E174"/>
      <c r="F174"/>
      <c r="G174"/>
      <c r="H174"/>
      <c r="I174"/>
      <c r="J174"/>
      <c r="K174"/>
      <c r="L174"/>
      <c r="M174"/>
      <c r="N174"/>
      <c r="O174"/>
      <c r="P174"/>
      <c r="Q174" s="305"/>
    </row>
    <row r="175" spans="1:17" s="7" customFormat="1" ht="16" x14ac:dyDescent="0.35">
      <c r="A175" s="1"/>
      <c r="B175"/>
      <c r="C175"/>
      <c r="D175"/>
      <c r="E175"/>
      <c r="F175"/>
      <c r="G175"/>
      <c r="H175"/>
      <c r="I175"/>
      <c r="J175"/>
      <c r="K175"/>
      <c r="L175"/>
      <c r="M175"/>
      <c r="N175"/>
      <c r="O175"/>
      <c r="P175"/>
      <c r="Q175" s="305"/>
    </row>
    <row r="176" spans="1:17" x14ac:dyDescent="0.35">
      <c r="Q176" s="305"/>
    </row>
    <row r="177" spans="17:17" x14ac:dyDescent="0.35">
      <c r="Q177" s="305"/>
    </row>
    <row r="178" spans="17:17" x14ac:dyDescent="0.35">
      <c r="Q178" s="305"/>
    </row>
    <row r="179" spans="17:17" x14ac:dyDescent="0.35">
      <c r="Q179" s="305"/>
    </row>
    <row r="180" spans="17:17" x14ac:dyDescent="0.35">
      <c r="Q180" s="305"/>
    </row>
    <row r="181" spans="17:17" x14ac:dyDescent="0.35">
      <c r="Q181" s="305"/>
    </row>
    <row r="182" spans="17:17" x14ac:dyDescent="0.35">
      <c r="Q182" s="305"/>
    </row>
    <row r="183" spans="17:17" x14ac:dyDescent="0.35">
      <c r="Q183" s="305"/>
    </row>
    <row r="184" spans="17:17" x14ac:dyDescent="0.35">
      <c r="Q184" s="305"/>
    </row>
    <row r="185" spans="17:17" x14ac:dyDescent="0.35">
      <c r="Q185" s="305"/>
    </row>
    <row r="186" spans="17:17" x14ac:dyDescent="0.35">
      <c r="Q186" s="305"/>
    </row>
    <row r="187" spans="17:17" x14ac:dyDescent="0.35">
      <c r="Q187" s="305"/>
    </row>
    <row r="188" spans="17:17" x14ac:dyDescent="0.35">
      <c r="Q188" s="305"/>
    </row>
    <row r="189" spans="17:17" x14ac:dyDescent="0.35">
      <c r="Q189" s="305"/>
    </row>
    <row r="190" spans="17:17" x14ac:dyDescent="0.35">
      <c r="Q190" s="305"/>
    </row>
    <row r="191" spans="17:17" x14ac:dyDescent="0.35">
      <c r="Q191" s="305"/>
    </row>
    <row r="192" spans="17:17" x14ac:dyDescent="0.35">
      <c r="Q192" s="305"/>
    </row>
    <row r="193" spans="17:17" x14ac:dyDescent="0.35">
      <c r="Q193" s="305"/>
    </row>
    <row r="194" spans="17:17" x14ac:dyDescent="0.35">
      <c r="Q194" s="305"/>
    </row>
    <row r="195" spans="17:17" x14ac:dyDescent="0.35">
      <c r="Q195" s="305"/>
    </row>
    <row r="196" spans="17:17" x14ac:dyDescent="0.35">
      <c r="Q196" s="305"/>
    </row>
    <row r="197" spans="17:17" x14ac:dyDescent="0.35">
      <c r="Q197" s="305"/>
    </row>
    <row r="198" spans="17:17" x14ac:dyDescent="0.35">
      <c r="Q198" s="305"/>
    </row>
    <row r="199" spans="17:17" x14ac:dyDescent="0.35">
      <c r="Q199" s="305"/>
    </row>
    <row r="200" spans="17:17" x14ac:dyDescent="0.35">
      <c r="Q200" s="305"/>
    </row>
    <row r="201" spans="17:17" x14ac:dyDescent="0.35">
      <c r="Q201" s="305"/>
    </row>
    <row r="202" spans="17:17" x14ac:dyDescent="0.35">
      <c r="Q202" s="305"/>
    </row>
    <row r="203" spans="17:17" x14ac:dyDescent="0.35">
      <c r="Q203" s="305"/>
    </row>
    <row r="204" spans="17:17" x14ac:dyDescent="0.35">
      <c r="Q204" s="305"/>
    </row>
    <row r="205" spans="17:17" x14ac:dyDescent="0.35">
      <c r="Q205" s="305"/>
    </row>
    <row r="206" spans="17:17" x14ac:dyDescent="0.35">
      <c r="Q206" s="305"/>
    </row>
    <row r="207" spans="17:17" x14ac:dyDescent="0.35">
      <c r="Q207" s="305"/>
    </row>
    <row r="208" spans="17:17" x14ac:dyDescent="0.35">
      <c r="Q208" s="305"/>
    </row>
    <row r="209" spans="17:17" x14ac:dyDescent="0.35">
      <c r="Q209" s="305"/>
    </row>
    <row r="210" spans="17:17" x14ac:dyDescent="0.35">
      <c r="Q210" s="305"/>
    </row>
    <row r="211" spans="17:17" x14ac:dyDescent="0.35">
      <c r="Q211" s="305"/>
    </row>
    <row r="212" spans="17:17" x14ac:dyDescent="0.35">
      <c r="Q212" s="305"/>
    </row>
    <row r="213" spans="17:17" x14ac:dyDescent="0.35">
      <c r="Q213" s="305"/>
    </row>
    <row r="214" spans="17:17" x14ac:dyDescent="0.35">
      <c r="Q214" s="305"/>
    </row>
    <row r="215" spans="17:17" x14ac:dyDescent="0.35">
      <c r="Q215" s="305"/>
    </row>
    <row r="216" spans="17:17" x14ac:dyDescent="0.35">
      <c r="Q216" s="305"/>
    </row>
    <row r="217" spans="17:17" x14ac:dyDescent="0.35">
      <c r="Q217" s="305"/>
    </row>
    <row r="218" spans="17:17" x14ac:dyDescent="0.35">
      <c r="Q218" s="305"/>
    </row>
    <row r="219" spans="17:17" x14ac:dyDescent="0.35">
      <c r="Q219" s="305"/>
    </row>
    <row r="220" spans="17:17" x14ac:dyDescent="0.35">
      <c r="Q220" s="305"/>
    </row>
    <row r="221" spans="17:17" x14ac:dyDescent="0.35">
      <c r="Q221" s="305"/>
    </row>
    <row r="222" spans="17:17" x14ac:dyDescent="0.35">
      <c r="Q222" s="305"/>
    </row>
    <row r="223" spans="17:17" x14ac:dyDescent="0.35">
      <c r="Q223" s="305"/>
    </row>
    <row r="224" spans="17:17" x14ac:dyDescent="0.35">
      <c r="Q224" s="30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FBE28-67F0-4A39-AB05-3D0ED4ACF315}">
  <dimension ref="A1:Q237"/>
  <sheetViews>
    <sheetView showGridLines="0" topLeftCell="A3" zoomScale="60" zoomScaleNormal="60" workbookViewId="0">
      <selection activeCell="C12" sqref="C12"/>
    </sheetView>
  </sheetViews>
  <sheetFormatPr defaultColWidth="9.1796875" defaultRowHeight="14.5" outlineLevelCol="1" x14ac:dyDescent="0.35"/>
  <cols>
    <col min="1" max="1" width="42.1796875" style="1" customWidth="1"/>
    <col min="2" max="14" width="17.81640625" customWidth="1" outlineLevel="1"/>
    <col min="15" max="15" width="75.81640625" customWidth="1" outlineLevel="1"/>
    <col min="16" max="16" width="76" customWidth="1" outlineLevel="1"/>
    <col min="17" max="17" width="2.54296875" style="126" customWidth="1"/>
    <col min="18" max="85" width="14" customWidth="1"/>
  </cols>
  <sheetData>
    <row r="1" spans="1:17" ht="21.5" x14ac:dyDescent="0.35">
      <c r="A1" s="127"/>
      <c r="B1" s="128"/>
      <c r="C1" s="129"/>
      <c r="D1" s="129"/>
      <c r="E1" s="129"/>
      <c r="F1" s="129"/>
      <c r="G1" s="130"/>
      <c r="H1" s="128"/>
      <c r="I1" s="129"/>
      <c r="J1" s="129"/>
      <c r="K1" s="129"/>
      <c r="L1" s="129"/>
      <c r="M1" s="130"/>
      <c r="N1" s="131"/>
      <c r="O1" s="132"/>
      <c r="P1" s="133"/>
    </row>
    <row r="2" spans="1:17" ht="128" x14ac:dyDescent="0.35">
      <c r="A2" s="134" t="s">
        <v>224</v>
      </c>
      <c r="B2" s="9" t="s">
        <v>6</v>
      </c>
      <c r="C2" s="9" t="s">
        <v>7</v>
      </c>
      <c r="D2" s="9" t="s">
        <v>8</v>
      </c>
      <c r="E2" s="9" t="s">
        <v>9</v>
      </c>
      <c r="F2" s="9" t="s">
        <v>10</v>
      </c>
      <c r="G2" s="9" t="s">
        <v>11</v>
      </c>
      <c r="H2" s="9" t="s">
        <v>12</v>
      </c>
      <c r="I2" s="9" t="s">
        <v>13</v>
      </c>
      <c r="J2" s="9" t="s">
        <v>14</v>
      </c>
      <c r="K2" s="9" t="s">
        <v>15</v>
      </c>
      <c r="L2" s="9" t="s">
        <v>16</v>
      </c>
      <c r="M2" s="9" t="s">
        <v>17</v>
      </c>
      <c r="N2" s="10" t="s">
        <v>18</v>
      </c>
      <c r="O2" s="11" t="s">
        <v>3</v>
      </c>
      <c r="P2" s="135" t="s">
        <v>4</v>
      </c>
    </row>
    <row r="3" spans="1:17" ht="22" thickBot="1" x14ac:dyDescent="0.4">
      <c r="A3" s="136"/>
      <c r="B3" s="137"/>
      <c r="C3" s="137"/>
      <c r="D3" s="137"/>
      <c r="E3" s="137"/>
      <c r="F3" s="137"/>
      <c r="G3" s="137"/>
      <c r="H3" s="137"/>
      <c r="I3" s="137"/>
      <c r="J3" s="137"/>
      <c r="K3" s="137"/>
      <c r="L3" s="137"/>
      <c r="M3" s="137"/>
      <c r="N3" s="138"/>
      <c r="O3" s="139"/>
      <c r="P3" s="139"/>
    </row>
    <row r="4" spans="1:17" ht="16" x14ac:dyDescent="0.35">
      <c r="A4" s="140"/>
      <c r="B4" s="141"/>
      <c r="C4" s="141"/>
      <c r="D4" s="141"/>
      <c r="E4" s="141"/>
      <c r="F4" s="141"/>
      <c r="G4" s="141"/>
      <c r="H4" s="141"/>
      <c r="I4" s="141"/>
      <c r="J4" s="141"/>
      <c r="K4" s="141"/>
      <c r="L4" s="141"/>
      <c r="M4" s="141"/>
      <c r="N4" s="141"/>
      <c r="O4" s="141"/>
      <c r="P4" s="141"/>
    </row>
    <row r="5" spans="1:17" ht="16" x14ac:dyDescent="0.35">
      <c r="A5" s="142" t="s">
        <v>227</v>
      </c>
      <c r="B5" s="143"/>
      <c r="C5" s="143"/>
      <c r="D5" s="143"/>
      <c r="E5" s="143"/>
      <c r="F5" s="143"/>
      <c r="G5" s="143"/>
      <c r="H5" s="143"/>
      <c r="I5" s="143"/>
      <c r="J5" s="143"/>
      <c r="K5" s="143"/>
      <c r="L5" s="143"/>
      <c r="M5" s="143"/>
      <c r="N5" s="143"/>
      <c r="O5" s="144"/>
      <c r="P5" s="144"/>
    </row>
    <row r="6" spans="1:17" ht="48" x14ac:dyDescent="0.35">
      <c r="A6" s="145" t="s">
        <v>228</v>
      </c>
      <c r="B6" s="146">
        <v>5.2220000000000004</v>
      </c>
      <c r="C6" s="146">
        <v>0</v>
      </c>
      <c r="D6" s="146">
        <v>0</v>
      </c>
      <c r="E6" s="146">
        <v>0</v>
      </c>
      <c r="F6" s="146">
        <v>0</v>
      </c>
      <c r="G6" s="147">
        <v>5.2220000000000004</v>
      </c>
      <c r="H6" s="146">
        <v>35.387000000000008</v>
      </c>
      <c r="I6" s="146">
        <v>0</v>
      </c>
      <c r="J6" s="146">
        <v>0</v>
      </c>
      <c r="K6" s="146">
        <v>0</v>
      </c>
      <c r="L6" s="146">
        <v>0</v>
      </c>
      <c r="M6" s="147">
        <v>35.387000000000008</v>
      </c>
      <c r="N6" s="148">
        <v>5.7765224052087332</v>
      </c>
      <c r="O6" s="145" t="s">
        <v>229</v>
      </c>
      <c r="P6" s="149" t="s">
        <v>230</v>
      </c>
    </row>
    <row r="7" spans="1:17" ht="48" x14ac:dyDescent="0.35">
      <c r="A7" s="145" t="s">
        <v>231</v>
      </c>
      <c r="B7" s="146">
        <v>0</v>
      </c>
      <c r="C7" s="146">
        <v>0</v>
      </c>
      <c r="D7" s="146">
        <v>0</v>
      </c>
      <c r="E7" s="146">
        <v>0</v>
      </c>
      <c r="F7" s="146">
        <v>0</v>
      </c>
      <c r="G7" s="147">
        <v>0</v>
      </c>
      <c r="H7" s="146">
        <v>0</v>
      </c>
      <c r="I7" s="146">
        <v>0</v>
      </c>
      <c r="J7" s="146">
        <v>0</v>
      </c>
      <c r="K7" s="146">
        <v>0</v>
      </c>
      <c r="L7" s="146">
        <v>0</v>
      </c>
      <c r="M7" s="147">
        <v>0</v>
      </c>
      <c r="N7" s="148" t="s">
        <v>50</v>
      </c>
      <c r="O7" s="145" t="s">
        <v>232</v>
      </c>
      <c r="P7" s="149" t="s">
        <v>237</v>
      </c>
    </row>
    <row r="8" spans="1:17" ht="16" x14ac:dyDescent="0.35">
      <c r="A8" s="150" t="s">
        <v>233</v>
      </c>
      <c r="B8" s="151">
        <v>5.2220000000000004</v>
      </c>
      <c r="C8" s="151">
        <v>0</v>
      </c>
      <c r="D8" s="151">
        <v>0</v>
      </c>
      <c r="E8" s="151">
        <v>0</v>
      </c>
      <c r="F8" s="151">
        <v>0</v>
      </c>
      <c r="G8" s="151">
        <v>5.2220000000000004</v>
      </c>
      <c r="H8" s="151">
        <v>35.387000000000008</v>
      </c>
      <c r="I8" s="151">
        <v>0</v>
      </c>
      <c r="J8" s="151">
        <v>0</v>
      </c>
      <c r="K8" s="151">
        <v>0</v>
      </c>
      <c r="L8" s="151">
        <v>0</v>
      </c>
      <c r="M8" s="151">
        <v>35.387000000000008</v>
      </c>
      <c r="N8" s="152">
        <v>5.7765224052087332</v>
      </c>
      <c r="O8" s="151"/>
      <c r="P8" s="153"/>
    </row>
    <row r="9" spans="1:17" s="159" customFormat="1" ht="16" x14ac:dyDescent="0.35">
      <c r="A9" s="154"/>
      <c r="B9" s="155"/>
      <c r="C9" s="155"/>
      <c r="D9" s="155"/>
      <c r="E9" s="155"/>
      <c r="F9" s="155"/>
      <c r="G9" s="155"/>
      <c r="H9" s="155"/>
      <c r="I9" s="155"/>
      <c r="J9" s="155"/>
      <c r="K9" s="155"/>
      <c r="L9" s="155"/>
      <c r="M9" s="155"/>
      <c r="N9" s="156"/>
      <c r="O9" s="157"/>
      <c r="P9" s="157"/>
      <c r="Q9" s="158"/>
    </row>
    <row r="10" spans="1:17" ht="16" x14ac:dyDescent="0.35">
      <c r="A10" s="160"/>
      <c r="B10" s="161"/>
      <c r="C10" s="161"/>
      <c r="D10" s="161"/>
      <c r="E10" s="161"/>
      <c r="F10" s="161"/>
      <c r="G10" s="161"/>
      <c r="H10" s="161"/>
      <c r="I10" s="161"/>
      <c r="J10" s="161"/>
      <c r="K10" s="161"/>
      <c r="L10" s="161"/>
      <c r="M10" s="161"/>
      <c r="N10" s="161"/>
      <c r="O10" s="161"/>
      <c r="P10" s="161"/>
    </row>
    <row r="11" spans="1:17" ht="16" x14ac:dyDescent="0.35">
      <c r="A11" s="142" t="s">
        <v>234</v>
      </c>
      <c r="B11" s="143"/>
      <c r="C11" s="143"/>
      <c r="D11" s="143"/>
      <c r="E11" s="143"/>
      <c r="F11" s="143"/>
      <c r="G11" s="143"/>
      <c r="H11" s="143"/>
      <c r="I11" s="143"/>
      <c r="J11" s="143"/>
      <c r="K11" s="143"/>
      <c r="L11" s="143"/>
      <c r="M11" s="143"/>
      <c r="N11" s="162"/>
      <c r="O11" s="144"/>
      <c r="P11" s="144"/>
    </row>
    <row r="12" spans="1:17" ht="112" x14ac:dyDescent="0.35">
      <c r="A12" s="163" t="s">
        <v>235</v>
      </c>
      <c r="B12" s="146">
        <v>10034.816000000001</v>
      </c>
      <c r="C12" s="146">
        <v>0</v>
      </c>
      <c r="D12" s="146">
        <v>0</v>
      </c>
      <c r="E12" s="146">
        <v>0</v>
      </c>
      <c r="F12" s="146">
        <v>0</v>
      </c>
      <c r="G12" s="147">
        <v>10034.816000000001</v>
      </c>
      <c r="H12" s="146">
        <v>9458.4239999999991</v>
      </c>
      <c r="I12" s="146">
        <v>0</v>
      </c>
      <c r="J12" s="146">
        <v>0</v>
      </c>
      <c r="K12" s="146">
        <v>0</v>
      </c>
      <c r="L12" s="146">
        <v>0</v>
      </c>
      <c r="M12" s="147">
        <v>9458.4239999999991</v>
      </c>
      <c r="N12" s="148">
        <v>-5.7439219612995557E-2</v>
      </c>
      <c r="O12" s="145" t="s">
        <v>236</v>
      </c>
      <c r="P12" s="149" t="s">
        <v>1883</v>
      </c>
    </row>
    <row r="13" spans="1:17" ht="48" x14ac:dyDescent="0.35">
      <c r="A13" s="145" t="s">
        <v>238</v>
      </c>
      <c r="B13" s="146">
        <v>0</v>
      </c>
      <c r="C13" s="146">
        <v>0</v>
      </c>
      <c r="D13" s="146">
        <v>0</v>
      </c>
      <c r="E13" s="146">
        <v>0</v>
      </c>
      <c r="F13" s="146">
        <v>3068</v>
      </c>
      <c r="G13" s="147">
        <v>3068</v>
      </c>
      <c r="H13" s="146">
        <v>0</v>
      </c>
      <c r="I13" s="146">
        <v>0</v>
      </c>
      <c r="J13" s="146">
        <v>0</v>
      </c>
      <c r="K13" s="146">
        <v>0</v>
      </c>
      <c r="L13" s="146">
        <v>3114</v>
      </c>
      <c r="M13" s="147">
        <v>3114</v>
      </c>
      <c r="N13" s="148">
        <v>1.4993481095176011E-2</v>
      </c>
      <c r="O13" s="145" t="s">
        <v>239</v>
      </c>
      <c r="P13" s="149" t="s">
        <v>1884</v>
      </c>
    </row>
    <row r="14" spans="1:17" ht="32" x14ac:dyDescent="0.35">
      <c r="A14" s="145" t="s">
        <v>240</v>
      </c>
      <c r="B14" s="146">
        <v>0</v>
      </c>
      <c r="C14" s="146">
        <v>0</v>
      </c>
      <c r="D14" s="146">
        <v>0</v>
      </c>
      <c r="E14" s="146">
        <v>0</v>
      </c>
      <c r="F14" s="146">
        <v>0</v>
      </c>
      <c r="G14" s="147">
        <v>0</v>
      </c>
      <c r="H14" s="146">
        <v>0</v>
      </c>
      <c r="I14" s="146">
        <v>0</v>
      </c>
      <c r="J14" s="146">
        <v>0</v>
      </c>
      <c r="K14" s="146">
        <v>0</v>
      </c>
      <c r="L14" s="146">
        <v>0</v>
      </c>
      <c r="M14" s="147">
        <v>0</v>
      </c>
      <c r="N14" s="148" t="s">
        <v>50</v>
      </c>
      <c r="O14" s="145" t="s">
        <v>237</v>
      </c>
      <c r="P14" s="149" t="s">
        <v>237</v>
      </c>
    </row>
    <row r="15" spans="1:17" ht="48" x14ac:dyDescent="0.35">
      <c r="A15" s="145" t="s">
        <v>241</v>
      </c>
      <c r="B15" s="146">
        <v>0</v>
      </c>
      <c r="C15" s="146">
        <v>0</v>
      </c>
      <c r="D15" s="146">
        <v>538.4</v>
      </c>
      <c r="E15" s="146">
        <v>0</v>
      </c>
      <c r="F15" s="146">
        <v>0</v>
      </c>
      <c r="G15" s="147">
        <v>538.4</v>
      </c>
      <c r="H15" s="146">
        <v>0</v>
      </c>
      <c r="I15" s="146">
        <v>0</v>
      </c>
      <c r="J15" s="146">
        <v>556</v>
      </c>
      <c r="K15" s="146">
        <v>0</v>
      </c>
      <c r="L15" s="146">
        <v>0</v>
      </c>
      <c r="M15" s="147">
        <v>556</v>
      </c>
      <c r="N15" s="148">
        <v>3.2689450222882659E-2</v>
      </c>
      <c r="O15" s="145" t="s">
        <v>242</v>
      </c>
      <c r="P15" s="149" t="s">
        <v>1885</v>
      </c>
    </row>
    <row r="16" spans="1:17" ht="64" x14ac:dyDescent="0.35">
      <c r="A16" s="164" t="s">
        <v>243</v>
      </c>
      <c r="B16" s="146">
        <v>263.31400000000002</v>
      </c>
      <c r="C16" s="146">
        <v>0</v>
      </c>
      <c r="D16" s="146">
        <v>0</v>
      </c>
      <c r="E16" s="146">
        <v>0</v>
      </c>
      <c r="F16" s="146">
        <v>0</v>
      </c>
      <c r="G16" s="147">
        <v>263.31400000000002</v>
      </c>
      <c r="H16" s="146">
        <v>247.4</v>
      </c>
      <c r="I16" s="146">
        <v>0</v>
      </c>
      <c r="J16" s="146">
        <v>0</v>
      </c>
      <c r="K16" s="146">
        <v>0</v>
      </c>
      <c r="L16" s="146">
        <v>0</v>
      </c>
      <c r="M16" s="147">
        <v>247.4</v>
      </c>
      <c r="N16" s="148">
        <v>-6.0437348564831399E-2</v>
      </c>
      <c r="O16" s="145" t="s">
        <v>244</v>
      </c>
      <c r="P16" s="149" t="s">
        <v>1886</v>
      </c>
    </row>
    <row r="17" spans="1:17" ht="48" x14ac:dyDescent="0.35">
      <c r="A17" s="164" t="s">
        <v>245</v>
      </c>
      <c r="B17" s="146">
        <v>0</v>
      </c>
      <c r="C17" s="146">
        <v>0</v>
      </c>
      <c r="D17" s="146">
        <v>97.173000000000002</v>
      </c>
      <c r="E17" s="146">
        <v>0</v>
      </c>
      <c r="F17" s="146">
        <v>0</v>
      </c>
      <c r="G17" s="147">
        <v>97.173000000000002</v>
      </c>
      <c r="H17" s="146">
        <v>0</v>
      </c>
      <c r="I17" s="146">
        <v>0</v>
      </c>
      <c r="J17" s="146">
        <v>196.1</v>
      </c>
      <c r="K17" s="146">
        <v>0</v>
      </c>
      <c r="L17" s="146">
        <v>0</v>
      </c>
      <c r="M17" s="147">
        <v>196.1</v>
      </c>
      <c r="N17" s="148">
        <v>1.0180502814567831</v>
      </c>
      <c r="O17" s="145" t="s">
        <v>246</v>
      </c>
      <c r="P17" s="149" t="s">
        <v>1887</v>
      </c>
    </row>
    <row r="18" spans="1:17" ht="16" x14ac:dyDescent="0.35">
      <c r="A18" s="165" t="s">
        <v>247</v>
      </c>
      <c r="B18" s="166"/>
      <c r="C18" s="166"/>
      <c r="D18" s="166"/>
      <c r="E18" s="166"/>
      <c r="F18" s="166"/>
      <c r="G18" s="166"/>
      <c r="H18" s="166"/>
      <c r="I18" s="166"/>
      <c r="J18" s="166"/>
      <c r="K18" s="166"/>
      <c r="L18" s="166"/>
      <c r="M18" s="166"/>
      <c r="N18" s="167"/>
      <c r="O18" s="168"/>
      <c r="P18" s="168"/>
    </row>
    <row r="19" spans="1:17" ht="32" x14ac:dyDescent="0.35">
      <c r="A19" s="145" t="s">
        <v>247</v>
      </c>
      <c r="B19" s="146">
        <v>2.855</v>
      </c>
      <c r="C19" s="146">
        <v>0</v>
      </c>
      <c r="D19" s="146">
        <v>0</v>
      </c>
      <c r="E19" s="146">
        <v>0</v>
      </c>
      <c r="F19" s="146">
        <v>0</v>
      </c>
      <c r="G19" s="147">
        <v>2.855</v>
      </c>
      <c r="H19" s="146">
        <v>3.2309999999999999</v>
      </c>
      <c r="I19" s="146">
        <v>0</v>
      </c>
      <c r="J19" s="146">
        <v>0</v>
      </c>
      <c r="K19" s="146">
        <v>0</v>
      </c>
      <c r="L19" s="146">
        <v>0</v>
      </c>
      <c r="M19" s="147">
        <v>3.2309999999999999</v>
      </c>
      <c r="N19" s="148">
        <v>0.13169877408056038</v>
      </c>
      <c r="O19" s="145" t="s">
        <v>248</v>
      </c>
      <c r="P19" s="149" t="s">
        <v>237</v>
      </c>
    </row>
    <row r="20" spans="1:17" ht="48" x14ac:dyDescent="0.35">
      <c r="A20" s="163" t="s">
        <v>249</v>
      </c>
      <c r="B20" s="146">
        <v>0.42799999999999999</v>
      </c>
      <c r="C20" s="146">
        <v>0</v>
      </c>
      <c r="D20" s="146">
        <v>0</v>
      </c>
      <c r="E20" s="146">
        <v>0</v>
      </c>
      <c r="F20" s="146">
        <v>0</v>
      </c>
      <c r="G20" s="147">
        <v>0.42799999999999999</v>
      </c>
      <c r="H20" s="146">
        <v>0.52800000000000002</v>
      </c>
      <c r="I20" s="146">
        <v>0</v>
      </c>
      <c r="J20" s="146">
        <v>0</v>
      </c>
      <c r="K20" s="146">
        <v>0</v>
      </c>
      <c r="L20" s="146">
        <v>0</v>
      </c>
      <c r="M20" s="147">
        <v>0.52800000000000002</v>
      </c>
      <c r="N20" s="148">
        <v>0.23364485981308419</v>
      </c>
      <c r="O20" s="145" t="s">
        <v>250</v>
      </c>
      <c r="P20" s="149" t="s">
        <v>237</v>
      </c>
    </row>
    <row r="21" spans="1:17" ht="32" collapsed="1" x14ac:dyDescent="0.35">
      <c r="A21" s="169" t="s">
        <v>251</v>
      </c>
      <c r="B21" s="170">
        <v>3.2829999999999999</v>
      </c>
      <c r="C21" s="170">
        <v>0</v>
      </c>
      <c r="D21" s="170">
        <v>0</v>
      </c>
      <c r="E21" s="170">
        <v>0</v>
      </c>
      <c r="F21" s="170">
        <v>0</v>
      </c>
      <c r="G21" s="170">
        <v>3.2829999999999999</v>
      </c>
      <c r="H21" s="170">
        <v>3.7589999999999999</v>
      </c>
      <c r="I21" s="170">
        <v>0</v>
      </c>
      <c r="J21" s="170">
        <v>0</v>
      </c>
      <c r="K21" s="170">
        <v>0</v>
      </c>
      <c r="L21" s="170">
        <v>0</v>
      </c>
      <c r="M21" s="170">
        <v>3.7589999999999999</v>
      </c>
      <c r="N21" s="171">
        <v>0.14498933901918976</v>
      </c>
      <c r="O21" s="172"/>
      <c r="P21" s="173"/>
    </row>
    <row r="22" spans="1:17" ht="16" x14ac:dyDescent="0.35">
      <c r="A22" s="150" t="s">
        <v>252</v>
      </c>
      <c r="B22" s="151">
        <v>10301.413</v>
      </c>
      <c r="C22" s="151">
        <v>0</v>
      </c>
      <c r="D22" s="151">
        <v>635.57299999999998</v>
      </c>
      <c r="E22" s="151">
        <v>0</v>
      </c>
      <c r="F22" s="151">
        <v>3068</v>
      </c>
      <c r="G22" s="151">
        <v>14004.986000000001</v>
      </c>
      <c r="H22" s="151">
        <v>9709.5829999999987</v>
      </c>
      <c r="I22" s="151">
        <v>0</v>
      </c>
      <c r="J22" s="151">
        <v>752.1</v>
      </c>
      <c r="K22" s="151">
        <v>0</v>
      </c>
      <c r="L22" s="151">
        <v>3114</v>
      </c>
      <c r="M22" s="151">
        <v>13575.682999999999</v>
      </c>
      <c r="N22" s="152">
        <v>-3.0653582945388284E-2</v>
      </c>
      <c r="O22" s="174"/>
      <c r="P22" s="175"/>
    </row>
    <row r="23" spans="1:17" ht="16" x14ac:dyDescent="0.35">
      <c r="A23" s="160"/>
      <c r="B23" s="161"/>
      <c r="C23" s="161"/>
      <c r="D23" s="161"/>
      <c r="E23" s="161"/>
      <c r="F23" s="161"/>
      <c r="G23" s="161"/>
      <c r="H23" s="161"/>
      <c r="I23" s="161"/>
      <c r="J23" s="161"/>
      <c r="K23" s="161"/>
      <c r="L23" s="161"/>
      <c r="M23" s="161"/>
      <c r="N23" s="161"/>
      <c r="O23" s="161"/>
      <c r="P23" s="161"/>
    </row>
    <row r="24" spans="1:17" s="159" customFormat="1" ht="16" x14ac:dyDescent="0.35">
      <c r="A24" s="176" t="s">
        <v>253</v>
      </c>
      <c r="B24" s="177"/>
      <c r="C24" s="177"/>
      <c r="D24" s="177"/>
      <c r="E24" s="177"/>
      <c r="F24" s="177"/>
      <c r="G24" s="177"/>
      <c r="H24" s="177"/>
      <c r="I24" s="177"/>
      <c r="J24" s="177"/>
      <c r="K24" s="177"/>
      <c r="L24" s="177"/>
      <c r="M24" s="177"/>
      <c r="N24" s="178"/>
      <c r="O24" s="179"/>
      <c r="P24" s="179"/>
      <c r="Q24" s="158"/>
    </row>
    <row r="25" spans="1:17" s="159" customFormat="1" ht="16" x14ac:dyDescent="0.35">
      <c r="A25" s="157"/>
      <c r="B25" s="180"/>
      <c r="C25" s="180"/>
      <c r="D25" s="180"/>
      <c r="E25" s="180"/>
      <c r="F25" s="180"/>
      <c r="G25" s="181"/>
      <c r="H25" s="180"/>
      <c r="I25" s="180"/>
      <c r="J25" s="180"/>
      <c r="K25" s="180"/>
      <c r="L25" s="180"/>
      <c r="M25" s="181"/>
      <c r="N25" s="182"/>
      <c r="O25" s="183"/>
      <c r="P25" s="183"/>
      <c r="Q25" s="158"/>
    </row>
    <row r="26" spans="1:17" s="159" customFormat="1" ht="32" x14ac:dyDescent="0.35">
      <c r="A26" s="184" t="s">
        <v>254</v>
      </c>
      <c r="B26" s="185"/>
      <c r="C26" s="185"/>
      <c r="D26" s="185"/>
      <c r="E26" s="185"/>
      <c r="F26" s="185"/>
      <c r="G26" s="185"/>
      <c r="H26" s="185"/>
      <c r="I26" s="185"/>
      <c r="J26" s="185"/>
      <c r="K26" s="185"/>
      <c r="L26" s="185"/>
      <c r="M26" s="185"/>
      <c r="N26" s="186"/>
      <c r="O26" s="187"/>
      <c r="P26" s="187"/>
      <c r="Q26" s="158"/>
    </row>
    <row r="27" spans="1:17" s="159" customFormat="1" ht="128" x14ac:dyDescent="0.35">
      <c r="A27" s="188" t="s">
        <v>255</v>
      </c>
      <c r="B27" s="189">
        <v>23.210999999999999</v>
      </c>
      <c r="C27" s="189">
        <v>0</v>
      </c>
      <c r="D27" s="189">
        <v>0</v>
      </c>
      <c r="E27" s="189">
        <v>0</v>
      </c>
      <c r="F27" s="189">
        <v>0</v>
      </c>
      <c r="G27" s="191">
        <v>23.210999999999999</v>
      </c>
      <c r="H27" s="146">
        <v>30.62</v>
      </c>
      <c r="I27" s="146">
        <v>0</v>
      </c>
      <c r="J27" s="146">
        <v>0</v>
      </c>
      <c r="K27" s="146">
        <v>0</v>
      </c>
      <c r="L27" s="146">
        <v>0</v>
      </c>
      <c r="M27" s="191">
        <v>30.62</v>
      </c>
      <c r="N27" s="192">
        <v>0.319202102451424</v>
      </c>
      <c r="O27" s="145" t="s">
        <v>257</v>
      </c>
      <c r="P27" s="149" t="s">
        <v>258</v>
      </c>
      <c r="Q27" s="158"/>
    </row>
    <row r="28" spans="1:17" s="159" customFormat="1" ht="64" x14ac:dyDescent="0.35">
      <c r="A28" s="193" t="s">
        <v>259</v>
      </c>
      <c r="B28" s="194">
        <v>0</v>
      </c>
      <c r="C28" s="194">
        <v>6</v>
      </c>
      <c r="D28" s="194">
        <v>0</v>
      </c>
      <c r="E28" s="194">
        <v>0</v>
      </c>
      <c r="F28" s="194">
        <v>0</v>
      </c>
      <c r="G28" s="196">
        <v>6</v>
      </c>
      <c r="H28" s="146">
        <v>0</v>
      </c>
      <c r="I28" s="146">
        <v>2.5</v>
      </c>
      <c r="J28" s="146">
        <v>0</v>
      </c>
      <c r="K28" s="146">
        <v>0</v>
      </c>
      <c r="L28" s="146">
        <v>0</v>
      </c>
      <c r="M28" s="196">
        <v>2.5</v>
      </c>
      <c r="N28" s="197">
        <v>-0.58333333333333337</v>
      </c>
      <c r="O28" s="145" t="s">
        <v>260</v>
      </c>
      <c r="P28" s="149" t="s">
        <v>237</v>
      </c>
      <c r="Q28" s="158"/>
    </row>
    <row r="29" spans="1:17" s="159" customFormat="1" ht="96" x14ac:dyDescent="0.35">
      <c r="A29" s="193" t="s">
        <v>261</v>
      </c>
      <c r="B29" s="194">
        <v>0</v>
      </c>
      <c r="C29" s="194">
        <v>0</v>
      </c>
      <c r="D29" s="194">
        <v>2.7</v>
      </c>
      <c r="E29" s="194">
        <v>0</v>
      </c>
      <c r="F29" s="194">
        <v>0</v>
      </c>
      <c r="G29" s="196">
        <v>2.7</v>
      </c>
      <c r="H29" s="146">
        <v>0</v>
      </c>
      <c r="I29" s="146">
        <v>0</v>
      </c>
      <c r="J29" s="146">
        <v>2.8</v>
      </c>
      <c r="K29" s="146">
        <v>0</v>
      </c>
      <c r="L29" s="146">
        <v>0</v>
      </c>
      <c r="M29" s="196">
        <v>2.8</v>
      </c>
      <c r="N29" s="197">
        <v>3.7037037037036903E-2</v>
      </c>
      <c r="O29" s="145" t="s">
        <v>262</v>
      </c>
      <c r="P29" s="149" t="s">
        <v>237</v>
      </c>
      <c r="Q29" s="158"/>
    </row>
    <row r="30" spans="1:17" s="159" customFormat="1" ht="32" x14ac:dyDescent="0.35">
      <c r="A30" s="198" t="s">
        <v>263</v>
      </c>
      <c r="B30" s="199">
        <v>23.210999999999999</v>
      </c>
      <c r="C30" s="199">
        <v>6</v>
      </c>
      <c r="D30" s="199">
        <v>2.7</v>
      </c>
      <c r="E30" s="199">
        <v>0</v>
      </c>
      <c r="F30" s="199">
        <v>0</v>
      </c>
      <c r="G30" s="199">
        <v>31.910999999999998</v>
      </c>
      <c r="H30" s="199">
        <v>30.62</v>
      </c>
      <c r="I30" s="199">
        <v>2.5</v>
      </c>
      <c r="J30" s="199">
        <v>2.8</v>
      </c>
      <c r="K30" s="199">
        <v>0</v>
      </c>
      <c r="L30" s="199">
        <v>0</v>
      </c>
      <c r="M30" s="199">
        <v>35.92</v>
      </c>
      <c r="N30" s="200">
        <v>0.12563066027388689</v>
      </c>
      <c r="O30" s="201"/>
      <c r="P30" s="202"/>
      <c r="Q30" s="158"/>
    </row>
    <row r="31" spans="1:17" s="159" customFormat="1" ht="16" x14ac:dyDescent="0.35">
      <c r="A31" s="157"/>
      <c r="B31" s="180"/>
      <c r="C31" s="180"/>
      <c r="D31" s="180"/>
      <c r="E31" s="180"/>
      <c r="F31" s="180"/>
      <c r="G31" s="181"/>
      <c r="H31" s="180"/>
      <c r="I31" s="180"/>
      <c r="J31" s="180"/>
      <c r="K31" s="180"/>
      <c r="L31" s="180"/>
      <c r="M31" s="181"/>
      <c r="N31" s="182"/>
      <c r="O31" s="183"/>
      <c r="P31" s="183"/>
      <c r="Q31" s="158"/>
    </row>
    <row r="32" spans="1:17" s="159" customFormat="1" ht="32" x14ac:dyDescent="0.35">
      <c r="A32" s="184" t="s">
        <v>264</v>
      </c>
      <c r="B32" s="185"/>
      <c r="C32" s="185"/>
      <c r="D32" s="185"/>
      <c r="E32" s="185"/>
      <c r="F32" s="185"/>
      <c r="G32" s="185"/>
      <c r="H32" s="185"/>
      <c r="I32" s="185"/>
      <c r="J32" s="185"/>
      <c r="K32" s="185"/>
      <c r="L32" s="185"/>
      <c r="M32" s="185"/>
      <c r="N32" s="186"/>
      <c r="O32" s="187"/>
      <c r="P32" s="187"/>
      <c r="Q32" s="158"/>
    </row>
    <row r="33" spans="1:17" s="159" customFormat="1" ht="128" x14ac:dyDescent="0.35">
      <c r="A33" s="193" t="s">
        <v>265</v>
      </c>
      <c r="B33" s="194">
        <v>0</v>
      </c>
      <c r="C33" s="194">
        <v>0</v>
      </c>
      <c r="D33" s="194">
        <v>0</v>
      </c>
      <c r="E33" s="194">
        <v>0</v>
      </c>
      <c r="F33" s="194">
        <v>2661.018</v>
      </c>
      <c r="G33" s="196">
        <v>2661.018</v>
      </c>
      <c r="H33" s="146">
        <v>0</v>
      </c>
      <c r="I33" s="146">
        <v>0</v>
      </c>
      <c r="J33" s="146">
        <v>0</v>
      </c>
      <c r="K33" s="146">
        <v>0</v>
      </c>
      <c r="L33" s="146">
        <v>2319.0819999999999</v>
      </c>
      <c r="M33" s="196">
        <v>2319.0819999999999</v>
      </c>
      <c r="N33" s="197">
        <v>-0.12849819129370796</v>
      </c>
      <c r="O33" s="145" t="s">
        <v>257</v>
      </c>
      <c r="P33" s="149" t="s">
        <v>237</v>
      </c>
      <c r="Q33" s="158"/>
    </row>
    <row r="34" spans="1:17" s="159" customFormat="1" ht="64" x14ac:dyDescent="0.35">
      <c r="A34" s="188" t="s">
        <v>266</v>
      </c>
      <c r="B34" s="189">
        <v>0</v>
      </c>
      <c r="C34" s="189">
        <v>0</v>
      </c>
      <c r="D34" s="189">
        <v>0</v>
      </c>
      <c r="E34" s="189">
        <v>0</v>
      </c>
      <c r="F34" s="189">
        <v>-1231.0260000000001</v>
      </c>
      <c r="G34" s="191">
        <v>-1231.0260000000001</v>
      </c>
      <c r="H34" s="146">
        <v>0</v>
      </c>
      <c r="I34" s="146">
        <v>0</v>
      </c>
      <c r="J34" s="146">
        <v>0</v>
      </c>
      <c r="K34" s="146">
        <v>0</v>
      </c>
      <c r="L34" s="146">
        <v>-1283.4690000000001</v>
      </c>
      <c r="M34" s="191">
        <v>-1283.4690000000001</v>
      </c>
      <c r="N34" s="192">
        <v>4.260104985597378E-2</v>
      </c>
      <c r="O34" s="145" t="s">
        <v>260</v>
      </c>
      <c r="P34" s="149" t="s">
        <v>237</v>
      </c>
      <c r="Q34" s="158"/>
    </row>
    <row r="35" spans="1:17" s="159" customFormat="1" ht="32" x14ac:dyDescent="0.35">
      <c r="A35" s="198" t="s">
        <v>267</v>
      </c>
      <c r="B35" s="199">
        <v>0</v>
      </c>
      <c r="C35" s="199">
        <v>0</v>
      </c>
      <c r="D35" s="199">
        <v>0</v>
      </c>
      <c r="E35" s="199">
        <v>0</v>
      </c>
      <c r="F35" s="199">
        <v>1429.992</v>
      </c>
      <c r="G35" s="199">
        <v>1429.992</v>
      </c>
      <c r="H35" s="199">
        <v>0</v>
      </c>
      <c r="I35" s="199">
        <v>0</v>
      </c>
      <c r="J35" s="199">
        <v>0</v>
      </c>
      <c r="K35" s="199">
        <v>0</v>
      </c>
      <c r="L35" s="199">
        <v>1035.6129999999998</v>
      </c>
      <c r="M35" s="199">
        <v>1035.6129999999998</v>
      </c>
      <c r="N35" s="200">
        <v>-0.27579105337652249</v>
      </c>
      <c r="O35" s="201"/>
      <c r="P35" s="202"/>
      <c r="Q35" s="158"/>
    </row>
    <row r="36" spans="1:17" s="159" customFormat="1" ht="16" x14ac:dyDescent="0.35">
      <c r="A36" s="157"/>
      <c r="B36" s="180"/>
      <c r="C36" s="180"/>
      <c r="D36" s="180"/>
      <c r="E36" s="180"/>
      <c r="F36" s="180"/>
      <c r="G36" s="181"/>
      <c r="H36" s="180"/>
      <c r="I36" s="180"/>
      <c r="J36" s="180"/>
      <c r="K36" s="180"/>
      <c r="L36" s="180"/>
      <c r="M36" s="181"/>
      <c r="N36" s="182"/>
      <c r="O36" s="183"/>
      <c r="P36" s="183"/>
      <c r="Q36" s="158"/>
    </row>
    <row r="37" spans="1:17" s="159" customFormat="1" ht="32" x14ac:dyDescent="0.35">
      <c r="A37" s="184" t="s">
        <v>268</v>
      </c>
      <c r="B37" s="185"/>
      <c r="C37" s="185"/>
      <c r="D37" s="185"/>
      <c r="E37" s="185"/>
      <c r="F37" s="185"/>
      <c r="G37" s="185"/>
      <c r="H37" s="185"/>
      <c r="I37" s="185"/>
      <c r="J37" s="185"/>
      <c r="K37" s="185"/>
      <c r="L37" s="185"/>
      <c r="M37" s="185"/>
      <c r="N37" s="186"/>
      <c r="O37" s="187"/>
      <c r="P37" s="187"/>
      <c r="Q37" s="158"/>
    </row>
    <row r="38" spans="1:17" s="159" customFormat="1" ht="32" x14ac:dyDescent="0.35">
      <c r="A38" s="188" t="s">
        <v>269</v>
      </c>
      <c r="B38" s="189">
        <v>0</v>
      </c>
      <c r="C38" s="189">
        <v>0</v>
      </c>
      <c r="D38" s="189">
        <v>0</v>
      </c>
      <c r="E38" s="189">
        <v>0</v>
      </c>
      <c r="F38" s="189">
        <v>4670.0010000000002</v>
      </c>
      <c r="G38" s="191">
        <v>4670.0010000000002</v>
      </c>
      <c r="H38" s="146">
        <v>0</v>
      </c>
      <c r="I38" s="146">
        <v>0</v>
      </c>
      <c r="J38" s="146">
        <v>0</v>
      </c>
      <c r="K38" s="146">
        <v>0</v>
      </c>
      <c r="L38" s="146">
        <v>4540.5829999999996</v>
      </c>
      <c r="M38" s="191">
        <v>4540.5829999999996</v>
      </c>
      <c r="N38" s="192">
        <v>-2.7712627898795004E-2</v>
      </c>
      <c r="O38" s="145" t="s">
        <v>270</v>
      </c>
      <c r="P38" s="149" t="s">
        <v>237</v>
      </c>
      <c r="Q38" s="158"/>
    </row>
    <row r="39" spans="1:17" s="159" customFormat="1" ht="48" x14ac:dyDescent="0.35">
      <c r="A39" s="193" t="s">
        <v>271</v>
      </c>
      <c r="B39" s="194">
        <v>0</v>
      </c>
      <c r="C39" s="194">
        <v>0</v>
      </c>
      <c r="D39" s="194">
        <v>0</v>
      </c>
      <c r="E39" s="194">
        <v>0</v>
      </c>
      <c r="F39" s="194">
        <v>-2583.6439999999998</v>
      </c>
      <c r="G39" s="196">
        <v>-2583.6439999999998</v>
      </c>
      <c r="H39" s="146">
        <v>0</v>
      </c>
      <c r="I39" s="146">
        <v>0</v>
      </c>
      <c r="J39" s="146">
        <v>0</v>
      </c>
      <c r="K39" s="146">
        <v>0</v>
      </c>
      <c r="L39" s="146">
        <v>-2659.877</v>
      </c>
      <c r="M39" s="196">
        <v>-2659.877</v>
      </c>
      <c r="N39" s="197">
        <v>2.9506000052638901E-2</v>
      </c>
      <c r="O39" s="145" t="s">
        <v>272</v>
      </c>
      <c r="P39" s="149" t="s">
        <v>237</v>
      </c>
      <c r="Q39" s="158"/>
    </row>
    <row r="40" spans="1:17" s="159" customFormat="1" ht="32" x14ac:dyDescent="0.35">
      <c r="A40" s="198" t="s">
        <v>273</v>
      </c>
      <c r="B40" s="199">
        <v>0</v>
      </c>
      <c r="C40" s="199">
        <v>0</v>
      </c>
      <c r="D40" s="199">
        <v>0</v>
      </c>
      <c r="E40" s="199">
        <v>0</v>
      </c>
      <c r="F40" s="199">
        <v>2086.3570000000004</v>
      </c>
      <c r="G40" s="199">
        <v>2086.3570000000004</v>
      </c>
      <c r="H40" s="199">
        <v>0</v>
      </c>
      <c r="I40" s="199">
        <v>0</v>
      </c>
      <c r="J40" s="199">
        <v>0</v>
      </c>
      <c r="K40" s="199">
        <v>0</v>
      </c>
      <c r="L40" s="199">
        <v>1880.7059999999997</v>
      </c>
      <c r="M40" s="199">
        <v>1880.7059999999997</v>
      </c>
      <c r="N40" s="200">
        <v>-9.8569420286173798E-2</v>
      </c>
      <c r="O40" s="201"/>
      <c r="P40" s="202"/>
      <c r="Q40" s="158"/>
    </row>
    <row r="41" spans="1:17" s="159" customFormat="1" ht="16" x14ac:dyDescent="0.35">
      <c r="A41" s="157"/>
      <c r="B41" s="180"/>
      <c r="C41" s="180"/>
      <c r="D41" s="180"/>
      <c r="E41" s="180"/>
      <c r="F41" s="180"/>
      <c r="G41" s="181"/>
      <c r="H41" s="180"/>
      <c r="I41" s="180"/>
      <c r="J41" s="180"/>
      <c r="K41" s="180"/>
      <c r="L41" s="180"/>
      <c r="M41" s="181"/>
      <c r="N41" s="182"/>
      <c r="O41" s="205"/>
      <c r="P41" s="205"/>
      <c r="Q41" s="158"/>
    </row>
    <row r="42" spans="1:17" s="159" customFormat="1" ht="32" x14ac:dyDescent="0.35">
      <c r="A42" s="206" t="s">
        <v>274</v>
      </c>
      <c r="B42" s="207">
        <v>23.210999999999999</v>
      </c>
      <c r="C42" s="207">
        <v>6</v>
      </c>
      <c r="D42" s="207">
        <v>2.7</v>
      </c>
      <c r="E42" s="207">
        <v>0</v>
      </c>
      <c r="F42" s="207">
        <v>3516.3490000000002</v>
      </c>
      <c r="G42" s="207">
        <v>3548.26</v>
      </c>
      <c r="H42" s="207">
        <v>30.62</v>
      </c>
      <c r="I42" s="207">
        <v>2.5</v>
      </c>
      <c r="J42" s="207">
        <v>2.8</v>
      </c>
      <c r="K42" s="207">
        <v>0</v>
      </c>
      <c r="L42" s="207">
        <v>2916.3189999999995</v>
      </c>
      <c r="M42" s="207">
        <v>2952.2389999999996</v>
      </c>
      <c r="N42" s="208">
        <v>-0.16797557112500228</v>
      </c>
      <c r="O42" s="179"/>
      <c r="P42" s="179"/>
      <c r="Q42" s="158"/>
    </row>
    <row r="43" spans="1:17" s="159" customFormat="1" ht="16" x14ac:dyDescent="0.35">
      <c r="A43" s="209"/>
      <c r="B43" s="210"/>
      <c r="C43" s="210"/>
      <c r="D43" s="210"/>
      <c r="E43" s="210"/>
      <c r="F43" s="210"/>
      <c r="G43" s="210"/>
      <c r="H43" s="210"/>
      <c r="I43" s="210"/>
      <c r="J43" s="210"/>
      <c r="K43" s="210"/>
      <c r="L43" s="210"/>
      <c r="M43" s="210"/>
      <c r="N43" s="211"/>
      <c r="O43" s="212"/>
      <c r="P43" s="212"/>
      <c r="Q43" s="158"/>
    </row>
    <row r="44" spans="1:17" s="159" customFormat="1" ht="16" x14ac:dyDescent="0.35">
      <c r="A44" s="206" t="s">
        <v>275</v>
      </c>
      <c r="B44" s="213"/>
      <c r="C44" s="213"/>
      <c r="D44" s="213"/>
      <c r="E44" s="213"/>
      <c r="F44" s="213"/>
      <c r="G44" s="213"/>
      <c r="H44" s="213"/>
      <c r="I44" s="213"/>
      <c r="J44" s="213"/>
      <c r="K44" s="213"/>
      <c r="L44" s="213"/>
      <c r="M44" s="213"/>
      <c r="N44" s="214"/>
      <c r="O44" s="179"/>
      <c r="P44" s="179"/>
      <c r="Q44" s="158"/>
    </row>
    <row r="45" spans="1:17" s="159" customFormat="1" ht="112" x14ac:dyDescent="0.35">
      <c r="A45" s="215" t="s">
        <v>275</v>
      </c>
      <c r="B45" s="189">
        <v>2.706</v>
      </c>
      <c r="C45" s="189">
        <v>0</v>
      </c>
      <c r="D45" s="189">
        <v>0</v>
      </c>
      <c r="E45" s="189">
        <v>0</v>
      </c>
      <c r="F45" s="189">
        <v>0</v>
      </c>
      <c r="G45" s="191">
        <v>2.706</v>
      </c>
      <c r="H45" s="146">
        <v>2.7650000000000001</v>
      </c>
      <c r="I45" s="146">
        <v>0</v>
      </c>
      <c r="J45" s="146">
        <v>0</v>
      </c>
      <c r="K45" s="146">
        <v>0</v>
      </c>
      <c r="L45" s="146">
        <v>0</v>
      </c>
      <c r="M45" s="191">
        <v>2.7650000000000001</v>
      </c>
      <c r="N45" s="192">
        <v>2.18033998521804E-2</v>
      </c>
      <c r="O45" s="145" t="s">
        <v>276</v>
      </c>
      <c r="P45" s="149" t="s">
        <v>237</v>
      </c>
      <c r="Q45" s="158"/>
    </row>
    <row r="46" spans="1:17" s="159" customFormat="1" ht="16" x14ac:dyDescent="0.35">
      <c r="A46" s="216" t="s">
        <v>277</v>
      </c>
      <c r="B46" s="217">
        <v>2.706</v>
      </c>
      <c r="C46" s="217">
        <v>0</v>
      </c>
      <c r="D46" s="217">
        <v>0</v>
      </c>
      <c r="E46" s="217">
        <v>0</v>
      </c>
      <c r="F46" s="217">
        <v>0</v>
      </c>
      <c r="G46" s="217">
        <v>2.706</v>
      </c>
      <c r="H46" s="217">
        <v>2.7650000000000001</v>
      </c>
      <c r="I46" s="217">
        <v>0</v>
      </c>
      <c r="J46" s="217">
        <v>0</v>
      </c>
      <c r="K46" s="217">
        <v>0</v>
      </c>
      <c r="L46" s="217">
        <v>0</v>
      </c>
      <c r="M46" s="217">
        <v>2.7650000000000001</v>
      </c>
      <c r="N46" s="208">
        <v>2.18033998521804E-2</v>
      </c>
      <c r="O46" s="217">
        <v>0</v>
      </c>
      <c r="P46" s="218"/>
      <c r="Q46" s="158"/>
    </row>
    <row r="47" spans="1:17" ht="16" x14ac:dyDescent="0.35">
      <c r="A47" s="160"/>
      <c r="B47" s="161"/>
      <c r="C47" s="161"/>
      <c r="D47" s="161"/>
      <c r="E47" s="161"/>
      <c r="F47" s="161"/>
      <c r="G47" s="161"/>
      <c r="H47" s="161"/>
      <c r="I47" s="161"/>
      <c r="J47" s="161"/>
      <c r="K47" s="161"/>
      <c r="L47" s="161"/>
      <c r="M47" s="161"/>
      <c r="N47" s="161"/>
      <c r="O47" s="161"/>
      <c r="P47" s="161"/>
    </row>
    <row r="48" spans="1:17" s="159" customFormat="1" ht="16" x14ac:dyDescent="0.35">
      <c r="A48" s="206" t="s">
        <v>278</v>
      </c>
      <c r="B48" s="213"/>
      <c r="C48" s="213"/>
      <c r="D48" s="213"/>
      <c r="E48" s="213"/>
      <c r="F48" s="213"/>
      <c r="G48" s="213"/>
      <c r="H48" s="213"/>
      <c r="I48" s="213"/>
      <c r="J48" s="213"/>
      <c r="K48" s="213"/>
      <c r="L48" s="213"/>
      <c r="M48" s="213"/>
      <c r="N48" s="214"/>
      <c r="O48" s="179"/>
      <c r="P48" s="179"/>
      <c r="Q48" s="158"/>
    </row>
    <row r="49" spans="1:17" s="159" customFormat="1" ht="96" x14ac:dyDescent="0.35">
      <c r="A49" s="215" t="s">
        <v>255</v>
      </c>
      <c r="B49" s="189">
        <v>0</v>
      </c>
      <c r="C49" s="189">
        <v>0</v>
      </c>
      <c r="D49" s="189">
        <v>0</v>
      </c>
      <c r="E49" s="189">
        <v>0</v>
      </c>
      <c r="F49" s="189">
        <v>0</v>
      </c>
      <c r="G49" s="191">
        <v>0</v>
      </c>
      <c r="H49" s="146">
        <v>0</v>
      </c>
      <c r="I49" s="146">
        <v>0</v>
      </c>
      <c r="J49" s="146">
        <v>0</v>
      </c>
      <c r="K49" s="146">
        <v>0</v>
      </c>
      <c r="L49" s="146">
        <v>0</v>
      </c>
      <c r="M49" s="191">
        <v>0</v>
      </c>
      <c r="N49" s="192" t="s">
        <v>50</v>
      </c>
      <c r="O49" s="145" t="s">
        <v>279</v>
      </c>
      <c r="P49" s="149" t="s">
        <v>237</v>
      </c>
      <c r="Q49" s="158"/>
    </row>
    <row r="50" spans="1:17" s="159" customFormat="1" ht="16" x14ac:dyDescent="0.35">
      <c r="A50" s="219" t="s">
        <v>259</v>
      </c>
      <c r="B50" s="194">
        <v>0</v>
      </c>
      <c r="C50" s="194">
        <v>4.1820000000000004</v>
      </c>
      <c r="D50" s="194">
        <v>0</v>
      </c>
      <c r="E50" s="194">
        <v>0</v>
      </c>
      <c r="F50" s="194">
        <v>0</v>
      </c>
      <c r="G50" s="196">
        <v>4.1820000000000004</v>
      </c>
      <c r="H50" s="146">
        <v>0</v>
      </c>
      <c r="I50" s="146">
        <v>4.3070000000000004</v>
      </c>
      <c r="J50" s="146">
        <v>0</v>
      </c>
      <c r="K50" s="146">
        <v>0</v>
      </c>
      <c r="L50" s="146">
        <v>0</v>
      </c>
      <c r="M50" s="196">
        <v>4.3070000000000004</v>
      </c>
      <c r="N50" s="197">
        <v>2.9890004782400764E-2</v>
      </c>
      <c r="O50" s="145" t="s">
        <v>280</v>
      </c>
      <c r="P50" s="149" t="s">
        <v>237</v>
      </c>
      <c r="Q50" s="158"/>
    </row>
    <row r="51" spans="1:17" s="159" customFormat="1" ht="32" x14ac:dyDescent="0.35">
      <c r="A51" s="220" t="s">
        <v>261</v>
      </c>
      <c r="B51" s="194">
        <v>0</v>
      </c>
      <c r="C51" s="194">
        <v>0</v>
      </c>
      <c r="D51" s="194">
        <v>5.7889999999999997</v>
      </c>
      <c r="E51" s="194">
        <v>0</v>
      </c>
      <c r="F51" s="194">
        <v>0</v>
      </c>
      <c r="G51" s="196">
        <v>5.7889999999999997</v>
      </c>
      <c r="H51" s="146">
        <v>0</v>
      </c>
      <c r="I51" s="146">
        <v>0</v>
      </c>
      <c r="J51" s="146">
        <v>0.7</v>
      </c>
      <c r="K51" s="146">
        <v>0</v>
      </c>
      <c r="L51" s="146">
        <v>0</v>
      </c>
      <c r="M51" s="196">
        <v>0.7</v>
      </c>
      <c r="N51" s="197">
        <v>-0.87908101571946795</v>
      </c>
      <c r="O51" s="145" t="s">
        <v>281</v>
      </c>
      <c r="P51" s="149" t="s">
        <v>282</v>
      </c>
      <c r="Q51" s="158"/>
    </row>
    <row r="52" spans="1:17" s="159" customFormat="1" ht="16" x14ac:dyDescent="0.35">
      <c r="A52" s="216" t="s">
        <v>283</v>
      </c>
      <c r="B52" s="217">
        <v>0</v>
      </c>
      <c r="C52" s="217">
        <v>4.1820000000000004</v>
      </c>
      <c r="D52" s="217">
        <v>5.7889999999999997</v>
      </c>
      <c r="E52" s="217">
        <v>0</v>
      </c>
      <c r="F52" s="217">
        <v>0</v>
      </c>
      <c r="G52" s="217">
        <v>9.9710000000000001</v>
      </c>
      <c r="H52" s="217">
        <v>0</v>
      </c>
      <c r="I52" s="217">
        <v>4.3070000000000004</v>
      </c>
      <c r="J52" s="217">
        <v>0.7</v>
      </c>
      <c r="K52" s="217">
        <v>0</v>
      </c>
      <c r="L52" s="217">
        <v>0</v>
      </c>
      <c r="M52" s="217">
        <v>5.0070000000000006</v>
      </c>
      <c r="N52" s="221">
        <v>-0.4978437468659111</v>
      </c>
      <c r="O52" s="222"/>
      <c r="P52" s="218"/>
      <c r="Q52" s="158"/>
    </row>
    <row r="53" spans="1:17" s="159" customFormat="1" ht="16" x14ac:dyDescent="0.35">
      <c r="A53" s="209"/>
      <c r="B53" s="210"/>
      <c r="C53" s="210"/>
      <c r="D53" s="210"/>
      <c r="E53" s="210"/>
      <c r="F53" s="210"/>
      <c r="G53" s="210"/>
      <c r="H53" s="210"/>
      <c r="I53" s="210"/>
      <c r="J53" s="210"/>
      <c r="K53" s="210"/>
      <c r="L53" s="210"/>
      <c r="M53" s="210"/>
      <c r="N53" s="211"/>
      <c r="O53" s="212"/>
      <c r="P53" s="212"/>
      <c r="Q53" s="158"/>
    </row>
    <row r="54" spans="1:17" s="159" customFormat="1" ht="16" x14ac:dyDescent="0.35">
      <c r="A54" s="176" t="s">
        <v>284</v>
      </c>
      <c r="B54" s="177"/>
      <c r="C54" s="177"/>
      <c r="D54" s="177"/>
      <c r="E54" s="177"/>
      <c r="F54" s="177"/>
      <c r="G54" s="177"/>
      <c r="H54" s="177"/>
      <c r="I54" s="177"/>
      <c r="J54" s="177"/>
      <c r="K54" s="177"/>
      <c r="L54" s="177"/>
      <c r="M54" s="177"/>
      <c r="N54" s="178"/>
      <c r="O54" s="223"/>
      <c r="P54" s="223"/>
      <c r="Q54" s="158"/>
    </row>
    <row r="55" spans="1:17" s="159" customFormat="1" ht="128" x14ac:dyDescent="0.35">
      <c r="A55" s="224" t="s">
        <v>285</v>
      </c>
      <c r="B55" s="189">
        <v>0.26300000000000001</v>
      </c>
      <c r="C55" s="189">
        <v>1.046</v>
      </c>
      <c r="D55" s="189">
        <v>0</v>
      </c>
      <c r="E55" s="189">
        <v>0</v>
      </c>
      <c r="F55" s="189">
        <v>0</v>
      </c>
      <c r="G55" s="191">
        <v>1.3090000000000002</v>
      </c>
      <c r="H55" s="146">
        <v>0.48800000000000004</v>
      </c>
      <c r="I55" s="146">
        <v>1.363</v>
      </c>
      <c r="J55" s="146">
        <v>0</v>
      </c>
      <c r="K55" s="146">
        <v>0</v>
      </c>
      <c r="L55" s="146">
        <v>0</v>
      </c>
      <c r="M55" s="191">
        <v>1.851</v>
      </c>
      <c r="N55" s="192">
        <v>0.41405653170359036</v>
      </c>
      <c r="O55" s="145" t="s">
        <v>286</v>
      </c>
      <c r="P55" s="149" t="s">
        <v>237</v>
      </c>
      <c r="Q55" s="158"/>
    </row>
    <row r="56" spans="1:17" s="159" customFormat="1" ht="112" x14ac:dyDescent="0.35">
      <c r="A56" s="224" t="s">
        <v>287</v>
      </c>
      <c r="B56" s="194">
        <v>0</v>
      </c>
      <c r="C56" s="194">
        <v>0</v>
      </c>
      <c r="D56" s="194">
        <v>1.1000000000000001</v>
      </c>
      <c r="E56" s="194">
        <v>0</v>
      </c>
      <c r="F56" s="194">
        <v>0</v>
      </c>
      <c r="G56" s="196">
        <v>1.1000000000000001</v>
      </c>
      <c r="H56" s="146">
        <v>0</v>
      </c>
      <c r="I56" s="146">
        <v>0</v>
      </c>
      <c r="J56" s="146">
        <v>1.1000000000000001</v>
      </c>
      <c r="K56" s="146">
        <v>0</v>
      </c>
      <c r="L56" s="146">
        <v>0</v>
      </c>
      <c r="M56" s="196">
        <v>1.1000000000000001</v>
      </c>
      <c r="N56" s="197">
        <v>0</v>
      </c>
      <c r="O56" s="145" t="s">
        <v>288</v>
      </c>
      <c r="P56" s="149" t="s">
        <v>237</v>
      </c>
      <c r="Q56" s="158"/>
    </row>
    <row r="57" spans="1:17" s="159" customFormat="1" ht="16" x14ac:dyDescent="0.35">
      <c r="A57" s="225" t="s">
        <v>289</v>
      </c>
      <c r="B57" s="226">
        <v>0.26300000000000001</v>
      </c>
      <c r="C57" s="226">
        <v>1.046</v>
      </c>
      <c r="D57" s="226">
        <v>1.1000000000000001</v>
      </c>
      <c r="E57" s="226">
        <v>0</v>
      </c>
      <c r="F57" s="226">
        <v>0</v>
      </c>
      <c r="G57" s="226">
        <v>2.4090000000000003</v>
      </c>
      <c r="H57" s="226">
        <v>0.48800000000000004</v>
      </c>
      <c r="I57" s="226">
        <v>1.363</v>
      </c>
      <c r="J57" s="226">
        <v>1.1000000000000001</v>
      </c>
      <c r="K57" s="226">
        <v>0</v>
      </c>
      <c r="L57" s="226">
        <v>0</v>
      </c>
      <c r="M57" s="226">
        <v>2.9510000000000001</v>
      </c>
      <c r="N57" s="221">
        <v>0.22498962224989613</v>
      </c>
      <c r="O57" s="227"/>
      <c r="P57" s="228"/>
      <c r="Q57" s="158"/>
    </row>
    <row r="58" spans="1:17" s="159" customFormat="1" ht="16" x14ac:dyDescent="0.35">
      <c r="A58" s="229"/>
      <c r="B58" s="230"/>
      <c r="C58" s="230"/>
      <c r="D58" s="230"/>
      <c r="E58" s="230"/>
      <c r="F58" s="230"/>
      <c r="G58" s="230"/>
      <c r="H58" s="230"/>
      <c r="I58" s="230"/>
      <c r="J58" s="230"/>
      <c r="K58" s="230"/>
      <c r="L58" s="230"/>
      <c r="M58" s="230"/>
      <c r="N58" s="231"/>
      <c r="O58" s="229" t="s">
        <v>237</v>
      </c>
      <c r="P58" s="229" t="s">
        <v>237</v>
      </c>
      <c r="Q58" s="158"/>
    </row>
    <row r="59" spans="1:17" s="159" customFormat="1" ht="16" x14ac:dyDescent="0.35">
      <c r="A59" s="176" t="s">
        <v>290</v>
      </c>
      <c r="B59" s="177"/>
      <c r="C59" s="177"/>
      <c r="D59" s="177"/>
      <c r="E59" s="177"/>
      <c r="F59" s="177"/>
      <c r="G59" s="177"/>
      <c r="H59" s="177"/>
      <c r="I59" s="177"/>
      <c r="J59" s="177"/>
      <c r="K59" s="177"/>
      <c r="L59" s="177"/>
      <c r="M59" s="177"/>
      <c r="N59" s="178"/>
      <c r="O59" s="223"/>
      <c r="P59" s="223"/>
      <c r="Q59" s="158"/>
    </row>
    <row r="60" spans="1:17" s="159" customFormat="1" ht="64" x14ac:dyDescent="0.35">
      <c r="A60" s="193" t="s">
        <v>290</v>
      </c>
      <c r="B60" s="194">
        <v>1.554</v>
      </c>
      <c r="C60" s="194">
        <v>0</v>
      </c>
      <c r="D60" s="194">
        <v>0</v>
      </c>
      <c r="E60" s="194">
        <v>0</v>
      </c>
      <c r="F60" s="194">
        <v>0</v>
      </c>
      <c r="G60" s="196">
        <v>1.554</v>
      </c>
      <c r="H60" s="146">
        <v>1.4259999999999999</v>
      </c>
      <c r="I60" s="146">
        <v>0</v>
      </c>
      <c r="J60" s="146">
        <v>0</v>
      </c>
      <c r="K60" s="146">
        <v>0</v>
      </c>
      <c r="L60" s="146">
        <v>0</v>
      </c>
      <c r="M60" s="196">
        <v>1.4259999999999999</v>
      </c>
      <c r="N60" s="197">
        <v>-8.2368082368082435E-2</v>
      </c>
      <c r="O60" s="145" t="s">
        <v>291</v>
      </c>
      <c r="P60" s="149" t="s">
        <v>292</v>
      </c>
      <c r="Q60" s="158"/>
    </row>
    <row r="61" spans="1:17" s="159" customFormat="1" ht="16" x14ac:dyDescent="0.35">
      <c r="A61" s="225" t="s">
        <v>293</v>
      </c>
      <c r="B61" s="226">
        <v>1.554</v>
      </c>
      <c r="C61" s="226">
        <v>0</v>
      </c>
      <c r="D61" s="226">
        <v>0</v>
      </c>
      <c r="E61" s="226">
        <v>0</v>
      </c>
      <c r="F61" s="226">
        <v>0</v>
      </c>
      <c r="G61" s="226">
        <v>1.554</v>
      </c>
      <c r="H61" s="226">
        <v>1.4259999999999999</v>
      </c>
      <c r="I61" s="226">
        <v>0</v>
      </c>
      <c r="J61" s="226">
        <v>0</v>
      </c>
      <c r="K61" s="226">
        <v>0</v>
      </c>
      <c r="L61" s="226">
        <v>0</v>
      </c>
      <c r="M61" s="226">
        <v>1.4259999999999999</v>
      </c>
      <c r="N61" s="221">
        <v>-8.2368082368082435E-2</v>
      </c>
      <c r="O61" s="227"/>
      <c r="P61" s="228"/>
      <c r="Q61" s="158"/>
    </row>
    <row r="62" spans="1:17" ht="16" x14ac:dyDescent="0.35">
      <c r="A62" s="232"/>
      <c r="B62" s="233"/>
      <c r="C62" s="233"/>
      <c r="D62" s="233"/>
      <c r="E62" s="233"/>
      <c r="F62" s="233"/>
      <c r="G62" s="233"/>
      <c r="H62" s="233"/>
      <c r="I62" s="233"/>
      <c r="J62" s="233"/>
      <c r="K62" s="233"/>
      <c r="L62" s="233"/>
      <c r="M62" s="233"/>
      <c r="N62" s="234"/>
      <c r="O62" s="235"/>
      <c r="P62" s="235"/>
    </row>
    <row r="63" spans="1:17" s="159" customFormat="1" ht="16" x14ac:dyDescent="0.35">
      <c r="A63" s="228" t="s">
        <v>294</v>
      </c>
      <c r="B63" s="237"/>
      <c r="C63" s="237"/>
      <c r="D63" s="237"/>
      <c r="E63" s="237"/>
      <c r="F63" s="237"/>
      <c r="G63" s="237"/>
      <c r="H63" s="237"/>
      <c r="I63" s="237"/>
      <c r="J63" s="237"/>
      <c r="K63" s="237"/>
      <c r="L63" s="237"/>
      <c r="M63" s="237"/>
      <c r="N63" s="238"/>
      <c r="O63" s="223"/>
      <c r="P63" s="223"/>
      <c r="Q63" s="158"/>
    </row>
    <row r="64" spans="1:17" s="159" customFormat="1" ht="16" x14ac:dyDescent="0.35">
      <c r="A64" s="239"/>
      <c r="B64" s="240"/>
      <c r="C64" s="240"/>
      <c r="D64" s="240"/>
      <c r="E64" s="240"/>
      <c r="F64" s="240"/>
      <c r="G64" s="240"/>
      <c r="H64" s="240"/>
      <c r="I64" s="240"/>
      <c r="J64" s="240"/>
      <c r="K64" s="240"/>
      <c r="L64" s="240"/>
      <c r="M64" s="240"/>
      <c r="N64" s="241"/>
      <c r="O64" s="242"/>
      <c r="P64" s="242"/>
      <c r="Q64" s="158"/>
    </row>
    <row r="65" spans="1:17" s="159" customFormat="1" ht="16" x14ac:dyDescent="0.35">
      <c r="A65" s="243"/>
      <c r="B65" s="244"/>
      <c r="C65" s="244"/>
      <c r="D65" s="244"/>
      <c r="E65" s="244"/>
      <c r="F65" s="244"/>
      <c r="G65" s="245"/>
      <c r="H65" s="246"/>
      <c r="I65" s="246"/>
      <c r="J65" s="246"/>
      <c r="K65" s="246"/>
      <c r="L65" s="246"/>
      <c r="M65" s="245"/>
      <c r="N65" s="148"/>
      <c r="O65" s="145"/>
      <c r="P65" s="149"/>
      <c r="Q65" s="158"/>
    </row>
    <row r="66" spans="1:17" s="159" customFormat="1" ht="16" x14ac:dyDescent="0.35">
      <c r="A66" s="243"/>
      <c r="B66" s="244"/>
      <c r="C66" s="244"/>
      <c r="D66" s="244"/>
      <c r="E66" s="244"/>
      <c r="F66" s="244"/>
      <c r="G66" s="245"/>
      <c r="H66" s="246"/>
      <c r="I66" s="246"/>
      <c r="J66" s="246"/>
      <c r="K66" s="246"/>
      <c r="L66" s="246"/>
      <c r="M66" s="245"/>
      <c r="N66" s="148"/>
      <c r="O66" s="145"/>
      <c r="P66" s="149"/>
      <c r="Q66" s="158"/>
    </row>
    <row r="67" spans="1:17" s="159" customFormat="1" ht="16" x14ac:dyDescent="0.35">
      <c r="A67" s="243"/>
      <c r="B67" s="244"/>
      <c r="C67" s="244"/>
      <c r="D67" s="244"/>
      <c r="E67" s="244"/>
      <c r="F67" s="244"/>
      <c r="G67" s="245"/>
      <c r="H67" s="246"/>
      <c r="I67" s="246"/>
      <c r="J67" s="246"/>
      <c r="K67" s="246"/>
      <c r="L67" s="246"/>
      <c r="M67" s="245"/>
      <c r="N67" s="148"/>
      <c r="O67" s="145"/>
      <c r="P67" s="149"/>
      <c r="Q67" s="158"/>
    </row>
    <row r="68" spans="1:17" s="159" customFormat="1" ht="16" collapsed="1" x14ac:dyDescent="0.35">
      <c r="A68" s="247" t="s">
        <v>295</v>
      </c>
      <c r="B68" s="248">
        <v>0</v>
      </c>
      <c r="C68" s="248">
        <v>0</v>
      </c>
      <c r="D68" s="248">
        <v>0</v>
      </c>
      <c r="E68" s="248">
        <v>0</v>
      </c>
      <c r="F68" s="248">
        <v>0</v>
      </c>
      <c r="G68" s="248">
        <v>0</v>
      </c>
      <c r="H68" s="248">
        <v>0</v>
      </c>
      <c r="I68" s="248">
        <v>0</v>
      </c>
      <c r="J68" s="248">
        <v>0</v>
      </c>
      <c r="K68" s="248">
        <v>0</v>
      </c>
      <c r="L68" s="248">
        <v>0</v>
      </c>
      <c r="M68" s="248">
        <v>0</v>
      </c>
      <c r="N68" s="249" t="s">
        <v>50</v>
      </c>
      <c r="O68" s="250"/>
      <c r="P68" s="251"/>
      <c r="Q68" s="158"/>
    </row>
    <row r="69" spans="1:17" s="159" customFormat="1" ht="16" x14ac:dyDescent="0.35">
      <c r="A69" s="229"/>
      <c r="B69" s="230"/>
      <c r="C69" s="230"/>
      <c r="D69" s="230"/>
      <c r="E69" s="230"/>
      <c r="F69" s="230"/>
      <c r="G69" s="230"/>
      <c r="H69" s="230"/>
      <c r="I69" s="230"/>
      <c r="J69" s="230"/>
      <c r="K69" s="230"/>
      <c r="L69" s="230"/>
      <c r="M69" s="230"/>
      <c r="N69" s="231"/>
      <c r="O69" s="229"/>
      <c r="P69" s="229"/>
      <c r="Q69" s="158"/>
    </row>
    <row r="70" spans="1:17" s="159" customFormat="1" ht="16" x14ac:dyDescent="0.35">
      <c r="A70" s="184" t="s">
        <v>294</v>
      </c>
      <c r="B70" s="240"/>
      <c r="C70" s="240"/>
      <c r="D70" s="240"/>
      <c r="E70" s="240"/>
      <c r="F70" s="240"/>
      <c r="G70" s="240"/>
      <c r="H70" s="240"/>
      <c r="I70" s="240"/>
      <c r="J70" s="240"/>
      <c r="K70" s="240"/>
      <c r="L70" s="240"/>
      <c r="M70" s="240"/>
      <c r="N70" s="241"/>
      <c r="O70" s="242"/>
      <c r="P70" s="242"/>
      <c r="Q70" s="158"/>
    </row>
    <row r="71" spans="1:17" s="159" customFormat="1" ht="96" x14ac:dyDescent="0.35">
      <c r="A71" s="243" t="s">
        <v>294</v>
      </c>
      <c r="B71" s="189">
        <v>6.3070000000000004</v>
      </c>
      <c r="C71" s="189">
        <v>0</v>
      </c>
      <c r="D71" s="189">
        <v>0</v>
      </c>
      <c r="E71" s="189">
        <v>0</v>
      </c>
      <c r="F71" s="189">
        <v>0</v>
      </c>
      <c r="G71" s="191">
        <v>6.3070000000000004</v>
      </c>
      <c r="H71" s="146">
        <v>9.0300000000000011</v>
      </c>
      <c r="I71" s="146">
        <v>0</v>
      </c>
      <c r="J71" s="146">
        <v>0</v>
      </c>
      <c r="K71" s="146">
        <v>0</v>
      </c>
      <c r="L71" s="146">
        <v>0</v>
      </c>
      <c r="M71" s="191">
        <v>9.0300000000000011</v>
      </c>
      <c r="N71" s="192">
        <v>0.43174250832408445</v>
      </c>
      <c r="O71" s="145" t="s">
        <v>296</v>
      </c>
      <c r="P71" s="149" t="s">
        <v>297</v>
      </c>
      <c r="Q71" s="158"/>
    </row>
    <row r="72" spans="1:17" s="159" customFormat="1" ht="16" collapsed="1" x14ac:dyDescent="0.35">
      <c r="A72" s="252" t="s">
        <v>298</v>
      </c>
      <c r="B72" s="248">
        <v>6.3070000000000004</v>
      </c>
      <c r="C72" s="248">
        <v>0</v>
      </c>
      <c r="D72" s="248">
        <v>0</v>
      </c>
      <c r="E72" s="248">
        <v>0</v>
      </c>
      <c r="F72" s="248">
        <v>0</v>
      </c>
      <c r="G72" s="248">
        <v>6.3070000000000004</v>
      </c>
      <c r="H72" s="248">
        <v>9.0300000000000011</v>
      </c>
      <c r="I72" s="248">
        <v>0</v>
      </c>
      <c r="J72" s="248">
        <v>0</v>
      </c>
      <c r="K72" s="248">
        <v>0</v>
      </c>
      <c r="L72" s="248">
        <v>0</v>
      </c>
      <c r="M72" s="248">
        <v>9.0300000000000011</v>
      </c>
      <c r="N72" s="249">
        <v>0.43174250832408445</v>
      </c>
      <c r="O72" s="250"/>
      <c r="P72" s="251"/>
      <c r="Q72" s="158"/>
    </row>
    <row r="73" spans="1:17" s="159" customFormat="1" ht="16" x14ac:dyDescent="0.35">
      <c r="A73" s="253"/>
      <c r="B73" s="254"/>
      <c r="C73" s="254"/>
      <c r="D73" s="254"/>
      <c r="E73" s="254"/>
      <c r="F73" s="254"/>
      <c r="G73" s="254"/>
      <c r="H73" s="254"/>
      <c r="I73" s="255"/>
      <c r="J73" s="256"/>
      <c r="K73" s="256"/>
      <c r="L73" s="254"/>
      <c r="M73" s="254"/>
      <c r="N73" s="255"/>
      <c r="O73" s="256"/>
      <c r="P73" s="256"/>
      <c r="Q73" s="158"/>
    </row>
    <row r="74" spans="1:17" s="159" customFormat="1" ht="32" x14ac:dyDescent="0.35">
      <c r="A74" s="257" t="s">
        <v>299</v>
      </c>
      <c r="B74" s="240"/>
      <c r="C74" s="240"/>
      <c r="D74" s="240"/>
      <c r="E74" s="240"/>
      <c r="F74" s="240"/>
      <c r="G74" s="240"/>
      <c r="H74" s="240"/>
      <c r="I74" s="258"/>
      <c r="J74" s="259"/>
      <c r="K74" s="259"/>
      <c r="L74" s="240"/>
      <c r="M74" s="240"/>
      <c r="N74" s="258"/>
      <c r="O74" s="259"/>
      <c r="P74" s="259"/>
      <c r="Q74" s="158"/>
    </row>
    <row r="75" spans="1:17" s="159" customFormat="1" ht="64" x14ac:dyDescent="0.35">
      <c r="A75" s="243" t="s">
        <v>299</v>
      </c>
      <c r="B75" s="189">
        <v>0.56499999999999995</v>
      </c>
      <c r="C75" s="189">
        <v>0</v>
      </c>
      <c r="D75" s="189">
        <v>0</v>
      </c>
      <c r="E75" s="189">
        <v>0</v>
      </c>
      <c r="F75" s="189">
        <v>0</v>
      </c>
      <c r="G75" s="191">
        <v>0.56499999999999995</v>
      </c>
      <c r="H75" s="146">
        <v>0.56499999999999995</v>
      </c>
      <c r="I75" s="146">
        <v>0</v>
      </c>
      <c r="J75" s="146">
        <v>0</v>
      </c>
      <c r="K75" s="146">
        <v>0</v>
      </c>
      <c r="L75" s="146">
        <v>0</v>
      </c>
      <c r="M75" s="191">
        <v>0.56499999999999995</v>
      </c>
      <c r="N75" s="192">
        <v>0</v>
      </c>
      <c r="O75" s="145" t="s">
        <v>300</v>
      </c>
      <c r="P75" s="149" t="s">
        <v>237</v>
      </c>
      <c r="Q75" s="158"/>
    </row>
    <row r="76" spans="1:17" s="159" customFormat="1" ht="32" collapsed="1" x14ac:dyDescent="0.35">
      <c r="A76" s="252" t="s">
        <v>301</v>
      </c>
      <c r="B76" s="248">
        <v>0.56499999999999995</v>
      </c>
      <c r="C76" s="248">
        <v>0</v>
      </c>
      <c r="D76" s="248">
        <v>0</v>
      </c>
      <c r="E76" s="248">
        <v>0</v>
      </c>
      <c r="F76" s="248">
        <v>0</v>
      </c>
      <c r="G76" s="248">
        <v>0.56499999999999995</v>
      </c>
      <c r="H76" s="248">
        <v>0.56499999999999995</v>
      </c>
      <c r="I76" s="248">
        <v>0</v>
      </c>
      <c r="J76" s="248">
        <v>0</v>
      </c>
      <c r="K76" s="248">
        <v>0</v>
      </c>
      <c r="L76" s="248">
        <v>0</v>
      </c>
      <c r="M76" s="248">
        <v>0.56499999999999995</v>
      </c>
      <c r="N76" s="249">
        <v>0</v>
      </c>
      <c r="O76" s="250"/>
      <c r="P76" s="251"/>
      <c r="Q76" s="158"/>
    </row>
    <row r="77" spans="1:17" s="159" customFormat="1" ht="16" x14ac:dyDescent="0.35">
      <c r="A77" s="229"/>
      <c r="B77" s="230"/>
      <c r="C77" s="230"/>
      <c r="D77" s="230"/>
      <c r="E77" s="230"/>
      <c r="F77" s="230"/>
      <c r="G77" s="230"/>
      <c r="H77" s="230"/>
      <c r="I77" s="231"/>
      <c r="J77" s="229"/>
      <c r="K77" s="229"/>
      <c r="L77" s="230"/>
      <c r="M77" s="230"/>
      <c r="N77" s="231"/>
      <c r="O77" s="229"/>
      <c r="P77" s="229"/>
      <c r="Q77" s="158"/>
    </row>
    <row r="78" spans="1:17" s="159" customFormat="1" ht="16" x14ac:dyDescent="0.35">
      <c r="A78" s="216" t="s">
        <v>298</v>
      </c>
      <c r="B78" s="217">
        <v>6.8719999999999999</v>
      </c>
      <c r="C78" s="217">
        <v>0</v>
      </c>
      <c r="D78" s="217">
        <v>0</v>
      </c>
      <c r="E78" s="217">
        <v>0</v>
      </c>
      <c r="F78" s="217">
        <v>0</v>
      </c>
      <c r="G78" s="217">
        <v>6.8719999999999999</v>
      </c>
      <c r="H78" s="217">
        <v>9.5950000000000006</v>
      </c>
      <c r="I78" s="217">
        <v>0</v>
      </c>
      <c r="J78" s="217">
        <v>0</v>
      </c>
      <c r="K78" s="217">
        <v>0</v>
      </c>
      <c r="L78" s="217">
        <v>0</v>
      </c>
      <c r="M78" s="217">
        <v>9.5950000000000006</v>
      </c>
      <c r="N78" s="260">
        <v>0.396245634458673</v>
      </c>
      <c r="O78" s="261"/>
      <c r="P78" s="262"/>
      <c r="Q78" s="158"/>
    </row>
    <row r="79" spans="1:17" ht="16" x14ac:dyDescent="0.35">
      <c r="A79" s="160"/>
      <c r="B79" s="161"/>
      <c r="C79" s="161"/>
      <c r="D79" s="161"/>
      <c r="E79" s="161"/>
      <c r="F79" s="161"/>
      <c r="G79" s="161"/>
      <c r="H79" s="161"/>
      <c r="I79" s="161"/>
      <c r="J79" s="161"/>
      <c r="K79" s="161"/>
      <c r="L79" s="161"/>
      <c r="M79" s="161"/>
      <c r="N79" s="161"/>
      <c r="O79" s="161"/>
      <c r="P79" s="161"/>
    </row>
    <row r="80" spans="1:17" s="159" customFormat="1" ht="16" x14ac:dyDescent="0.35">
      <c r="A80" s="263" t="s">
        <v>302</v>
      </c>
      <c r="B80" s="264"/>
      <c r="C80" s="264"/>
      <c r="D80" s="264"/>
      <c r="E80" s="264"/>
      <c r="F80" s="264"/>
      <c r="G80" s="264"/>
      <c r="H80" s="264"/>
      <c r="I80" s="264"/>
      <c r="J80" s="264"/>
      <c r="K80" s="264"/>
      <c r="L80" s="264"/>
      <c r="M80" s="264"/>
      <c r="N80" s="265"/>
      <c r="O80" s="179"/>
      <c r="P80" s="179"/>
      <c r="Q80" s="158"/>
    </row>
    <row r="81" spans="1:17" s="159" customFormat="1" ht="32" x14ac:dyDescent="0.35">
      <c r="A81" s="188" t="s">
        <v>303</v>
      </c>
      <c r="B81" s="189">
        <v>3</v>
      </c>
      <c r="C81" s="189">
        <v>0</v>
      </c>
      <c r="D81" s="189">
        <v>0</v>
      </c>
      <c r="E81" s="189">
        <v>0</v>
      </c>
      <c r="F81" s="189">
        <v>0</v>
      </c>
      <c r="G81" s="191">
        <v>3</v>
      </c>
      <c r="H81" s="146">
        <v>4</v>
      </c>
      <c r="I81" s="146">
        <v>0</v>
      </c>
      <c r="J81" s="146">
        <v>0</v>
      </c>
      <c r="K81" s="146">
        <v>0</v>
      </c>
      <c r="L81" s="146">
        <v>0</v>
      </c>
      <c r="M81" s="191">
        <v>4</v>
      </c>
      <c r="N81" s="192">
        <v>0.33333333333333331</v>
      </c>
      <c r="O81" s="145" t="s">
        <v>304</v>
      </c>
      <c r="P81" s="149" t="s">
        <v>305</v>
      </c>
      <c r="Q81" s="158"/>
    </row>
    <row r="82" spans="1:17" s="159" customFormat="1" ht="32" x14ac:dyDescent="0.35">
      <c r="A82" s="266" t="s">
        <v>306</v>
      </c>
      <c r="B82" s="189">
        <v>0</v>
      </c>
      <c r="C82" s="189">
        <v>0</v>
      </c>
      <c r="D82" s="189">
        <v>0</v>
      </c>
      <c r="E82" s="189">
        <v>0</v>
      </c>
      <c r="F82" s="189">
        <v>0</v>
      </c>
      <c r="G82" s="191">
        <v>0</v>
      </c>
      <c r="H82" s="146">
        <v>0</v>
      </c>
      <c r="I82" s="146">
        <v>4.9000000000000002E-2</v>
      </c>
      <c r="J82" s="146">
        <v>0</v>
      </c>
      <c r="K82" s="146">
        <v>0</v>
      </c>
      <c r="L82" s="146">
        <v>0</v>
      </c>
      <c r="M82" s="191">
        <v>4.9000000000000002E-2</v>
      </c>
      <c r="N82" s="192" t="s">
        <v>50</v>
      </c>
      <c r="O82" s="145" t="s">
        <v>307</v>
      </c>
      <c r="P82" s="149" t="s">
        <v>50</v>
      </c>
      <c r="Q82" s="158"/>
    </row>
    <row r="83" spans="1:17" s="159" customFormat="1" ht="128" x14ac:dyDescent="0.35">
      <c r="A83" s="193" t="s">
        <v>308</v>
      </c>
      <c r="B83" s="194">
        <v>18.129000000000001</v>
      </c>
      <c r="C83" s="194">
        <v>0</v>
      </c>
      <c r="D83" s="194">
        <v>0</v>
      </c>
      <c r="E83" s="194">
        <v>0</v>
      </c>
      <c r="F83" s="194">
        <v>0</v>
      </c>
      <c r="G83" s="196">
        <v>18.129000000000001</v>
      </c>
      <c r="H83" s="146">
        <v>18</v>
      </c>
      <c r="I83" s="146">
        <v>0</v>
      </c>
      <c r="J83" s="146">
        <v>0</v>
      </c>
      <c r="K83" s="146">
        <v>0</v>
      </c>
      <c r="L83" s="146">
        <v>0</v>
      </c>
      <c r="M83" s="196">
        <v>18</v>
      </c>
      <c r="N83" s="197">
        <v>-7.115671024325739E-3</v>
      </c>
      <c r="O83" s="145" t="s">
        <v>309</v>
      </c>
      <c r="P83" s="149" t="s">
        <v>237</v>
      </c>
      <c r="Q83" s="158"/>
    </row>
    <row r="84" spans="1:17" s="159" customFormat="1" ht="80" x14ac:dyDescent="0.35">
      <c r="A84" s="193" t="s">
        <v>310</v>
      </c>
      <c r="B84" s="194">
        <v>9.6430000000000007</v>
      </c>
      <c r="C84" s="194">
        <v>0</v>
      </c>
      <c r="D84" s="194">
        <v>0</v>
      </c>
      <c r="E84" s="194">
        <v>0</v>
      </c>
      <c r="F84" s="194">
        <v>0</v>
      </c>
      <c r="G84" s="196">
        <v>9.6430000000000007</v>
      </c>
      <c r="H84" s="146">
        <v>11.8</v>
      </c>
      <c r="I84" s="146">
        <v>0</v>
      </c>
      <c r="J84" s="146">
        <v>0</v>
      </c>
      <c r="K84" s="146">
        <v>0</v>
      </c>
      <c r="L84" s="146">
        <v>0</v>
      </c>
      <c r="M84" s="196">
        <v>11.8</v>
      </c>
      <c r="N84" s="197">
        <v>0.22368557502851807</v>
      </c>
      <c r="O84" s="145" t="s">
        <v>311</v>
      </c>
      <c r="P84" s="149" t="s">
        <v>312</v>
      </c>
      <c r="Q84" s="158"/>
    </row>
    <row r="85" spans="1:17" s="159" customFormat="1" ht="32" x14ac:dyDescent="0.35">
      <c r="A85" s="193" t="s">
        <v>313</v>
      </c>
      <c r="B85" s="194">
        <v>0.23400000000000001</v>
      </c>
      <c r="C85" s="194">
        <v>10.914999999999999</v>
      </c>
      <c r="D85" s="194">
        <v>12.718999999999999</v>
      </c>
      <c r="E85" s="194">
        <v>0</v>
      </c>
      <c r="F85" s="194">
        <v>1.4999999999999999E-2</v>
      </c>
      <c r="G85" s="196">
        <v>23.882999999999999</v>
      </c>
      <c r="H85" s="146">
        <v>0</v>
      </c>
      <c r="I85" s="146">
        <v>4.0030000000000001</v>
      </c>
      <c r="J85" s="146">
        <v>12.063000000000001</v>
      </c>
      <c r="K85" s="146">
        <v>0</v>
      </c>
      <c r="L85" s="146">
        <v>0</v>
      </c>
      <c r="M85" s="196">
        <v>16.066000000000003</v>
      </c>
      <c r="N85" s="197">
        <v>-0.32730394004103325</v>
      </c>
      <c r="O85" s="145" t="s">
        <v>314</v>
      </c>
      <c r="P85" s="149" t="s">
        <v>237</v>
      </c>
      <c r="Q85" s="158"/>
    </row>
    <row r="86" spans="1:17" s="159" customFormat="1" ht="32" x14ac:dyDescent="0.35">
      <c r="A86" s="193" t="s">
        <v>315</v>
      </c>
      <c r="B86" s="194">
        <v>0</v>
      </c>
      <c r="C86" s="194">
        <v>0</v>
      </c>
      <c r="D86" s="194">
        <v>0</v>
      </c>
      <c r="E86" s="194">
        <v>0</v>
      </c>
      <c r="F86" s="194">
        <v>0</v>
      </c>
      <c r="G86" s="196">
        <v>0</v>
      </c>
      <c r="H86" s="146">
        <v>0</v>
      </c>
      <c r="I86" s="146">
        <v>0</v>
      </c>
      <c r="J86" s="146">
        <v>0</v>
      </c>
      <c r="K86" s="146">
        <v>0</v>
      </c>
      <c r="L86" s="146">
        <v>0</v>
      </c>
      <c r="M86" s="196">
        <v>0</v>
      </c>
      <c r="N86" s="197" t="s">
        <v>50</v>
      </c>
      <c r="O86" s="145" t="s">
        <v>237</v>
      </c>
      <c r="P86" s="149" t="s">
        <v>237</v>
      </c>
      <c r="Q86" s="158"/>
    </row>
    <row r="87" spans="1:17" s="159" customFormat="1" ht="112" x14ac:dyDescent="0.35">
      <c r="A87" s="193" t="s">
        <v>316</v>
      </c>
      <c r="B87" s="194">
        <v>5.3289999999999997</v>
      </c>
      <c r="C87" s="194">
        <v>0</v>
      </c>
      <c r="D87" s="194">
        <v>0</v>
      </c>
      <c r="E87" s="194">
        <v>0</v>
      </c>
      <c r="F87" s="194">
        <v>0</v>
      </c>
      <c r="G87" s="196">
        <v>5.3289999999999997</v>
      </c>
      <c r="H87" s="146">
        <v>5</v>
      </c>
      <c r="I87" s="146">
        <v>0</v>
      </c>
      <c r="J87" s="146">
        <v>0</v>
      </c>
      <c r="K87" s="146">
        <v>0</v>
      </c>
      <c r="L87" s="146">
        <v>0</v>
      </c>
      <c r="M87" s="196">
        <v>5</v>
      </c>
      <c r="N87" s="197">
        <v>-6.1737661850253284E-2</v>
      </c>
      <c r="O87" s="145" t="s">
        <v>317</v>
      </c>
      <c r="P87" s="149" t="s">
        <v>237</v>
      </c>
      <c r="Q87" s="158"/>
    </row>
    <row r="88" spans="1:17" s="159" customFormat="1" ht="96" x14ac:dyDescent="0.35">
      <c r="A88" s="193" t="s">
        <v>318</v>
      </c>
      <c r="B88" s="194">
        <v>6.1580000000000004</v>
      </c>
      <c r="C88" s="194">
        <v>0</v>
      </c>
      <c r="D88" s="194">
        <v>0</v>
      </c>
      <c r="E88" s="194">
        <v>0</v>
      </c>
      <c r="F88" s="194">
        <v>0</v>
      </c>
      <c r="G88" s="196">
        <v>6.1580000000000004</v>
      </c>
      <c r="H88" s="146">
        <v>3.7</v>
      </c>
      <c r="I88" s="146">
        <v>0</v>
      </c>
      <c r="J88" s="146">
        <v>7.2999999999999995E-2</v>
      </c>
      <c r="K88" s="146">
        <v>0</v>
      </c>
      <c r="L88" s="146">
        <v>0</v>
      </c>
      <c r="M88" s="196">
        <v>3.7730000000000001</v>
      </c>
      <c r="N88" s="197">
        <v>-0.38730107177655082</v>
      </c>
      <c r="O88" s="145" t="s">
        <v>319</v>
      </c>
      <c r="P88" s="149" t="s">
        <v>320</v>
      </c>
      <c r="Q88" s="158"/>
    </row>
    <row r="89" spans="1:17" s="159" customFormat="1" ht="16" x14ac:dyDescent="0.35">
      <c r="A89" s="216" t="s">
        <v>321</v>
      </c>
      <c r="B89" s="267">
        <v>42.493000000000002</v>
      </c>
      <c r="C89" s="267">
        <v>10.914999999999999</v>
      </c>
      <c r="D89" s="267">
        <v>12.718999999999999</v>
      </c>
      <c r="E89" s="267">
        <v>0</v>
      </c>
      <c r="F89" s="267">
        <v>1.4999999999999999E-2</v>
      </c>
      <c r="G89" s="267">
        <v>66.141999999999996</v>
      </c>
      <c r="H89" s="267">
        <v>42.5</v>
      </c>
      <c r="I89" s="267">
        <v>4.0520000000000005</v>
      </c>
      <c r="J89" s="267">
        <v>12.136000000000001</v>
      </c>
      <c r="K89" s="267">
        <v>0</v>
      </c>
      <c r="L89" s="267">
        <v>0</v>
      </c>
      <c r="M89" s="267">
        <v>58.688000000000009</v>
      </c>
      <c r="N89" s="221">
        <v>-0.11269692479816133</v>
      </c>
      <c r="O89" s="267">
        <v>0</v>
      </c>
      <c r="P89" s="267">
        <v>0</v>
      </c>
      <c r="Q89" s="158"/>
    </row>
    <row r="90" spans="1:17" s="159" customFormat="1" ht="16" x14ac:dyDescent="0.35">
      <c r="A90" s="229"/>
      <c r="B90" s="230"/>
      <c r="C90" s="230"/>
      <c r="D90" s="230"/>
      <c r="E90" s="230"/>
      <c r="F90" s="230"/>
      <c r="G90" s="230"/>
      <c r="H90" s="230"/>
      <c r="I90" s="230"/>
      <c r="J90" s="230"/>
      <c r="K90" s="230"/>
      <c r="L90" s="230"/>
      <c r="M90" s="230"/>
      <c r="N90" s="231"/>
      <c r="O90" s="205"/>
      <c r="P90" s="205"/>
      <c r="Q90" s="158"/>
    </row>
    <row r="91" spans="1:17" s="159" customFormat="1" ht="16" x14ac:dyDescent="0.35">
      <c r="A91" s="176" t="s">
        <v>322</v>
      </c>
      <c r="B91" s="177"/>
      <c r="C91" s="177"/>
      <c r="D91" s="177"/>
      <c r="E91" s="177"/>
      <c r="F91" s="177"/>
      <c r="G91" s="177"/>
      <c r="H91" s="177"/>
      <c r="I91" s="177"/>
      <c r="J91" s="177"/>
      <c r="K91" s="177"/>
      <c r="L91" s="177"/>
      <c r="M91" s="177"/>
      <c r="N91" s="268"/>
      <c r="O91" s="179"/>
      <c r="P91" s="179"/>
      <c r="Q91" s="158"/>
    </row>
    <row r="92" spans="1:17" s="159" customFormat="1" ht="96" x14ac:dyDescent="0.35">
      <c r="A92" s="193" t="s">
        <v>322</v>
      </c>
      <c r="B92" s="194">
        <v>3.35</v>
      </c>
      <c r="C92" s="194">
        <v>6.8000000000000005E-2</v>
      </c>
      <c r="D92" s="194">
        <v>0.65500000000000003</v>
      </c>
      <c r="E92" s="194">
        <v>0</v>
      </c>
      <c r="F92" s="194">
        <v>0</v>
      </c>
      <c r="G92" s="196">
        <v>4.0730000000000004</v>
      </c>
      <c r="H92" s="146">
        <v>3.5249999999999999</v>
      </c>
      <c r="I92" s="146">
        <v>0</v>
      </c>
      <c r="J92" s="146">
        <v>0.58699999999999997</v>
      </c>
      <c r="K92" s="146">
        <v>0</v>
      </c>
      <c r="L92" s="146">
        <v>0</v>
      </c>
      <c r="M92" s="196">
        <v>4.1120000000000001</v>
      </c>
      <c r="N92" s="197">
        <v>9.5752516572550211E-3</v>
      </c>
      <c r="O92" s="145" t="s">
        <v>323</v>
      </c>
      <c r="P92" s="149" t="s">
        <v>237</v>
      </c>
      <c r="Q92" s="158"/>
    </row>
    <row r="93" spans="1:17" s="159" customFormat="1" ht="16" x14ac:dyDescent="0.35">
      <c r="A93" s="216" t="s">
        <v>324</v>
      </c>
      <c r="B93" s="226">
        <v>3.35</v>
      </c>
      <c r="C93" s="226">
        <v>6.8000000000000005E-2</v>
      </c>
      <c r="D93" s="226">
        <v>0.65500000000000003</v>
      </c>
      <c r="E93" s="226">
        <v>0</v>
      </c>
      <c r="F93" s="226">
        <v>0</v>
      </c>
      <c r="G93" s="226">
        <v>4.0730000000000004</v>
      </c>
      <c r="H93" s="226">
        <v>3.5249999999999999</v>
      </c>
      <c r="I93" s="226">
        <v>0</v>
      </c>
      <c r="J93" s="226">
        <v>0.58699999999999997</v>
      </c>
      <c r="K93" s="226">
        <v>0</v>
      </c>
      <c r="L93" s="226">
        <v>0</v>
      </c>
      <c r="M93" s="226">
        <v>4.1120000000000001</v>
      </c>
      <c r="N93" s="221">
        <v>9.5752516572550211E-3</v>
      </c>
      <c r="O93" s="222"/>
      <c r="P93" s="218"/>
      <c r="Q93" s="158"/>
    </row>
    <row r="94" spans="1:17" s="159" customFormat="1" ht="16" x14ac:dyDescent="0.35">
      <c r="A94" s="269"/>
      <c r="B94" s="270"/>
      <c r="C94" s="270"/>
      <c r="D94" s="270"/>
      <c r="E94" s="270"/>
      <c r="F94" s="270"/>
      <c r="G94" s="270"/>
      <c r="H94" s="270"/>
      <c r="I94" s="270"/>
      <c r="J94" s="270"/>
      <c r="K94" s="270"/>
      <c r="L94" s="270"/>
      <c r="M94" s="270"/>
      <c r="N94" s="271"/>
      <c r="O94" s="205"/>
      <c r="P94" s="205"/>
      <c r="Q94" s="158"/>
    </row>
    <row r="95" spans="1:17" s="159" customFormat="1" ht="16" x14ac:dyDescent="0.35">
      <c r="A95" s="206" t="s">
        <v>325</v>
      </c>
      <c r="B95" s="207"/>
      <c r="C95" s="207"/>
      <c r="D95" s="207"/>
      <c r="E95" s="207"/>
      <c r="F95" s="207"/>
      <c r="G95" s="207"/>
      <c r="H95" s="207"/>
      <c r="I95" s="207"/>
      <c r="J95" s="207"/>
      <c r="K95" s="207"/>
      <c r="L95" s="207"/>
      <c r="M95" s="207"/>
      <c r="N95" s="272"/>
      <c r="O95" s="179"/>
      <c r="P95" s="179"/>
      <c r="Q95" s="158"/>
    </row>
    <row r="96" spans="1:17" s="159" customFormat="1" ht="128" x14ac:dyDescent="0.35">
      <c r="A96" s="188" t="s">
        <v>326</v>
      </c>
      <c r="B96" s="189">
        <v>8.86</v>
      </c>
      <c r="C96" s="189">
        <v>0.64</v>
      </c>
      <c r="D96" s="189">
        <v>0</v>
      </c>
      <c r="E96" s="189">
        <v>0</v>
      </c>
      <c r="F96" s="189">
        <v>0</v>
      </c>
      <c r="G96" s="191">
        <v>9.5</v>
      </c>
      <c r="H96" s="146">
        <v>9.4529999999999994</v>
      </c>
      <c r="I96" s="146">
        <v>0.76</v>
      </c>
      <c r="J96" s="146">
        <v>0</v>
      </c>
      <c r="K96" s="146">
        <v>0</v>
      </c>
      <c r="L96" s="146">
        <v>0</v>
      </c>
      <c r="M96" s="191">
        <v>10.212999999999999</v>
      </c>
      <c r="N96" s="192">
        <v>7.5052631578947288E-2</v>
      </c>
      <c r="O96" s="145" t="s">
        <v>327</v>
      </c>
      <c r="P96" s="149" t="s">
        <v>328</v>
      </c>
      <c r="Q96" s="158"/>
    </row>
    <row r="97" spans="1:17" s="159" customFormat="1" ht="32" x14ac:dyDescent="0.35">
      <c r="A97" s="193" t="s">
        <v>329</v>
      </c>
      <c r="B97" s="194">
        <v>0</v>
      </c>
      <c r="C97" s="194">
        <v>0</v>
      </c>
      <c r="D97" s="194">
        <v>1.5</v>
      </c>
      <c r="E97" s="194">
        <v>0</v>
      </c>
      <c r="F97" s="194">
        <v>0</v>
      </c>
      <c r="G97" s="196">
        <v>1.5</v>
      </c>
      <c r="H97" s="146">
        <v>0</v>
      </c>
      <c r="I97" s="146">
        <v>0</v>
      </c>
      <c r="J97" s="146">
        <v>1.75</v>
      </c>
      <c r="K97" s="146">
        <v>0</v>
      </c>
      <c r="L97" s="146">
        <v>0</v>
      </c>
      <c r="M97" s="196">
        <v>1.75</v>
      </c>
      <c r="N97" s="197">
        <v>0.16666666666666666</v>
      </c>
      <c r="O97" s="145" t="s">
        <v>330</v>
      </c>
      <c r="P97" s="149" t="s">
        <v>331</v>
      </c>
      <c r="Q97" s="158"/>
    </row>
    <row r="98" spans="1:17" s="159" customFormat="1" ht="16" x14ac:dyDescent="0.35">
      <c r="A98" s="273" t="s">
        <v>332</v>
      </c>
      <c r="B98" s="274">
        <v>8.86</v>
      </c>
      <c r="C98" s="274">
        <v>0.64</v>
      </c>
      <c r="D98" s="274">
        <v>1.5</v>
      </c>
      <c r="E98" s="274">
        <v>0</v>
      </c>
      <c r="F98" s="274">
        <v>0</v>
      </c>
      <c r="G98" s="274">
        <v>11</v>
      </c>
      <c r="H98" s="274">
        <v>9.4529999999999994</v>
      </c>
      <c r="I98" s="274">
        <v>0.76</v>
      </c>
      <c r="J98" s="274">
        <v>1.75</v>
      </c>
      <c r="K98" s="274">
        <v>0</v>
      </c>
      <c r="L98" s="274">
        <v>0</v>
      </c>
      <c r="M98" s="274">
        <v>11.962999999999999</v>
      </c>
      <c r="N98" s="275">
        <v>8.7545454545454468E-2</v>
      </c>
      <c r="O98" s="276"/>
      <c r="P98" s="276"/>
      <c r="Q98" s="158"/>
    </row>
    <row r="99" spans="1:17" s="159" customFormat="1" ht="16" x14ac:dyDescent="0.35">
      <c r="A99" s="277"/>
      <c r="B99" s="278"/>
      <c r="C99" s="278"/>
      <c r="D99" s="278"/>
      <c r="E99" s="278"/>
      <c r="F99" s="278"/>
      <c r="G99" s="279"/>
      <c r="H99" s="278"/>
      <c r="I99" s="278"/>
      <c r="J99" s="278"/>
      <c r="K99" s="278"/>
      <c r="L99" s="278"/>
      <c r="M99" s="279"/>
      <c r="N99" s="280"/>
      <c r="O99" s="205"/>
      <c r="P99" s="205"/>
      <c r="Q99" s="158"/>
    </row>
    <row r="100" spans="1:17" s="159" customFormat="1" ht="16" x14ac:dyDescent="0.35">
      <c r="A100" s="176" t="s">
        <v>333</v>
      </c>
      <c r="B100" s="177"/>
      <c r="C100" s="177"/>
      <c r="D100" s="177"/>
      <c r="E100" s="177"/>
      <c r="F100" s="177"/>
      <c r="G100" s="177"/>
      <c r="H100" s="177"/>
      <c r="I100" s="177"/>
      <c r="J100" s="177"/>
      <c r="K100" s="177"/>
      <c r="L100" s="177"/>
      <c r="M100" s="177"/>
      <c r="N100" s="268"/>
      <c r="O100" s="179"/>
      <c r="P100" s="179"/>
      <c r="Q100" s="158"/>
    </row>
    <row r="101" spans="1:17" s="159" customFormat="1" ht="96" x14ac:dyDescent="0.35">
      <c r="A101" s="193" t="s">
        <v>333</v>
      </c>
      <c r="B101" s="194">
        <v>200.81800000000001</v>
      </c>
      <c r="C101" s="194">
        <v>0</v>
      </c>
      <c r="D101" s="194">
        <v>0</v>
      </c>
      <c r="E101" s="194">
        <v>0</v>
      </c>
      <c r="F101" s="194">
        <v>0</v>
      </c>
      <c r="G101" s="196">
        <v>200.81800000000001</v>
      </c>
      <c r="H101" s="146">
        <v>207.34100000000001</v>
      </c>
      <c r="I101" s="146">
        <v>0</v>
      </c>
      <c r="J101" s="146">
        <v>0</v>
      </c>
      <c r="K101" s="146">
        <v>0</v>
      </c>
      <c r="L101" s="146">
        <v>0.57099999999999995</v>
      </c>
      <c r="M101" s="196">
        <v>207.91200000000001</v>
      </c>
      <c r="N101" s="197">
        <v>3.5325518628808145E-2</v>
      </c>
      <c r="O101" s="145" t="s">
        <v>334</v>
      </c>
      <c r="P101" s="149" t="s">
        <v>237</v>
      </c>
      <c r="Q101" s="158"/>
    </row>
    <row r="102" spans="1:17" s="159" customFormat="1" ht="16" x14ac:dyDescent="0.35">
      <c r="A102" s="216" t="s">
        <v>335</v>
      </c>
      <c r="B102" s="226">
        <v>200.81800000000001</v>
      </c>
      <c r="C102" s="226">
        <v>0</v>
      </c>
      <c r="D102" s="226">
        <v>0</v>
      </c>
      <c r="E102" s="226">
        <v>0</v>
      </c>
      <c r="F102" s="226">
        <v>0</v>
      </c>
      <c r="G102" s="226">
        <v>200.81800000000001</v>
      </c>
      <c r="H102" s="226">
        <v>207.34100000000001</v>
      </c>
      <c r="I102" s="226">
        <v>0</v>
      </c>
      <c r="J102" s="226">
        <v>0</v>
      </c>
      <c r="K102" s="226">
        <v>0</v>
      </c>
      <c r="L102" s="226">
        <v>0.57099999999999995</v>
      </c>
      <c r="M102" s="226">
        <v>207.91200000000001</v>
      </c>
      <c r="N102" s="221">
        <v>3.5325518628808145E-2</v>
      </c>
      <c r="O102" s="222"/>
      <c r="P102" s="218"/>
      <c r="Q102" s="158"/>
    </row>
    <row r="103" spans="1:17" ht="16" x14ac:dyDescent="0.35">
      <c r="A103" s="281"/>
      <c r="B103" s="282"/>
      <c r="C103" s="282"/>
      <c r="D103" s="282"/>
      <c r="E103" s="282"/>
      <c r="F103" s="282"/>
      <c r="G103" s="282"/>
      <c r="H103" s="282"/>
      <c r="I103" s="282"/>
      <c r="J103" s="282"/>
      <c r="K103" s="282"/>
      <c r="L103" s="282"/>
      <c r="M103" s="282"/>
      <c r="N103" s="283"/>
      <c r="O103" s="284"/>
      <c r="P103" s="285"/>
    </row>
    <row r="104" spans="1:17" s="159" customFormat="1" ht="32" x14ac:dyDescent="0.35">
      <c r="A104" s="176" t="s">
        <v>336</v>
      </c>
      <c r="B104" s="177"/>
      <c r="C104" s="177"/>
      <c r="D104" s="177"/>
      <c r="E104" s="177"/>
      <c r="F104" s="177"/>
      <c r="G104" s="177"/>
      <c r="H104" s="177"/>
      <c r="I104" s="177"/>
      <c r="J104" s="177"/>
      <c r="K104" s="177"/>
      <c r="L104" s="177"/>
      <c r="M104" s="177"/>
      <c r="N104" s="268"/>
      <c r="O104" s="179"/>
      <c r="P104" s="179"/>
      <c r="Q104" s="158"/>
    </row>
    <row r="105" spans="1:17" s="159" customFormat="1" ht="16" x14ac:dyDescent="0.35">
      <c r="A105" s="193" t="s">
        <v>336</v>
      </c>
      <c r="B105" s="194">
        <v>0</v>
      </c>
      <c r="C105" s="194">
        <v>0</v>
      </c>
      <c r="D105" s="194">
        <v>0</v>
      </c>
      <c r="E105" s="194">
        <v>25</v>
      </c>
      <c r="F105" s="194">
        <v>0</v>
      </c>
      <c r="G105" s="196">
        <v>25</v>
      </c>
      <c r="H105" s="146">
        <v>0</v>
      </c>
      <c r="I105" s="146">
        <v>0</v>
      </c>
      <c r="J105" s="146">
        <v>0</v>
      </c>
      <c r="K105" s="146">
        <v>25</v>
      </c>
      <c r="L105" s="146">
        <v>0</v>
      </c>
      <c r="M105" s="196">
        <v>25</v>
      </c>
      <c r="N105" s="197">
        <v>0</v>
      </c>
      <c r="O105" s="145" t="s">
        <v>237</v>
      </c>
      <c r="P105" s="149" t="s">
        <v>237</v>
      </c>
      <c r="Q105" s="158"/>
    </row>
    <row r="106" spans="1:17" s="159" customFormat="1" ht="32" x14ac:dyDescent="0.35">
      <c r="A106" s="216" t="s">
        <v>337</v>
      </c>
      <c r="B106" s="226">
        <v>0</v>
      </c>
      <c r="C106" s="226">
        <v>0</v>
      </c>
      <c r="D106" s="226">
        <v>0</v>
      </c>
      <c r="E106" s="226">
        <v>25</v>
      </c>
      <c r="F106" s="226">
        <v>0</v>
      </c>
      <c r="G106" s="226">
        <v>25</v>
      </c>
      <c r="H106" s="226">
        <v>0</v>
      </c>
      <c r="I106" s="226">
        <v>0</v>
      </c>
      <c r="J106" s="226">
        <v>0</v>
      </c>
      <c r="K106" s="226">
        <v>25</v>
      </c>
      <c r="L106" s="226">
        <v>0</v>
      </c>
      <c r="M106" s="226">
        <v>25</v>
      </c>
      <c r="N106" s="221">
        <v>0</v>
      </c>
      <c r="O106" s="222"/>
      <c r="P106" s="218"/>
      <c r="Q106" s="158"/>
    </row>
    <row r="107" spans="1:17" ht="16" x14ac:dyDescent="0.35">
      <c r="A107" s="281"/>
      <c r="B107" s="282"/>
      <c r="C107" s="282"/>
      <c r="D107" s="282"/>
      <c r="E107" s="282"/>
      <c r="F107" s="282"/>
      <c r="G107" s="282"/>
      <c r="H107" s="282"/>
      <c r="I107" s="282"/>
      <c r="J107" s="282"/>
      <c r="K107" s="282"/>
      <c r="L107" s="282"/>
      <c r="M107" s="282"/>
      <c r="N107" s="283"/>
      <c r="O107" s="284"/>
      <c r="P107" s="285"/>
    </row>
    <row r="108" spans="1:17" ht="16" x14ac:dyDescent="0.35">
      <c r="A108" s="286" t="s">
        <v>338</v>
      </c>
      <c r="B108" s="287"/>
      <c r="C108" s="287"/>
      <c r="D108" s="287"/>
      <c r="E108" s="287"/>
      <c r="F108" s="287"/>
      <c r="G108" s="288"/>
      <c r="H108" s="287"/>
      <c r="I108" s="287"/>
      <c r="J108" s="287"/>
      <c r="K108" s="287"/>
      <c r="L108" s="287"/>
      <c r="M108" s="288"/>
      <c r="N108" s="283"/>
      <c r="O108" s="284"/>
      <c r="P108" s="285"/>
    </row>
    <row r="109" spans="1:17" ht="16" x14ac:dyDescent="0.35">
      <c r="A109" s="281"/>
      <c r="B109" s="282"/>
      <c r="C109" s="282"/>
      <c r="D109" s="282"/>
      <c r="E109" s="282"/>
      <c r="F109" s="282"/>
      <c r="G109" s="282"/>
      <c r="H109" s="282"/>
      <c r="I109" s="282"/>
      <c r="J109" s="282"/>
      <c r="K109" s="282"/>
      <c r="L109" s="282"/>
      <c r="M109" s="282"/>
      <c r="N109" s="283"/>
      <c r="O109" s="284"/>
      <c r="P109" s="285"/>
    </row>
    <row r="110" spans="1:17" ht="32" x14ac:dyDescent="0.35">
      <c r="A110" s="289" t="s">
        <v>339</v>
      </c>
      <c r="B110" s="290">
        <v>10596.762000000001</v>
      </c>
      <c r="C110" s="290">
        <v>22.850999999999999</v>
      </c>
      <c r="D110" s="290">
        <v>660.03599999999994</v>
      </c>
      <c r="E110" s="290">
        <v>0</v>
      </c>
      <c r="F110" s="290">
        <v>6584.3639999999996</v>
      </c>
      <c r="G110" s="290">
        <v>17864.013000000003</v>
      </c>
      <c r="H110" s="290">
        <v>10052.682999999999</v>
      </c>
      <c r="I110" s="290">
        <v>12.982000000000001</v>
      </c>
      <c r="J110" s="290">
        <v>771.173</v>
      </c>
      <c r="K110" s="290">
        <v>0</v>
      </c>
      <c r="L110" s="290">
        <v>6030.8899999999994</v>
      </c>
      <c r="M110" s="290">
        <v>16867.727999999999</v>
      </c>
      <c r="N110" s="221">
        <v>-5.5770503525719745E-2</v>
      </c>
    </row>
    <row r="111" spans="1:17" x14ac:dyDescent="0.35">
      <c r="A111"/>
    </row>
    <row r="112" spans="1:17" ht="16" x14ac:dyDescent="0.35">
      <c r="A112" s="291"/>
      <c r="B112" s="292"/>
      <c r="C112" s="292"/>
      <c r="D112" s="292"/>
      <c r="E112" s="292"/>
      <c r="F112" s="292"/>
      <c r="G112" s="292"/>
      <c r="H112" s="292"/>
      <c r="I112" s="292"/>
      <c r="J112" s="292"/>
      <c r="K112" s="292"/>
      <c r="L112" s="292"/>
      <c r="M112" s="292"/>
      <c r="N112" s="293"/>
      <c r="O112" s="292"/>
      <c r="P112" s="292"/>
    </row>
    <row r="113" spans="1:16" ht="32" x14ac:dyDescent="0.35">
      <c r="A113" s="289" t="s">
        <v>340</v>
      </c>
      <c r="B113" s="290"/>
      <c r="C113" s="290"/>
      <c r="D113" s="290"/>
      <c r="E113" s="290"/>
      <c r="F113" s="290"/>
      <c r="G113" s="290"/>
      <c r="H113" s="290"/>
      <c r="I113" s="290"/>
      <c r="J113" s="290"/>
      <c r="K113" s="290"/>
      <c r="L113" s="290"/>
      <c r="M113" s="290"/>
      <c r="N113" s="294"/>
      <c r="O113" s="292"/>
      <c r="P113" s="292"/>
    </row>
    <row r="114" spans="1:16" ht="16" x14ac:dyDescent="0.35">
      <c r="A114" s="295"/>
      <c r="B114" s="296"/>
      <c r="C114" s="296"/>
      <c r="D114" s="296"/>
      <c r="E114" s="296"/>
      <c r="F114" s="296"/>
      <c r="G114" s="296"/>
      <c r="H114" s="296"/>
      <c r="I114" s="296"/>
      <c r="J114" s="296"/>
      <c r="K114" s="296"/>
      <c r="L114" s="296"/>
      <c r="M114" s="296"/>
      <c r="N114" s="297"/>
      <c r="O114" s="292"/>
      <c r="P114" s="292"/>
    </row>
    <row r="115" spans="1:16" ht="48" x14ac:dyDescent="0.35">
      <c r="A115" s="298" t="s">
        <v>341</v>
      </c>
      <c r="B115" s="146">
        <v>0</v>
      </c>
      <c r="C115" s="146">
        <v>0</v>
      </c>
      <c r="D115" s="146">
        <v>5</v>
      </c>
      <c r="E115" s="146">
        <v>0</v>
      </c>
      <c r="F115" s="146">
        <v>0</v>
      </c>
      <c r="G115" s="300">
        <v>5</v>
      </c>
      <c r="H115" s="146">
        <v>0</v>
      </c>
      <c r="I115" s="146">
        <v>0</v>
      </c>
      <c r="J115" s="146">
        <v>7.6050000000000004</v>
      </c>
      <c r="K115" s="146">
        <v>0</v>
      </c>
      <c r="L115" s="146">
        <v>0</v>
      </c>
      <c r="M115" s="300">
        <f>J115</f>
        <v>7.6050000000000004</v>
      </c>
      <c r="N115" s="301">
        <f>IF(G115=0,"N/A",(M115-G115)/G115)</f>
        <v>0.52100000000000013</v>
      </c>
      <c r="O115" s="145" t="s">
        <v>342</v>
      </c>
      <c r="P115" s="149" t="s">
        <v>343</v>
      </c>
    </row>
    <row r="116" spans="1:16" ht="16" x14ac:dyDescent="0.35">
      <c r="A116" s="1008" t="s">
        <v>1907</v>
      </c>
      <c r="B116" s="441"/>
      <c r="C116" s="441"/>
      <c r="D116" s="441"/>
      <c r="E116" s="441"/>
      <c r="F116" s="441"/>
      <c r="G116" s="1009"/>
      <c r="H116" s="441"/>
      <c r="I116" s="441"/>
      <c r="J116" s="441">
        <v>40</v>
      </c>
      <c r="K116" s="441"/>
      <c r="L116" s="441"/>
      <c r="M116" s="1009">
        <v>40</v>
      </c>
      <c r="N116" s="1010"/>
      <c r="O116" s="458"/>
      <c r="P116" s="458"/>
    </row>
    <row r="117" spans="1:16" ht="16" x14ac:dyDescent="0.35">
      <c r="A117" s="302" t="s">
        <v>1574</v>
      </c>
      <c r="B117" s="303"/>
      <c r="C117" s="303"/>
      <c r="D117" s="303"/>
      <c r="E117" s="303"/>
      <c r="F117" s="303"/>
      <c r="G117" s="1009"/>
      <c r="H117" s="303"/>
      <c r="I117" s="303"/>
      <c r="J117" s="303">
        <v>20</v>
      </c>
      <c r="K117" s="303"/>
      <c r="L117" s="303"/>
      <c r="M117" s="1009">
        <v>20</v>
      </c>
      <c r="N117" s="304"/>
      <c r="O117" s="292"/>
      <c r="P117" s="292"/>
    </row>
    <row r="118" spans="1:16" ht="16" x14ac:dyDescent="0.35">
      <c r="A118" s="289" t="s">
        <v>344</v>
      </c>
      <c r="B118" s="290">
        <v>0</v>
      </c>
      <c r="C118" s="290">
        <v>0</v>
      </c>
      <c r="D118" s="290">
        <v>5</v>
      </c>
      <c r="E118" s="290">
        <v>0</v>
      </c>
      <c r="F118" s="290">
        <v>0</v>
      </c>
      <c r="G118" s="290">
        <v>5</v>
      </c>
      <c r="H118" s="290">
        <v>0</v>
      </c>
      <c r="I118" s="290">
        <v>0</v>
      </c>
      <c r="J118" s="290">
        <v>67.605000000000004</v>
      </c>
      <c r="K118" s="290">
        <v>0</v>
      </c>
      <c r="L118" s="290">
        <v>0</v>
      </c>
      <c r="M118" s="290">
        <v>67.605000000000004</v>
      </c>
      <c r="N118" s="294">
        <v>0.52</v>
      </c>
      <c r="O118" s="292"/>
      <c r="P118" s="292"/>
    </row>
    <row r="119" spans="1:16" x14ac:dyDescent="0.35">
      <c r="A119"/>
    </row>
    <row r="120" spans="1:16" x14ac:dyDescent="0.35">
      <c r="A120"/>
    </row>
    <row r="121" spans="1:16" x14ac:dyDescent="0.35">
      <c r="A121"/>
    </row>
    <row r="122" spans="1:16" x14ac:dyDescent="0.35">
      <c r="A122"/>
    </row>
    <row r="123" spans="1:16" x14ac:dyDescent="0.35">
      <c r="A123"/>
    </row>
    <row r="124" spans="1:16" x14ac:dyDescent="0.35">
      <c r="A124"/>
    </row>
    <row r="125" spans="1:16" x14ac:dyDescent="0.35">
      <c r="A125"/>
    </row>
    <row r="126" spans="1:16" x14ac:dyDescent="0.35">
      <c r="A126"/>
    </row>
    <row r="127" spans="1:16" x14ac:dyDescent="0.35">
      <c r="A127"/>
    </row>
    <row r="128" spans="1:16" x14ac:dyDescent="0.35">
      <c r="A128"/>
    </row>
    <row r="129" spans="1:16" x14ac:dyDescent="0.35">
      <c r="A129"/>
    </row>
    <row r="130" spans="1:16" x14ac:dyDescent="0.35">
      <c r="A130"/>
    </row>
    <row r="131" spans="1:16" x14ac:dyDescent="0.35">
      <c r="A131"/>
    </row>
    <row r="132" spans="1:16" x14ac:dyDescent="0.35">
      <c r="A132"/>
    </row>
    <row r="133" spans="1:16" x14ac:dyDescent="0.35">
      <c r="A133"/>
    </row>
    <row r="134" spans="1:16" x14ac:dyDescent="0.35">
      <c r="A134"/>
    </row>
    <row r="135" spans="1:16" x14ac:dyDescent="0.35">
      <c r="A135"/>
    </row>
    <row r="136" spans="1:16" x14ac:dyDescent="0.35">
      <c r="A136"/>
    </row>
    <row r="137" spans="1:16" x14ac:dyDescent="0.35">
      <c r="A137"/>
    </row>
    <row r="138" spans="1:16" x14ac:dyDescent="0.35">
      <c r="A138"/>
    </row>
    <row r="139" spans="1:16" x14ac:dyDescent="0.35">
      <c r="A139"/>
    </row>
    <row r="140" spans="1:16" x14ac:dyDescent="0.35">
      <c r="A140"/>
    </row>
    <row r="141" spans="1:16" x14ac:dyDescent="0.35">
      <c r="A141"/>
    </row>
    <row r="142" spans="1:16" x14ac:dyDescent="0.35">
      <c r="A142"/>
    </row>
    <row r="143" spans="1:16" x14ac:dyDescent="0.35">
      <c r="A143"/>
    </row>
    <row r="144" spans="1:16" s="126" customFormat="1" x14ac:dyDescent="0.35">
      <c r="A144"/>
      <c r="B144"/>
      <c r="C144"/>
      <c r="D144"/>
      <c r="E144"/>
      <c r="F144"/>
      <c r="G144"/>
      <c r="H144"/>
      <c r="I144"/>
      <c r="J144"/>
      <c r="K144"/>
      <c r="L144"/>
      <c r="M144"/>
      <c r="N144"/>
      <c r="O144"/>
      <c r="P144"/>
    </row>
    <row r="145" spans="1:16" s="126" customFormat="1" ht="15" x14ac:dyDescent="0.35">
      <c r="A145" s="281"/>
      <c r="B145" s="283"/>
      <c r="C145" s="283"/>
      <c r="D145" s="283"/>
      <c r="E145" s="283"/>
      <c r="F145" s="283"/>
      <c r="G145" s="283"/>
      <c r="H145" s="283"/>
      <c r="I145" s="283"/>
      <c r="J145" s="283"/>
      <c r="K145" s="283"/>
      <c r="L145" s="283"/>
      <c r="M145" s="283"/>
      <c r="N145" s="283"/>
      <c r="O145" s="283"/>
      <c r="P145" s="283"/>
    </row>
    <row r="161" spans="2:17" s="1" customFormat="1" x14ac:dyDescent="0.35">
      <c r="B161"/>
      <c r="C161"/>
      <c r="D161"/>
      <c r="E161"/>
      <c r="F161"/>
      <c r="G161"/>
      <c r="H161"/>
      <c r="I161"/>
      <c r="J161"/>
      <c r="K161"/>
      <c r="L161"/>
      <c r="M161"/>
      <c r="N161"/>
      <c r="O161"/>
      <c r="P161"/>
      <c r="Q161" s="305"/>
    </row>
    <row r="162" spans="2:17" s="1" customFormat="1" x14ac:dyDescent="0.35">
      <c r="B162"/>
      <c r="C162"/>
      <c r="D162"/>
      <c r="E162"/>
      <c r="F162"/>
      <c r="G162"/>
      <c r="H162"/>
      <c r="I162"/>
      <c r="J162"/>
      <c r="K162"/>
      <c r="L162"/>
      <c r="M162"/>
      <c r="N162"/>
      <c r="O162"/>
      <c r="P162"/>
      <c r="Q162" s="305"/>
    </row>
    <row r="163" spans="2:17" s="1" customFormat="1" x14ac:dyDescent="0.35">
      <c r="B163"/>
      <c r="C163"/>
      <c r="D163"/>
      <c r="E163"/>
      <c r="F163"/>
      <c r="G163"/>
      <c r="H163"/>
      <c r="I163"/>
      <c r="J163"/>
      <c r="K163"/>
      <c r="L163"/>
      <c r="M163"/>
      <c r="N163"/>
      <c r="O163"/>
      <c r="P163"/>
      <c r="Q163" s="305"/>
    </row>
    <row r="164" spans="2:17" s="1" customFormat="1" x14ac:dyDescent="0.35">
      <c r="B164"/>
      <c r="C164"/>
      <c r="D164"/>
      <c r="E164"/>
      <c r="F164"/>
      <c r="G164"/>
      <c r="H164"/>
      <c r="I164"/>
      <c r="J164"/>
      <c r="K164"/>
      <c r="L164"/>
      <c r="M164"/>
      <c r="N164"/>
      <c r="O164"/>
      <c r="P164"/>
      <c r="Q164" s="305"/>
    </row>
    <row r="165" spans="2:17" s="1" customFormat="1" x14ac:dyDescent="0.35">
      <c r="B165"/>
      <c r="C165"/>
      <c r="D165"/>
      <c r="E165"/>
      <c r="F165"/>
      <c r="G165"/>
      <c r="H165"/>
      <c r="I165"/>
      <c r="J165"/>
      <c r="K165"/>
      <c r="L165"/>
      <c r="M165"/>
      <c r="N165"/>
      <c r="O165"/>
      <c r="P165"/>
      <c r="Q165" s="305"/>
    </row>
    <row r="166" spans="2:17" s="1" customFormat="1" x14ac:dyDescent="0.35">
      <c r="B166"/>
      <c r="C166"/>
      <c r="D166"/>
      <c r="E166"/>
      <c r="F166"/>
      <c r="G166"/>
      <c r="H166"/>
      <c r="I166"/>
      <c r="J166"/>
      <c r="K166"/>
      <c r="L166"/>
      <c r="M166"/>
      <c r="N166"/>
      <c r="O166"/>
      <c r="P166"/>
      <c r="Q166" s="305"/>
    </row>
    <row r="167" spans="2:17" s="1" customFormat="1" x14ac:dyDescent="0.35">
      <c r="B167"/>
      <c r="C167"/>
      <c r="D167"/>
      <c r="E167"/>
      <c r="F167"/>
      <c r="G167"/>
      <c r="H167"/>
      <c r="I167"/>
      <c r="J167"/>
      <c r="K167"/>
      <c r="L167"/>
      <c r="M167"/>
      <c r="N167"/>
      <c r="O167"/>
      <c r="P167"/>
      <c r="Q167" s="305"/>
    </row>
    <row r="168" spans="2:17" s="1" customFormat="1" x14ac:dyDescent="0.35">
      <c r="B168"/>
      <c r="C168"/>
      <c r="D168"/>
      <c r="E168"/>
      <c r="F168"/>
      <c r="G168"/>
      <c r="H168"/>
      <c r="I168"/>
      <c r="J168"/>
      <c r="K168"/>
      <c r="L168"/>
      <c r="M168"/>
      <c r="N168"/>
      <c r="O168"/>
      <c r="P168"/>
      <c r="Q168" s="305"/>
    </row>
    <row r="169" spans="2:17" s="1" customFormat="1" x14ac:dyDescent="0.35">
      <c r="B169"/>
      <c r="C169"/>
      <c r="D169"/>
      <c r="E169"/>
      <c r="F169"/>
      <c r="G169"/>
      <c r="H169"/>
      <c r="I169"/>
      <c r="J169"/>
      <c r="K169"/>
      <c r="L169"/>
      <c r="M169"/>
      <c r="N169"/>
      <c r="O169"/>
      <c r="P169"/>
      <c r="Q169" s="305"/>
    </row>
    <row r="170" spans="2:17" s="1" customFormat="1" x14ac:dyDescent="0.35">
      <c r="B170"/>
      <c r="C170"/>
      <c r="D170"/>
      <c r="E170"/>
      <c r="F170"/>
      <c r="G170"/>
      <c r="H170"/>
      <c r="I170"/>
      <c r="J170"/>
      <c r="K170"/>
      <c r="L170"/>
      <c r="M170"/>
      <c r="N170"/>
      <c r="O170"/>
      <c r="P170"/>
      <c r="Q170" s="305"/>
    </row>
    <row r="171" spans="2:17" s="1" customFormat="1" x14ac:dyDescent="0.35">
      <c r="B171"/>
      <c r="C171"/>
      <c r="D171"/>
      <c r="E171"/>
      <c r="F171"/>
      <c r="G171"/>
      <c r="H171"/>
      <c r="I171"/>
      <c r="J171"/>
      <c r="K171"/>
      <c r="L171"/>
      <c r="M171"/>
      <c r="N171"/>
      <c r="O171"/>
      <c r="P171"/>
      <c r="Q171" s="305"/>
    </row>
    <row r="172" spans="2:17" s="1" customFormat="1" x14ac:dyDescent="0.35">
      <c r="B172"/>
      <c r="C172"/>
      <c r="D172"/>
      <c r="E172"/>
      <c r="F172"/>
      <c r="G172"/>
      <c r="H172"/>
      <c r="I172"/>
      <c r="J172"/>
      <c r="K172"/>
      <c r="L172"/>
      <c r="M172"/>
      <c r="N172"/>
      <c r="O172"/>
      <c r="P172"/>
      <c r="Q172" s="305"/>
    </row>
    <row r="173" spans="2:17" s="1" customFormat="1" x14ac:dyDescent="0.35">
      <c r="B173"/>
      <c r="C173"/>
      <c r="D173"/>
      <c r="E173"/>
      <c r="F173"/>
      <c r="G173"/>
      <c r="H173"/>
      <c r="I173"/>
      <c r="J173"/>
      <c r="K173"/>
      <c r="L173"/>
      <c r="M173"/>
      <c r="N173"/>
      <c r="O173"/>
      <c r="P173"/>
      <c r="Q173" s="305"/>
    </row>
    <row r="174" spans="2:17" s="1" customFormat="1" x14ac:dyDescent="0.35">
      <c r="B174"/>
      <c r="C174"/>
      <c r="D174"/>
      <c r="E174"/>
      <c r="F174"/>
      <c r="G174"/>
      <c r="H174"/>
      <c r="I174"/>
      <c r="J174"/>
      <c r="K174"/>
      <c r="L174"/>
      <c r="M174"/>
      <c r="N174"/>
      <c r="O174"/>
      <c r="P174"/>
      <c r="Q174" s="305"/>
    </row>
    <row r="175" spans="2:17" s="1" customFormat="1" x14ac:dyDescent="0.35">
      <c r="B175"/>
      <c r="C175"/>
      <c r="D175"/>
      <c r="E175"/>
      <c r="F175"/>
      <c r="G175"/>
      <c r="H175"/>
      <c r="I175"/>
      <c r="J175"/>
      <c r="K175"/>
      <c r="L175"/>
      <c r="M175"/>
      <c r="N175"/>
      <c r="O175"/>
      <c r="P175"/>
      <c r="Q175" s="305"/>
    </row>
    <row r="176" spans="2:17" s="1" customFormat="1" x14ac:dyDescent="0.35">
      <c r="B176"/>
      <c r="C176"/>
      <c r="D176"/>
      <c r="E176"/>
      <c r="F176"/>
      <c r="G176"/>
      <c r="H176"/>
      <c r="I176"/>
      <c r="J176"/>
      <c r="K176"/>
      <c r="L176"/>
      <c r="M176"/>
      <c r="N176"/>
      <c r="O176"/>
      <c r="P176"/>
      <c r="Q176" s="305"/>
    </row>
    <row r="177" spans="2:17" s="1" customFormat="1" x14ac:dyDescent="0.35">
      <c r="B177"/>
      <c r="C177"/>
      <c r="D177"/>
      <c r="E177"/>
      <c r="F177"/>
      <c r="G177"/>
      <c r="H177"/>
      <c r="I177"/>
      <c r="J177"/>
      <c r="K177"/>
      <c r="L177"/>
      <c r="M177"/>
      <c r="N177"/>
      <c r="O177"/>
      <c r="P177"/>
      <c r="Q177" s="305"/>
    </row>
    <row r="178" spans="2:17" s="1" customFormat="1" x14ac:dyDescent="0.35">
      <c r="B178"/>
      <c r="C178"/>
      <c r="D178"/>
      <c r="E178"/>
      <c r="F178"/>
      <c r="G178"/>
      <c r="H178"/>
      <c r="I178"/>
      <c r="J178"/>
      <c r="K178"/>
      <c r="L178"/>
      <c r="M178"/>
      <c r="N178"/>
      <c r="O178"/>
      <c r="P178"/>
      <c r="Q178" s="305"/>
    </row>
    <row r="179" spans="2:17" s="1" customFormat="1" x14ac:dyDescent="0.35">
      <c r="B179"/>
      <c r="C179"/>
      <c r="D179"/>
      <c r="E179"/>
      <c r="F179"/>
      <c r="G179"/>
      <c r="H179"/>
      <c r="I179"/>
      <c r="J179"/>
      <c r="K179"/>
      <c r="L179"/>
      <c r="M179"/>
      <c r="N179"/>
      <c r="O179"/>
      <c r="P179"/>
      <c r="Q179" s="305"/>
    </row>
    <row r="180" spans="2:17" s="1" customFormat="1" x14ac:dyDescent="0.35">
      <c r="B180"/>
      <c r="C180"/>
      <c r="D180"/>
      <c r="E180"/>
      <c r="F180"/>
      <c r="G180"/>
      <c r="H180"/>
      <c r="I180"/>
      <c r="J180"/>
      <c r="K180"/>
      <c r="L180"/>
      <c r="M180"/>
      <c r="N180"/>
      <c r="O180"/>
      <c r="P180"/>
      <c r="Q180" s="305"/>
    </row>
    <row r="181" spans="2:17" s="1" customFormat="1" x14ac:dyDescent="0.35">
      <c r="B181"/>
      <c r="C181"/>
      <c r="D181"/>
      <c r="E181"/>
      <c r="F181"/>
      <c r="G181"/>
      <c r="H181"/>
      <c r="I181"/>
      <c r="J181"/>
      <c r="K181"/>
      <c r="L181"/>
      <c r="M181"/>
      <c r="N181"/>
      <c r="O181"/>
      <c r="P181"/>
      <c r="Q181" s="305"/>
    </row>
    <row r="182" spans="2:17" s="1" customFormat="1" x14ac:dyDescent="0.35">
      <c r="B182"/>
      <c r="C182"/>
      <c r="D182"/>
      <c r="E182"/>
      <c r="F182"/>
      <c r="G182"/>
      <c r="H182"/>
      <c r="I182"/>
      <c r="J182"/>
      <c r="K182"/>
      <c r="L182"/>
      <c r="M182"/>
      <c r="N182"/>
      <c r="O182"/>
      <c r="P182"/>
      <c r="Q182" s="305"/>
    </row>
    <row r="183" spans="2:17" s="1" customFormat="1" x14ac:dyDescent="0.35">
      <c r="B183"/>
      <c r="C183"/>
      <c r="D183"/>
      <c r="E183"/>
      <c r="F183"/>
      <c r="G183"/>
      <c r="H183"/>
      <c r="I183"/>
      <c r="J183"/>
      <c r="K183"/>
      <c r="L183"/>
      <c r="M183"/>
      <c r="N183"/>
      <c r="O183"/>
      <c r="P183"/>
      <c r="Q183" s="305"/>
    </row>
    <row r="184" spans="2:17" s="1" customFormat="1" x14ac:dyDescent="0.35">
      <c r="B184"/>
      <c r="C184"/>
      <c r="D184"/>
      <c r="E184"/>
      <c r="F184"/>
      <c r="G184"/>
      <c r="H184"/>
      <c r="I184"/>
      <c r="J184"/>
      <c r="K184"/>
      <c r="L184"/>
      <c r="M184"/>
      <c r="N184"/>
      <c r="O184"/>
      <c r="P184"/>
      <c r="Q184" s="305"/>
    </row>
    <row r="185" spans="2:17" s="1" customFormat="1" x14ac:dyDescent="0.35">
      <c r="B185"/>
      <c r="C185"/>
      <c r="D185"/>
      <c r="E185"/>
      <c r="F185"/>
      <c r="G185"/>
      <c r="H185"/>
      <c r="I185"/>
      <c r="J185"/>
      <c r="K185"/>
      <c r="L185"/>
      <c r="M185"/>
      <c r="N185"/>
      <c r="O185"/>
      <c r="P185"/>
      <c r="Q185" s="305"/>
    </row>
    <row r="186" spans="2:17" s="1" customFormat="1" x14ac:dyDescent="0.35">
      <c r="B186"/>
      <c r="C186"/>
      <c r="D186"/>
      <c r="E186"/>
      <c r="F186"/>
      <c r="G186"/>
      <c r="H186"/>
      <c r="I186"/>
      <c r="J186"/>
      <c r="K186"/>
      <c r="L186"/>
      <c r="M186"/>
      <c r="N186"/>
      <c r="O186"/>
      <c r="P186"/>
      <c r="Q186" s="305"/>
    </row>
    <row r="187" spans="2:17" s="1" customFormat="1" x14ac:dyDescent="0.35">
      <c r="B187"/>
      <c r="C187"/>
      <c r="D187"/>
      <c r="E187"/>
      <c r="F187"/>
      <c r="G187"/>
      <c r="H187"/>
      <c r="I187"/>
      <c r="J187"/>
      <c r="K187"/>
      <c r="L187"/>
      <c r="M187"/>
      <c r="N187"/>
      <c r="O187"/>
      <c r="P187"/>
      <c r="Q187" s="305"/>
    </row>
    <row r="188" spans="2:17" s="1" customFormat="1" x14ac:dyDescent="0.35">
      <c r="B188"/>
      <c r="C188"/>
      <c r="D188"/>
      <c r="E188"/>
      <c r="F188"/>
      <c r="G188"/>
      <c r="H188"/>
      <c r="I188"/>
      <c r="J188"/>
      <c r="K188"/>
      <c r="L188"/>
      <c r="M188"/>
      <c r="N188"/>
      <c r="O188"/>
      <c r="P188"/>
      <c r="Q188" s="305"/>
    </row>
    <row r="189" spans="2:17" s="1" customFormat="1" x14ac:dyDescent="0.35">
      <c r="B189"/>
      <c r="C189"/>
      <c r="D189"/>
      <c r="E189"/>
      <c r="F189"/>
      <c r="G189"/>
      <c r="H189"/>
      <c r="I189"/>
      <c r="J189"/>
      <c r="K189"/>
      <c r="L189"/>
      <c r="M189"/>
      <c r="N189"/>
      <c r="O189"/>
      <c r="P189"/>
      <c r="Q189" s="305"/>
    </row>
    <row r="190" spans="2:17" s="1" customFormat="1" x14ac:dyDescent="0.35">
      <c r="B190"/>
      <c r="C190"/>
      <c r="D190"/>
      <c r="E190"/>
      <c r="F190"/>
      <c r="G190"/>
      <c r="H190"/>
      <c r="I190"/>
      <c r="J190"/>
      <c r="K190"/>
      <c r="L190"/>
      <c r="M190"/>
      <c r="N190"/>
      <c r="O190"/>
      <c r="P190"/>
      <c r="Q190" s="305"/>
    </row>
    <row r="191" spans="2:17" s="1" customFormat="1" x14ac:dyDescent="0.35">
      <c r="B191"/>
      <c r="C191"/>
      <c r="D191"/>
      <c r="E191"/>
      <c r="F191"/>
      <c r="G191"/>
      <c r="H191"/>
      <c r="I191"/>
      <c r="J191"/>
      <c r="K191"/>
      <c r="L191"/>
      <c r="M191"/>
      <c r="N191"/>
      <c r="O191"/>
      <c r="P191"/>
      <c r="Q191" s="305"/>
    </row>
    <row r="192" spans="2:17" s="1" customFormat="1" x14ac:dyDescent="0.35">
      <c r="B192"/>
      <c r="C192"/>
      <c r="D192"/>
      <c r="E192"/>
      <c r="F192"/>
      <c r="G192"/>
      <c r="H192"/>
      <c r="I192"/>
      <c r="J192"/>
      <c r="K192"/>
      <c r="L192"/>
      <c r="M192"/>
      <c r="N192"/>
      <c r="O192"/>
      <c r="P192"/>
      <c r="Q192" s="305"/>
    </row>
    <row r="193" spans="2:17" s="1" customFormat="1" x14ac:dyDescent="0.35">
      <c r="B193"/>
      <c r="C193"/>
      <c r="D193"/>
      <c r="E193"/>
      <c r="F193"/>
      <c r="G193"/>
      <c r="H193"/>
      <c r="I193"/>
      <c r="J193"/>
      <c r="K193"/>
      <c r="L193"/>
      <c r="M193"/>
      <c r="N193"/>
      <c r="O193"/>
      <c r="P193"/>
      <c r="Q193" s="305"/>
    </row>
    <row r="194" spans="2:17" s="1" customFormat="1" x14ac:dyDescent="0.35">
      <c r="B194"/>
      <c r="C194"/>
      <c r="D194"/>
      <c r="E194"/>
      <c r="F194"/>
      <c r="G194"/>
      <c r="H194"/>
      <c r="I194"/>
      <c r="J194"/>
      <c r="K194"/>
      <c r="L194"/>
      <c r="M194"/>
      <c r="N194"/>
      <c r="O194"/>
      <c r="P194"/>
      <c r="Q194" s="305"/>
    </row>
    <row r="195" spans="2:17" s="1" customFormat="1" x14ac:dyDescent="0.35">
      <c r="B195"/>
      <c r="C195"/>
      <c r="D195"/>
      <c r="E195"/>
      <c r="F195"/>
      <c r="G195"/>
      <c r="H195"/>
      <c r="I195"/>
      <c r="J195"/>
      <c r="K195"/>
      <c r="L195"/>
      <c r="M195"/>
      <c r="N195"/>
      <c r="O195"/>
      <c r="P195"/>
      <c r="Q195" s="305"/>
    </row>
    <row r="196" spans="2:17" s="1" customFormat="1" x14ac:dyDescent="0.35">
      <c r="B196"/>
      <c r="C196"/>
      <c r="D196"/>
      <c r="E196"/>
      <c r="F196"/>
      <c r="G196"/>
      <c r="H196"/>
      <c r="I196"/>
      <c r="J196"/>
      <c r="K196"/>
      <c r="L196"/>
      <c r="M196"/>
      <c r="N196"/>
      <c r="O196"/>
      <c r="P196"/>
      <c r="Q196" s="305"/>
    </row>
    <row r="197" spans="2:17" s="1" customFormat="1" x14ac:dyDescent="0.35">
      <c r="B197"/>
      <c r="C197"/>
      <c r="D197"/>
      <c r="E197"/>
      <c r="F197"/>
      <c r="G197"/>
      <c r="H197"/>
      <c r="I197"/>
      <c r="J197"/>
      <c r="K197"/>
      <c r="L197"/>
      <c r="M197"/>
      <c r="N197"/>
      <c r="O197"/>
      <c r="P197"/>
      <c r="Q197" s="305"/>
    </row>
    <row r="198" spans="2:17" s="1" customFormat="1" x14ac:dyDescent="0.35">
      <c r="B198"/>
      <c r="C198"/>
      <c r="D198"/>
      <c r="E198"/>
      <c r="F198"/>
      <c r="G198"/>
      <c r="H198"/>
      <c r="I198"/>
      <c r="J198"/>
      <c r="K198"/>
      <c r="L198"/>
      <c r="M198"/>
      <c r="N198"/>
      <c r="O198"/>
      <c r="P198"/>
      <c r="Q198" s="305"/>
    </row>
    <row r="199" spans="2:17" s="1" customFormat="1" x14ac:dyDescent="0.35">
      <c r="B199"/>
      <c r="C199"/>
      <c r="D199"/>
      <c r="E199"/>
      <c r="F199"/>
      <c r="G199"/>
      <c r="H199"/>
      <c r="I199"/>
      <c r="J199"/>
      <c r="K199"/>
      <c r="L199"/>
      <c r="M199"/>
      <c r="N199"/>
      <c r="O199"/>
      <c r="P199"/>
      <c r="Q199" s="305"/>
    </row>
    <row r="200" spans="2:17" s="1" customFormat="1" x14ac:dyDescent="0.35">
      <c r="B200"/>
      <c r="C200"/>
      <c r="D200"/>
      <c r="E200"/>
      <c r="F200"/>
      <c r="G200"/>
      <c r="H200"/>
      <c r="I200"/>
      <c r="J200"/>
      <c r="K200"/>
      <c r="L200"/>
      <c r="M200"/>
      <c r="N200"/>
      <c r="O200"/>
      <c r="P200"/>
      <c r="Q200" s="305"/>
    </row>
    <row r="201" spans="2:17" s="1" customFormat="1" x14ac:dyDescent="0.35">
      <c r="B201"/>
      <c r="C201"/>
      <c r="D201"/>
      <c r="E201"/>
      <c r="F201"/>
      <c r="G201"/>
      <c r="H201"/>
      <c r="I201"/>
      <c r="J201"/>
      <c r="K201"/>
      <c r="L201"/>
      <c r="M201"/>
      <c r="N201"/>
      <c r="O201"/>
      <c r="P201"/>
      <c r="Q201" s="305"/>
    </row>
    <row r="202" spans="2:17" s="1" customFormat="1" x14ac:dyDescent="0.35">
      <c r="B202"/>
      <c r="C202"/>
      <c r="D202"/>
      <c r="E202"/>
      <c r="F202"/>
      <c r="G202"/>
      <c r="H202"/>
      <c r="I202"/>
      <c r="J202"/>
      <c r="K202"/>
      <c r="L202"/>
      <c r="M202"/>
      <c r="N202"/>
      <c r="O202"/>
      <c r="P202"/>
      <c r="Q202" s="305"/>
    </row>
    <row r="203" spans="2:17" s="1" customFormat="1" x14ac:dyDescent="0.35">
      <c r="B203"/>
      <c r="C203"/>
      <c r="D203"/>
      <c r="E203"/>
      <c r="F203"/>
      <c r="G203"/>
      <c r="H203"/>
      <c r="I203"/>
      <c r="J203"/>
      <c r="K203"/>
      <c r="L203"/>
      <c r="M203"/>
      <c r="N203"/>
      <c r="O203"/>
      <c r="P203"/>
      <c r="Q203" s="305"/>
    </row>
    <row r="204" spans="2:17" s="1" customFormat="1" x14ac:dyDescent="0.35">
      <c r="B204"/>
      <c r="C204"/>
      <c r="D204"/>
      <c r="E204"/>
      <c r="F204"/>
      <c r="G204"/>
      <c r="H204"/>
      <c r="I204"/>
      <c r="J204"/>
      <c r="K204"/>
      <c r="L204"/>
      <c r="M204"/>
      <c r="N204"/>
      <c r="O204"/>
      <c r="P204"/>
      <c r="Q204" s="305"/>
    </row>
    <row r="205" spans="2:17" s="1" customFormat="1" x14ac:dyDescent="0.35">
      <c r="B205"/>
      <c r="C205"/>
      <c r="D205"/>
      <c r="E205"/>
      <c r="F205"/>
      <c r="G205"/>
      <c r="H205"/>
      <c r="I205"/>
      <c r="J205"/>
      <c r="K205"/>
      <c r="L205"/>
      <c r="M205"/>
      <c r="N205"/>
      <c r="O205"/>
      <c r="P205"/>
      <c r="Q205" s="305"/>
    </row>
    <row r="206" spans="2:17" s="1" customFormat="1" x14ac:dyDescent="0.35">
      <c r="B206"/>
      <c r="C206"/>
      <c r="D206"/>
      <c r="E206"/>
      <c r="F206"/>
      <c r="G206"/>
      <c r="H206"/>
      <c r="I206"/>
      <c r="J206"/>
      <c r="K206"/>
      <c r="L206"/>
      <c r="M206"/>
      <c r="N206"/>
      <c r="O206"/>
      <c r="P206"/>
      <c r="Q206" s="305"/>
    </row>
    <row r="207" spans="2:17" s="1" customFormat="1" x14ac:dyDescent="0.35">
      <c r="B207"/>
      <c r="C207"/>
      <c r="D207"/>
      <c r="E207"/>
      <c r="F207"/>
      <c r="G207"/>
      <c r="H207"/>
      <c r="I207"/>
      <c r="J207"/>
      <c r="K207"/>
      <c r="L207"/>
      <c r="M207"/>
      <c r="N207"/>
      <c r="O207"/>
      <c r="P207"/>
      <c r="Q207" s="305"/>
    </row>
    <row r="208" spans="2:17" s="1" customFormat="1" x14ac:dyDescent="0.35">
      <c r="B208"/>
      <c r="C208"/>
      <c r="D208"/>
      <c r="E208"/>
      <c r="F208"/>
      <c r="G208"/>
      <c r="H208"/>
      <c r="I208"/>
      <c r="J208"/>
      <c r="K208"/>
      <c r="L208"/>
      <c r="M208"/>
      <c r="N208"/>
      <c r="O208"/>
      <c r="P208"/>
      <c r="Q208" s="305"/>
    </row>
    <row r="209" spans="2:17" s="1" customFormat="1" x14ac:dyDescent="0.35">
      <c r="B209"/>
      <c r="C209"/>
      <c r="D209"/>
      <c r="E209"/>
      <c r="F209"/>
      <c r="G209"/>
      <c r="H209"/>
      <c r="I209"/>
      <c r="J209"/>
      <c r="K209"/>
      <c r="L209"/>
      <c r="M209"/>
      <c r="N209"/>
      <c r="O209"/>
      <c r="P209"/>
      <c r="Q209" s="305"/>
    </row>
    <row r="210" spans="2:17" s="1" customFormat="1" x14ac:dyDescent="0.35">
      <c r="B210"/>
      <c r="C210"/>
      <c r="D210"/>
      <c r="E210"/>
      <c r="F210"/>
      <c r="G210"/>
      <c r="H210"/>
      <c r="I210"/>
      <c r="J210"/>
      <c r="K210"/>
      <c r="L210"/>
      <c r="M210"/>
      <c r="N210"/>
      <c r="O210"/>
      <c r="P210"/>
      <c r="Q210" s="305"/>
    </row>
    <row r="211" spans="2:17" s="1" customFormat="1" x14ac:dyDescent="0.35">
      <c r="B211"/>
      <c r="C211"/>
      <c r="D211"/>
      <c r="E211"/>
      <c r="F211"/>
      <c r="G211"/>
      <c r="H211"/>
      <c r="I211"/>
      <c r="J211"/>
      <c r="K211"/>
      <c r="L211"/>
      <c r="M211"/>
      <c r="N211"/>
      <c r="O211"/>
      <c r="P211"/>
      <c r="Q211" s="305"/>
    </row>
    <row r="212" spans="2:17" s="1" customFormat="1" x14ac:dyDescent="0.35">
      <c r="B212"/>
      <c r="C212"/>
      <c r="D212"/>
      <c r="E212"/>
      <c r="F212"/>
      <c r="G212"/>
      <c r="H212"/>
      <c r="I212"/>
      <c r="J212"/>
      <c r="K212"/>
      <c r="L212"/>
      <c r="M212"/>
      <c r="N212"/>
      <c r="O212"/>
      <c r="P212"/>
      <c r="Q212" s="305"/>
    </row>
    <row r="213" spans="2:17" s="1" customFormat="1" x14ac:dyDescent="0.35">
      <c r="B213"/>
      <c r="C213"/>
      <c r="D213"/>
      <c r="E213"/>
      <c r="F213"/>
      <c r="G213"/>
      <c r="H213"/>
      <c r="I213"/>
      <c r="J213"/>
      <c r="K213"/>
      <c r="L213"/>
      <c r="M213"/>
      <c r="N213"/>
      <c r="O213"/>
      <c r="P213"/>
      <c r="Q213" s="305"/>
    </row>
    <row r="214" spans="2:17" s="1" customFormat="1" x14ac:dyDescent="0.35">
      <c r="B214"/>
      <c r="C214"/>
      <c r="D214"/>
      <c r="E214"/>
      <c r="F214"/>
      <c r="G214"/>
      <c r="H214"/>
      <c r="I214"/>
      <c r="J214"/>
      <c r="K214"/>
      <c r="L214"/>
      <c r="M214"/>
      <c r="N214"/>
      <c r="O214"/>
      <c r="P214"/>
      <c r="Q214" s="305"/>
    </row>
    <row r="215" spans="2:17" s="1" customFormat="1" x14ac:dyDescent="0.35">
      <c r="B215"/>
      <c r="C215"/>
      <c r="D215"/>
      <c r="E215"/>
      <c r="F215"/>
      <c r="G215"/>
      <c r="H215"/>
      <c r="I215"/>
      <c r="J215"/>
      <c r="K215"/>
      <c r="L215"/>
      <c r="M215"/>
      <c r="N215"/>
      <c r="O215"/>
      <c r="P215"/>
      <c r="Q215" s="305"/>
    </row>
    <row r="216" spans="2:17" s="1" customFormat="1" x14ac:dyDescent="0.35">
      <c r="B216"/>
      <c r="C216"/>
      <c r="D216"/>
      <c r="E216"/>
      <c r="F216"/>
      <c r="G216"/>
      <c r="H216"/>
      <c r="I216"/>
      <c r="J216"/>
      <c r="K216"/>
      <c r="L216"/>
      <c r="M216"/>
      <c r="N216"/>
      <c r="O216"/>
      <c r="P216"/>
      <c r="Q216" s="305"/>
    </row>
    <row r="217" spans="2:17" s="1" customFormat="1" x14ac:dyDescent="0.35">
      <c r="B217"/>
      <c r="C217"/>
      <c r="D217"/>
      <c r="E217"/>
      <c r="F217"/>
      <c r="G217"/>
      <c r="H217"/>
      <c r="I217"/>
      <c r="J217"/>
      <c r="K217"/>
      <c r="L217"/>
      <c r="M217"/>
      <c r="N217"/>
      <c r="O217"/>
      <c r="P217"/>
      <c r="Q217" s="305"/>
    </row>
    <row r="218" spans="2:17" s="1" customFormat="1" x14ac:dyDescent="0.35">
      <c r="B218"/>
      <c r="C218"/>
      <c r="D218"/>
      <c r="E218"/>
      <c r="F218"/>
      <c r="G218"/>
      <c r="H218"/>
      <c r="I218"/>
      <c r="J218"/>
      <c r="K218"/>
      <c r="L218"/>
      <c r="M218"/>
      <c r="N218"/>
      <c r="O218"/>
      <c r="P218"/>
      <c r="Q218" s="305"/>
    </row>
    <row r="219" spans="2:17" s="1" customFormat="1" x14ac:dyDescent="0.35">
      <c r="B219"/>
      <c r="C219"/>
      <c r="D219"/>
      <c r="E219"/>
      <c r="F219"/>
      <c r="G219"/>
      <c r="H219"/>
      <c r="I219"/>
      <c r="J219"/>
      <c r="K219"/>
      <c r="L219"/>
      <c r="M219"/>
      <c r="N219"/>
      <c r="O219"/>
      <c r="P219"/>
      <c r="Q219" s="305"/>
    </row>
    <row r="220" spans="2:17" s="1" customFormat="1" x14ac:dyDescent="0.35">
      <c r="B220"/>
      <c r="C220"/>
      <c r="D220"/>
      <c r="E220"/>
      <c r="F220"/>
      <c r="G220"/>
      <c r="H220"/>
      <c r="I220"/>
      <c r="J220"/>
      <c r="K220"/>
      <c r="L220"/>
      <c r="M220"/>
      <c r="N220"/>
      <c r="O220"/>
      <c r="P220"/>
      <c r="Q220" s="305"/>
    </row>
    <row r="221" spans="2:17" s="1" customFormat="1" x14ac:dyDescent="0.35">
      <c r="B221"/>
      <c r="C221"/>
      <c r="D221"/>
      <c r="E221"/>
      <c r="F221"/>
      <c r="G221"/>
      <c r="H221"/>
      <c r="I221"/>
      <c r="J221"/>
      <c r="K221"/>
      <c r="L221"/>
      <c r="M221"/>
      <c r="N221"/>
      <c r="O221"/>
      <c r="P221"/>
      <c r="Q221" s="305"/>
    </row>
    <row r="222" spans="2:17" s="1" customFormat="1" x14ac:dyDescent="0.35">
      <c r="B222"/>
      <c r="C222"/>
      <c r="D222"/>
      <c r="E222"/>
      <c r="F222"/>
      <c r="G222"/>
      <c r="H222"/>
      <c r="I222"/>
      <c r="J222"/>
      <c r="K222"/>
      <c r="L222"/>
      <c r="M222"/>
      <c r="N222"/>
      <c r="O222"/>
      <c r="P222"/>
      <c r="Q222" s="305"/>
    </row>
    <row r="223" spans="2:17" s="1" customFormat="1" x14ac:dyDescent="0.35">
      <c r="B223"/>
      <c r="C223"/>
      <c r="D223"/>
      <c r="E223"/>
      <c r="F223"/>
      <c r="G223"/>
      <c r="H223"/>
      <c r="I223"/>
      <c r="J223"/>
      <c r="K223"/>
      <c r="L223"/>
      <c r="M223"/>
      <c r="N223"/>
      <c r="O223"/>
      <c r="P223"/>
      <c r="Q223" s="305"/>
    </row>
    <row r="224" spans="2:17" s="1" customFormat="1" x14ac:dyDescent="0.35">
      <c r="B224"/>
      <c r="C224"/>
      <c r="D224"/>
      <c r="E224"/>
      <c r="F224"/>
      <c r="G224"/>
      <c r="H224"/>
      <c r="I224"/>
      <c r="J224"/>
      <c r="K224"/>
      <c r="L224"/>
      <c r="M224"/>
      <c r="N224"/>
      <c r="O224"/>
      <c r="P224"/>
      <c r="Q224" s="305"/>
    </row>
    <row r="225" spans="2:17" s="1" customFormat="1" x14ac:dyDescent="0.35">
      <c r="B225"/>
      <c r="C225"/>
      <c r="D225"/>
      <c r="E225"/>
      <c r="F225"/>
      <c r="G225"/>
      <c r="H225"/>
      <c r="I225"/>
      <c r="J225"/>
      <c r="K225"/>
      <c r="L225"/>
      <c r="M225"/>
      <c r="N225"/>
      <c r="O225"/>
      <c r="P225"/>
      <c r="Q225" s="305"/>
    </row>
    <row r="226" spans="2:17" s="1" customFormat="1" x14ac:dyDescent="0.35">
      <c r="B226"/>
      <c r="C226"/>
      <c r="D226"/>
      <c r="E226"/>
      <c r="F226"/>
      <c r="G226"/>
      <c r="H226"/>
      <c r="I226"/>
      <c r="J226"/>
      <c r="K226"/>
      <c r="L226"/>
      <c r="M226"/>
      <c r="N226"/>
      <c r="O226"/>
      <c r="P226"/>
      <c r="Q226" s="305"/>
    </row>
    <row r="227" spans="2:17" s="1" customFormat="1" x14ac:dyDescent="0.35">
      <c r="B227"/>
      <c r="C227"/>
      <c r="D227"/>
      <c r="E227"/>
      <c r="F227"/>
      <c r="G227"/>
      <c r="H227"/>
      <c r="I227"/>
      <c r="J227"/>
      <c r="K227"/>
      <c r="L227"/>
      <c r="M227"/>
      <c r="N227"/>
      <c r="O227"/>
      <c r="P227"/>
      <c r="Q227" s="305"/>
    </row>
    <row r="228" spans="2:17" s="1" customFormat="1" x14ac:dyDescent="0.35">
      <c r="B228"/>
      <c r="C228"/>
      <c r="D228"/>
      <c r="E228"/>
      <c r="F228"/>
      <c r="G228"/>
      <c r="H228"/>
      <c r="I228"/>
      <c r="J228"/>
      <c r="K228"/>
      <c r="L228"/>
      <c r="M228"/>
      <c r="N228"/>
      <c r="O228"/>
      <c r="P228"/>
      <c r="Q228" s="305"/>
    </row>
    <row r="229" spans="2:17" s="1" customFormat="1" x14ac:dyDescent="0.35">
      <c r="B229"/>
      <c r="C229"/>
      <c r="D229"/>
      <c r="E229"/>
      <c r="F229"/>
      <c r="G229"/>
      <c r="H229"/>
      <c r="I229"/>
      <c r="J229"/>
      <c r="K229"/>
      <c r="L229"/>
      <c r="M229"/>
      <c r="N229"/>
      <c r="O229"/>
      <c r="P229"/>
      <c r="Q229" s="305"/>
    </row>
    <row r="230" spans="2:17" s="1" customFormat="1" x14ac:dyDescent="0.35">
      <c r="B230"/>
      <c r="C230"/>
      <c r="D230"/>
      <c r="E230"/>
      <c r="F230"/>
      <c r="G230"/>
      <c r="H230"/>
      <c r="I230"/>
      <c r="J230"/>
      <c r="K230"/>
      <c r="L230"/>
      <c r="M230"/>
      <c r="N230"/>
      <c r="O230"/>
      <c r="P230"/>
      <c r="Q230" s="305"/>
    </row>
    <row r="231" spans="2:17" s="1" customFormat="1" x14ac:dyDescent="0.35">
      <c r="B231"/>
      <c r="C231"/>
      <c r="D231"/>
      <c r="E231"/>
      <c r="F231"/>
      <c r="G231"/>
      <c r="H231"/>
      <c r="I231"/>
      <c r="J231"/>
      <c r="K231"/>
      <c r="L231"/>
      <c r="M231"/>
      <c r="N231"/>
      <c r="O231"/>
      <c r="P231"/>
      <c r="Q231" s="305"/>
    </row>
    <row r="232" spans="2:17" s="1" customFormat="1" x14ac:dyDescent="0.35">
      <c r="B232"/>
      <c r="C232"/>
      <c r="D232"/>
      <c r="E232"/>
      <c r="F232"/>
      <c r="G232"/>
      <c r="H232"/>
      <c r="I232"/>
      <c r="J232"/>
      <c r="K232"/>
      <c r="L232"/>
      <c r="M232"/>
      <c r="N232"/>
      <c r="O232"/>
      <c r="P232"/>
      <c r="Q232" s="305"/>
    </row>
    <row r="233" spans="2:17" s="1" customFormat="1" x14ac:dyDescent="0.35">
      <c r="B233"/>
      <c r="C233"/>
      <c r="D233"/>
      <c r="E233"/>
      <c r="F233"/>
      <c r="G233"/>
      <c r="H233"/>
      <c r="I233"/>
      <c r="J233"/>
      <c r="K233"/>
      <c r="L233"/>
      <c r="M233"/>
      <c r="N233"/>
      <c r="O233"/>
      <c r="P233"/>
      <c r="Q233" s="305"/>
    </row>
    <row r="234" spans="2:17" s="1" customFormat="1" x14ac:dyDescent="0.35">
      <c r="B234"/>
      <c r="C234"/>
      <c r="D234"/>
      <c r="E234"/>
      <c r="F234"/>
      <c r="G234"/>
      <c r="H234"/>
      <c r="I234"/>
      <c r="J234"/>
      <c r="K234"/>
      <c r="L234"/>
      <c r="M234"/>
      <c r="N234"/>
      <c r="O234"/>
      <c r="P234"/>
      <c r="Q234" s="305"/>
    </row>
    <row r="235" spans="2:17" s="1" customFormat="1" x14ac:dyDescent="0.35">
      <c r="B235"/>
      <c r="C235"/>
      <c r="D235"/>
      <c r="E235"/>
      <c r="F235"/>
      <c r="G235"/>
      <c r="H235"/>
      <c r="I235"/>
      <c r="J235"/>
      <c r="K235"/>
      <c r="L235"/>
      <c r="M235"/>
      <c r="N235"/>
      <c r="O235"/>
      <c r="P235"/>
      <c r="Q235" s="305"/>
    </row>
    <row r="236" spans="2:17" s="1" customFormat="1" x14ac:dyDescent="0.35">
      <c r="B236"/>
      <c r="C236"/>
      <c r="D236"/>
      <c r="E236"/>
      <c r="F236"/>
      <c r="G236"/>
      <c r="H236"/>
      <c r="I236"/>
      <c r="J236"/>
      <c r="K236"/>
      <c r="L236"/>
      <c r="M236"/>
      <c r="N236"/>
      <c r="O236"/>
      <c r="P236"/>
      <c r="Q236" s="305"/>
    </row>
    <row r="237" spans="2:17" s="1" customFormat="1" x14ac:dyDescent="0.35">
      <c r="B237"/>
      <c r="C237"/>
      <c r="D237"/>
      <c r="E237"/>
      <c r="F237"/>
      <c r="G237"/>
      <c r="H237"/>
      <c r="I237"/>
      <c r="J237"/>
      <c r="K237"/>
      <c r="L237"/>
      <c r="M237"/>
      <c r="N237"/>
      <c r="O237"/>
      <c r="P237"/>
      <c r="Q237" s="305"/>
    </row>
  </sheetData>
  <protectedRanges>
    <protectedRange algorithmName="SHA-512" hashValue="g2HyvLsN07Nu6y8JA3usNp2VPgXtF20SfpIwOl9+XaJ33F47jQ3cPM/dshclv3u6MLMZbqz25Soe63alDgScAg==" saltValue="Lw38YPClH2LuoXlcNLzT3A==" spinCount="100000" sqref="H115:L116 B115:F116" name="Range1_1_1"/>
  </protectedRange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0F02F-64C0-4432-8B44-3624D69416EF}">
  <dimension ref="A1:Q106"/>
  <sheetViews>
    <sheetView showGridLines="0" topLeftCell="A31" zoomScale="60" zoomScaleNormal="60" workbookViewId="0">
      <selection activeCell="P40" sqref="P40"/>
    </sheetView>
  </sheetViews>
  <sheetFormatPr defaultColWidth="113.453125" defaultRowHeight="14.5" outlineLevelCol="2" x14ac:dyDescent="0.35"/>
  <cols>
    <col min="1" max="1" width="40.54296875" style="1" customWidth="1"/>
    <col min="2" max="13" width="17.54296875" customWidth="1" outlineLevel="2"/>
    <col min="14" max="14" width="17.54296875" style="425" customWidth="1" outlineLevel="2"/>
    <col min="15" max="16" width="75.54296875" customWidth="1" outlineLevel="2"/>
    <col min="17" max="17" width="2.54296875" style="126" customWidth="1"/>
    <col min="18" max="18" width="22.54296875" customWidth="1"/>
  </cols>
  <sheetData>
    <row r="1" spans="1:16" ht="21.5" x14ac:dyDescent="0.35">
      <c r="A1" s="426"/>
      <c r="B1" s="427"/>
      <c r="C1" s="427"/>
      <c r="D1" s="427"/>
      <c r="E1" s="427"/>
      <c r="F1" s="427"/>
      <c r="G1" s="427"/>
      <c r="H1" s="427"/>
      <c r="I1" s="427"/>
      <c r="J1" s="427"/>
      <c r="K1" s="427"/>
      <c r="L1" s="427"/>
      <c r="M1" s="427"/>
      <c r="N1" s="428"/>
      <c r="O1" s="429"/>
      <c r="P1" s="429"/>
    </row>
    <row r="2" spans="1:16" ht="128" x14ac:dyDescent="0.35">
      <c r="A2" s="8" t="s">
        <v>520</v>
      </c>
      <c r="B2" s="9" t="s">
        <v>6</v>
      </c>
      <c r="C2" s="9" t="s">
        <v>7</v>
      </c>
      <c r="D2" s="9" t="s">
        <v>8</v>
      </c>
      <c r="E2" s="9" t="s">
        <v>9</v>
      </c>
      <c r="F2" s="9" t="s">
        <v>10</v>
      </c>
      <c r="G2" s="9" t="s">
        <v>11</v>
      </c>
      <c r="H2" s="9" t="s">
        <v>12</v>
      </c>
      <c r="I2" s="9" t="s">
        <v>13</v>
      </c>
      <c r="J2" s="9" t="s">
        <v>14</v>
      </c>
      <c r="K2" s="9" t="s">
        <v>15</v>
      </c>
      <c r="L2" s="9" t="s">
        <v>16</v>
      </c>
      <c r="M2" s="9" t="s">
        <v>17</v>
      </c>
      <c r="N2" s="430" t="s">
        <v>18</v>
      </c>
      <c r="O2" s="11" t="s">
        <v>3</v>
      </c>
      <c r="P2" s="135" t="s">
        <v>4</v>
      </c>
    </row>
    <row r="3" spans="1:16" ht="22" thickBot="1" x14ac:dyDescent="0.4">
      <c r="A3" s="136"/>
      <c r="B3" s="137"/>
      <c r="C3" s="137"/>
      <c r="D3" s="137"/>
      <c r="E3" s="137"/>
      <c r="F3" s="137"/>
      <c r="G3" s="137"/>
      <c r="H3" s="137"/>
      <c r="I3" s="137"/>
      <c r="J3" s="137"/>
      <c r="K3" s="137"/>
      <c r="L3" s="137"/>
      <c r="M3" s="137"/>
      <c r="N3" s="431"/>
      <c r="O3" s="139"/>
      <c r="P3" s="139"/>
    </row>
    <row r="4" spans="1:16" ht="16" x14ac:dyDescent="0.35">
      <c r="A4" s="432"/>
      <c r="B4" s="433"/>
      <c r="C4" s="433"/>
      <c r="D4" s="433"/>
      <c r="E4" s="433"/>
      <c r="F4" s="433"/>
      <c r="G4" s="433"/>
      <c r="H4" s="433"/>
      <c r="I4" s="433"/>
      <c r="J4" s="433"/>
      <c r="K4" s="433"/>
      <c r="L4" s="433"/>
      <c r="M4" s="433"/>
      <c r="N4" s="434"/>
      <c r="O4" s="435"/>
      <c r="P4" s="435"/>
    </row>
    <row r="5" spans="1:16" ht="32" x14ac:dyDescent="0.35">
      <c r="A5" s="436" t="s">
        <v>521</v>
      </c>
      <c r="B5" s="437"/>
      <c r="C5" s="437"/>
      <c r="D5" s="437"/>
      <c r="E5" s="437"/>
      <c r="F5" s="437"/>
      <c r="G5" s="437"/>
      <c r="H5" s="437"/>
      <c r="I5" s="437"/>
      <c r="J5" s="437"/>
      <c r="K5" s="437"/>
      <c r="L5" s="437"/>
      <c r="M5" s="437"/>
      <c r="N5" s="438"/>
      <c r="O5" s="439"/>
      <c r="P5" s="439"/>
    </row>
    <row r="6" spans="1:16" ht="96" x14ac:dyDescent="0.35">
      <c r="A6" s="440" t="s">
        <v>522</v>
      </c>
      <c r="B6" s="441">
        <v>9.7189999999999994</v>
      </c>
      <c r="C6" s="441">
        <v>0</v>
      </c>
      <c r="D6" s="441">
        <v>0</v>
      </c>
      <c r="E6" s="441">
        <v>0</v>
      </c>
      <c r="F6" s="441">
        <v>0</v>
      </c>
      <c r="G6" s="442">
        <v>9.7189999999999994</v>
      </c>
      <c r="H6" s="146">
        <v>9.7509999999999994</v>
      </c>
      <c r="I6" s="146">
        <v>0</v>
      </c>
      <c r="J6" s="146">
        <v>0</v>
      </c>
      <c r="K6" s="146">
        <v>0</v>
      </c>
      <c r="L6" s="146">
        <v>0</v>
      </c>
      <c r="M6" s="442">
        <v>9.7509999999999994</v>
      </c>
      <c r="N6" s="301">
        <v>3.2925198065644644E-3</v>
      </c>
      <c r="O6" s="443" t="s">
        <v>523</v>
      </c>
      <c r="P6" s="444" t="s">
        <v>237</v>
      </c>
    </row>
    <row r="7" spans="1:16" ht="96" x14ac:dyDescent="0.35">
      <c r="A7" s="445" t="s">
        <v>524</v>
      </c>
      <c r="B7" s="146">
        <v>38.037999999999997</v>
      </c>
      <c r="C7" s="146">
        <v>0</v>
      </c>
      <c r="D7" s="146">
        <v>0</v>
      </c>
      <c r="E7" s="146">
        <v>0</v>
      </c>
      <c r="F7" s="146">
        <v>0</v>
      </c>
      <c r="G7" s="147">
        <v>38.037999999999997</v>
      </c>
      <c r="H7" s="146">
        <v>42.101999999999997</v>
      </c>
      <c r="I7" s="146">
        <v>0</v>
      </c>
      <c r="J7" s="146">
        <v>0</v>
      </c>
      <c r="K7" s="146">
        <v>0</v>
      </c>
      <c r="L7" s="146">
        <v>0</v>
      </c>
      <c r="M7" s="147">
        <v>42.101999999999997</v>
      </c>
      <c r="N7" s="301">
        <v>0.10684052789315948</v>
      </c>
      <c r="O7" s="443" t="s">
        <v>525</v>
      </c>
      <c r="P7" s="446" t="s">
        <v>237</v>
      </c>
    </row>
    <row r="8" spans="1:16" ht="48" x14ac:dyDescent="0.35">
      <c r="A8" s="445" t="s">
        <v>526</v>
      </c>
      <c r="B8" s="146">
        <v>1.944</v>
      </c>
      <c r="C8" s="146">
        <v>0</v>
      </c>
      <c r="D8" s="146">
        <v>0</v>
      </c>
      <c r="E8" s="146">
        <v>0</v>
      </c>
      <c r="F8" s="146">
        <v>0</v>
      </c>
      <c r="G8" s="147">
        <v>1.944</v>
      </c>
      <c r="H8" s="146">
        <v>3.306</v>
      </c>
      <c r="I8" s="146">
        <v>0</v>
      </c>
      <c r="J8" s="146">
        <v>0</v>
      </c>
      <c r="K8" s="146">
        <v>0</v>
      </c>
      <c r="L8" s="146">
        <v>0</v>
      </c>
      <c r="M8" s="147">
        <v>3.306</v>
      </c>
      <c r="N8" s="301">
        <v>0.7006172839506174</v>
      </c>
      <c r="O8" s="443" t="s">
        <v>527</v>
      </c>
      <c r="P8" s="446" t="s">
        <v>528</v>
      </c>
    </row>
    <row r="9" spans="1:16" ht="64" x14ac:dyDescent="0.35">
      <c r="A9" s="447" t="s">
        <v>529</v>
      </c>
      <c r="B9" s="299">
        <v>3.08</v>
      </c>
      <c r="C9" s="299">
        <v>0</v>
      </c>
      <c r="D9" s="299">
        <v>0</v>
      </c>
      <c r="E9" s="299">
        <v>0</v>
      </c>
      <c r="F9" s="299">
        <v>0</v>
      </c>
      <c r="G9" s="448">
        <v>3.08</v>
      </c>
      <c r="H9" s="146">
        <v>3.762</v>
      </c>
      <c r="I9" s="146">
        <v>0</v>
      </c>
      <c r="J9" s="146">
        <v>0</v>
      </c>
      <c r="K9" s="146">
        <v>0</v>
      </c>
      <c r="L9" s="146">
        <v>0</v>
      </c>
      <c r="M9" s="449">
        <v>3.762</v>
      </c>
      <c r="N9" s="450">
        <v>0.22142857142857139</v>
      </c>
      <c r="O9" s="328" t="s">
        <v>532</v>
      </c>
      <c r="P9" s="451" t="s">
        <v>533</v>
      </c>
    </row>
    <row r="10" spans="1:16" ht="32" x14ac:dyDescent="0.35">
      <c r="A10" s="452" t="s">
        <v>534</v>
      </c>
      <c r="B10" s="453">
        <v>52.780999999999999</v>
      </c>
      <c r="C10" s="453">
        <v>0</v>
      </c>
      <c r="D10" s="453">
        <v>0</v>
      </c>
      <c r="E10" s="453">
        <v>0</v>
      </c>
      <c r="F10" s="453">
        <v>0</v>
      </c>
      <c r="G10" s="453">
        <v>52.780999999999999</v>
      </c>
      <c r="H10" s="453">
        <v>58.920999999999992</v>
      </c>
      <c r="I10" s="453">
        <v>0</v>
      </c>
      <c r="J10" s="453">
        <v>0</v>
      </c>
      <c r="K10" s="453">
        <v>0</v>
      </c>
      <c r="L10" s="453">
        <v>0</v>
      </c>
      <c r="M10" s="453">
        <v>58.920999999999992</v>
      </c>
      <c r="N10" s="454">
        <v>0.11632973986851317</v>
      </c>
      <c r="O10" s="455"/>
      <c r="P10" s="456"/>
    </row>
    <row r="11" spans="1:16" ht="16" x14ac:dyDescent="0.35">
      <c r="A11" s="457"/>
      <c r="B11" s="458"/>
      <c r="C11" s="458"/>
      <c r="D11" s="458"/>
      <c r="E11" s="458"/>
      <c r="F11" s="458"/>
      <c r="G11" s="458"/>
      <c r="H11" s="458"/>
      <c r="I11" s="458"/>
      <c r="J11" s="458"/>
      <c r="K11" s="458"/>
      <c r="L11" s="458"/>
      <c r="M11" s="458"/>
      <c r="N11" s="459"/>
      <c r="O11" s="460"/>
      <c r="P11" s="460"/>
    </row>
    <row r="12" spans="1:16" ht="16" x14ac:dyDescent="0.35">
      <c r="A12" s="461" t="s">
        <v>535</v>
      </c>
      <c r="B12" s="462"/>
      <c r="C12" s="462"/>
      <c r="D12" s="462"/>
      <c r="E12" s="462"/>
      <c r="F12" s="462"/>
      <c r="G12" s="462"/>
      <c r="H12" s="462"/>
      <c r="I12" s="462"/>
      <c r="J12" s="462"/>
      <c r="K12" s="462"/>
      <c r="L12" s="462"/>
      <c r="M12" s="462"/>
      <c r="N12" s="463"/>
      <c r="O12" s="439"/>
      <c r="P12" s="439"/>
    </row>
    <row r="13" spans="1:16" ht="96" x14ac:dyDescent="0.35">
      <c r="A13" s="464" t="s">
        <v>536</v>
      </c>
      <c r="B13" s="146">
        <v>0.1</v>
      </c>
      <c r="C13" s="146">
        <v>0</v>
      </c>
      <c r="D13" s="146">
        <v>0</v>
      </c>
      <c r="E13" s="146">
        <v>0</v>
      </c>
      <c r="F13" s="146">
        <v>0</v>
      </c>
      <c r="G13" s="147">
        <v>0.1</v>
      </c>
      <c r="H13" s="146">
        <v>5.4729999999999999</v>
      </c>
      <c r="I13" s="146">
        <v>0</v>
      </c>
      <c r="J13" s="146">
        <v>0</v>
      </c>
      <c r="K13" s="146">
        <v>0</v>
      </c>
      <c r="L13" s="146">
        <v>0</v>
      </c>
      <c r="M13" s="147">
        <v>5.4729999999999999</v>
      </c>
      <c r="N13" s="301">
        <v>53.73</v>
      </c>
      <c r="O13" s="29" t="s">
        <v>537</v>
      </c>
      <c r="P13" s="465" t="s">
        <v>538</v>
      </c>
    </row>
    <row r="14" spans="1:16" ht="112" x14ac:dyDescent="0.35">
      <c r="A14" s="464" t="s">
        <v>539</v>
      </c>
      <c r="B14" s="146">
        <v>82.600999999999999</v>
      </c>
      <c r="C14" s="146">
        <v>77.34</v>
      </c>
      <c r="D14" s="146">
        <v>66.290000000000006</v>
      </c>
      <c r="E14" s="146">
        <v>0</v>
      </c>
      <c r="F14" s="146">
        <v>0</v>
      </c>
      <c r="G14" s="147">
        <v>226.23099999999999</v>
      </c>
      <c r="H14" s="146">
        <v>75.319999999999993</v>
      </c>
      <c r="I14" s="146">
        <v>63</v>
      </c>
      <c r="J14" s="146">
        <v>39.9</v>
      </c>
      <c r="K14" s="146">
        <v>0</v>
      </c>
      <c r="L14" s="146">
        <v>0</v>
      </c>
      <c r="M14" s="147">
        <v>178.22</v>
      </c>
      <c r="N14" s="301">
        <v>-0.21222113680264862</v>
      </c>
      <c r="O14" s="466" t="s">
        <v>540</v>
      </c>
      <c r="P14" s="446" t="s">
        <v>541</v>
      </c>
    </row>
    <row r="15" spans="1:16" ht="64" x14ac:dyDescent="0.35">
      <c r="A15" s="464" t="s">
        <v>542</v>
      </c>
      <c r="B15" s="146">
        <v>306.577</v>
      </c>
      <c r="C15" s="146">
        <v>7.42</v>
      </c>
      <c r="D15" s="146">
        <v>5</v>
      </c>
      <c r="E15" s="146">
        <v>0</v>
      </c>
      <c r="F15" s="146">
        <v>0</v>
      </c>
      <c r="G15" s="147">
        <v>318.99700000000001</v>
      </c>
      <c r="H15" s="146">
        <v>309.08199999999999</v>
      </c>
      <c r="I15" s="146">
        <v>7.4130000000000003</v>
      </c>
      <c r="J15" s="146">
        <v>4.0999999999999996</v>
      </c>
      <c r="K15" s="146">
        <v>0</v>
      </c>
      <c r="L15" s="146">
        <v>0</v>
      </c>
      <c r="M15" s="147">
        <v>320.59500000000003</v>
      </c>
      <c r="N15" s="301">
        <v>5.0094514995439243E-3</v>
      </c>
      <c r="O15" s="466" t="s">
        <v>544</v>
      </c>
      <c r="P15" s="446" t="s">
        <v>543</v>
      </c>
    </row>
    <row r="16" spans="1:16" ht="16" x14ac:dyDescent="0.35">
      <c r="A16" s="467" t="s">
        <v>545</v>
      </c>
      <c r="B16" s="453">
        <v>389.27800000000002</v>
      </c>
      <c r="C16" s="453">
        <v>84.76</v>
      </c>
      <c r="D16" s="453">
        <v>71.290000000000006</v>
      </c>
      <c r="E16" s="453">
        <v>0</v>
      </c>
      <c r="F16" s="453">
        <v>0</v>
      </c>
      <c r="G16" s="453">
        <v>545.32799999999997</v>
      </c>
      <c r="H16" s="453">
        <v>389.875</v>
      </c>
      <c r="I16" s="453">
        <v>70.412999999999997</v>
      </c>
      <c r="J16" s="453">
        <v>44</v>
      </c>
      <c r="K16" s="453">
        <v>0</v>
      </c>
      <c r="L16" s="453">
        <v>0</v>
      </c>
      <c r="M16" s="453">
        <v>504.28800000000001</v>
      </c>
      <c r="N16" s="454">
        <v>-7.525745973065745E-2</v>
      </c>
      <c r="O16" s="468"/>
      <c r="P16" s="469"/>
    </row>
    <row r="17" spans="1:16" ht="16" x14ac:dyDescent="0.35">
      <c r="A17" s="470"/>
      <c r="B17" s="471"/>
      <c r="C17" s="471"/>
      <c r="D17" s="471"/>
      <c r="E17" s="471"/>
      <c r="F17" s="471"/>
      <c r="G17" s="471"/>
      <c r="H17" s="471"/>
      <c r="I17" s="471"/>
      <c r="J17" s="471"/>
      <c r="K17" s="471"/>
      <c r="L17" s="471"/>
      <c r="M17" s="471"/>
      <c r="N17" s="472"/>
      <c r="O17" s="473"/>
      <c r="P17" s="473"/>
    </row>
    <row r="18" spans="1:16" ht="16" x14ac:dyDescent="0.35">
      <c r="A18" s="474" t="s">
        <v>546</v>
      </c>
      <c r="B18" s="475"/>
      <c r="C18" s="475"/>
      <c r="D18" s="475"/>
      <c r="E18" s="475"/>
      <c r="F18" s="475"/>
      <c r="G18" s="475"/>
      <c r="H18" s="475"/>
      <c r="I18" s="475"/>
      <c r="J18" s="475"/>
      <c r="K18" s="475"/>
      <c r="L18" s="475"/>
      <c r="M18" s="475"/>
      <c r="N18" s="476"/>
      <c r="O18" s="439"/>
      <c r="P18" s="439"/>
    </row>
    <row r="19" spans="1:16" ht="96" x14ac:dyDescent="0.35">
      <c r="A19" s="464" t="s">
        <v>547</v>
      </c>
      <c r="B19" s="146">
        <v>0</v>
      </c>
      <c r="C19" s="146">
        <v>0</v>
      </c>
      <c r="D19" s="146">
        <v>0</v>
      </c>
      <c r="E19" s="146">
        <v>0</v>
      </c>
      <c r="F19" s="146">
        <v>0</v>
      </c>
      <c r="G19" s="147">
        <v>0</v>
      </c>
      <c r="H19" s="146">
        <v>35.5</v>
      </c>
      <c r="I19" s="146">
        <v>0</v>
      </c>
      <c r="J19" s="146">
        <v>0</v>
      </c>
      <c r="K19" s="146">
        <v>0</v>
      </c>
      <c r="L19" s="146">
        <v>0</v>
      </c>
      <c r="M19" s="147">
        <v>35.5</v>
      </c>
      <c r="N19" s="301" t="s">
        <v>50</v>
      </c>
      <c r="O19" s="466" t="s">
        <v>548</v>
      </c>
      <c r="P19" s="446" t="s">
        <v>549</v>
      </c>
    </row>
    <row r="20" spans="1:16" ht="64" x14ac:dyDescent="0.35">
      <c r="A20" s="464" t="s">
        <v>550</v>
      </c>
      <c r="B20" s="146">
        <v>411.7</v>
      </c>
      <c r="C20" s="146">
        <v>0</v>
      </c>
      <c r="D20" s="146">
        <v>0</v>
      </c>
      <c r="E20" s="146">
        <v>0</v>
      </c>
      <c r="F20" s="146">
        <v>0</v>
      </c>
      <c r="G20" s="147">
        <v>411.7</v>
      </c>
      <c r="H20" s="146">
        <v>458.7</v>
      </c>
      <c r="I20" s="146">
        <v>0</v>
      </c>
      <c r="J20" s="146">
        <v>0</v>
      </c>
      <c r="K20" s="146">
        <v>0</v>
      </c>
      <c r="L20" s="146">
        <v>0</v>
      </c>
      <c r="M20" s="147">
        <v>458.7</v>
      </c>
      <c r="N20" s="301">
        <v>0.11416079669662375</v>
      </c>
      <c r="O20" s="466" t="s">
        <v>551</v>
      </c>
      <c r="P20" s="446" t="s">
        <v>552</v>
      </c>
    </row>
    <row r="21" spans="1:16" ht="64" x14ac:dyDescent="0.35">
      <c r="A21" s="464" t="s">
        <v>553</v>
      </c>
      <c r="B21" s="146">
        <v>55.1</v>
      </c>
      <c r="C21" s="146">
        <v>0</v>
      </c>
      <c r="D21" s="146">
        <v>0</v>
      </c>
      <c r="E21" s="146">
        <v>0</v>
      </c>
      <c r="F21" s="146">
        <v>0</v>
      </c>
      <c r="G21" s="147">
        <v>55.1</v>
      </c>
      <c r="H21" s="146">
        <v>62</v>
      </c>
      <c r="I21" s="146">
        <v>0</v>
      </c>
      <c r="J21" s="146">
        <v>0</v>
      </c>
      <c r="K21" s="146">
        <v>0</v>
      </c>
      <c r="L21" s="146">
        <v>0</v>
      </c>
      <c r="M21" s="147">
        <v>62</v>
      </c>
      <c r="N21" s="301">
        <v>0.12522686025408344</v>
      </c>
      <c r="O21" s="466" t="s">
        <v>554</v>
      </c>
      <c r="P21" s="446" t="s">
        <v>552</v>
      </c>
    </row>
    <row r="22" spans="1:16" ht="64" x14ac:dyDescent="0.35">
      <c r="A22" s="464" t="s">
        <v>555</v>
      </c>
      <c r="B22" s="146">
        <v>3226.4</v>
      </c>
      <c r="C22" s="146">
        <v>0</v>
      </c>
      <c r="D22" s="146">
        <v>0</v>
      </c>
      <c r="E22" s="146">
        <v>0</v>
      </c>
      <c r="F22" s="146">
        <v>0</v>
      </c>
      <c r="G22" s="147">
        <v>3226.4</v>
      </c>
      <c r="H22" s="146">
        <v>3604.6</v>
      </c>
      <c r="I22" s="146">
        <v>0</v>
      </c>
      <c r="J22" s="146">
        <v>0</v>
      </c>
      <c r="K22" s="146">
        <v>0</v>
      </c>
      <c r="L22" s="146">
        <v>0</v>
      </c>
      <c r="M22" s="147">
        <v>3604.6</v>
      </c>
      <c r="N22" s="301">
        <v>0.11722043144061486</v>
      </c>
      <c r="O22" s="466" t="s">
        <v>556</v>
      </c>
      <c r="P22" s="446" t="s">
        <v>552</v>
      </c>
    </row>
    <row r="23" spans="1:16" ht="64" x14ac:dyDescent="0.35">
      <c r="A23" s="464" t="s">
        <v>557</v>
      </c>
      <c r="B23" s="146">
        <v>754.9</v>
      </c>
      <c r="C23" s="146">
        <v>0</v>
      </c>
      <c r="D23" s="146">
        <v>0</v>
      </c>
      <c r="E23" s="146">
        <v>0</v>
      </c>
      <c r="F23" s="146">
        <v>0</v>
      </c>
      <c r="G23" s="147">
        <v>754.9</v>
      </c>
      <c r="H23" s="146">
        <v>833.6</v>
      </c>
      <c r="I23" s="146">
        <v>0</v>
      </c>
      <c r="J23" s="146">
        <v>0</v>
      </c>
      <c r="K23" s="146">
        <v>0</v>
      </c>
      <c r="L23" s="146">
        <v>0</v>
      </c>
      <c r="M23" s="147">
        <v>833.6</v>
      </c>
      <c r="N23" s="301">
        <v>0.1042522188369321</v>
      </c>
      <c r="O23" s="466" t="s">
        <v>558</v>
      </c>
      <c r="P23" s="446" t="s">
        <v>552</v>
      </c>
    </row>
    <row r="24" spans="1:16" ht="64" x14ac:dyDescent="0.35">
      <c r="A24" s="464" t="s">
        <v>559</v>
      </c>
      <c r="B24" s="146">
        <v>420</v>
      </c>
      <c r="C24" s="146">
        <v>0</v>
      </c>
      <c r="D24" s="146">
        <v>0</v>
      </c>
      <c r="E24" s="146">
        <v>0</v>
      </c>
      <c r="F24" s="146">
        <v>0</v>
      </c>
      <c r="G24" s="147">
        <v>420</v>
      </c>
      <c r="H24" s="146">
        <v>393.9</v>
      </c>
      <c r="I24" s="146">
        <v>0</v>
      </c>
      <c r="J24" s="146">
        <v>0</v>
      </c>
      <c r="K24" s="146">
        <v>0</v>
      </c>
      <c r="L24" s="146">
        <v>0</v>
      </c>
      <c r="M24" s="147">
        <v>393.9</v>
      </c>
      <c r="N24" s="301">
        <v>-6.2142857142857194E-2</v>
      </c>
      <c r="O24" s="466" t="s">
        <v>560</v>
      </c>
      <c r="P24" s="446" t="s">
        <v>552</v>
      </c>
    </row>
    <row r="25" spans="1:16" ht="64" x14ac:dyDescent="0.35">
      <c r="A25" s="464" t="s">
        <v>561</v>
      </c>
      <c r="B25" s="146">
        <v>450.1</v>
      </c>
      <c r="C25" s="146">
        <v>0</v>
      </c>
      <c r="D25" s="146">
        <v>0</v>
      </c>
      <c r="E25" s="146">
        <v>0</v>
      </c>
      <c r="F25" s="146">
        <v>0</v>
      </c>
      <c r="G25" s="147">
        <v>450.1</v>
      </c>
      <c r="H25" s="146">
        <v>617.70000000000005</v>
      </c>
      <c r="I25" s="146">
        <v>0</v>
      </c>
      <c r="J25" s="146">
        <v>0</v>
      </c>
      <c r="K25" s="146">
        <v>0</v>
      </c>
      <c r="L25" s="146">
        <v>0</v>
      </c>
      <c r="M25" s="147">
        <v>617.70000000000005</v>
      </c>
      <c r="N25" s="301">
        <v>0.37236169740057767</v>
      </c>
      <c r="O25" s="466" t="s">
        <v>562</v>
      </c>
      <c r="P25" s="446" t="s">
        <v>552</v>
      </c>
    </row>
    <row r="26" spans="1:16" ht="64" x14ac:dyDescent="0.35">
      <c r="A26" s="464" t="s">
        <v>563</v>
      </c>
      <c r="B26" s="146">
        <v>86.6</v>
      </c>
      <c r="C26" s="146">
        <v>0</v>
      </c>
      <c r="D26" s="146">
        <v>0</v>
      </c>
      <c r="E26" s="146">
        <v>0</v>
      </c>
      <c r="F26" s="146">
        <v>0</v>
      </c>
      <c r="G26" s="147">
        <v>86.6</v>
      </c>
      <c r="H26" s="146">
        <v>83.4</v>
      </c>
      <c r="I26" s="146">
        <v>0</v>
      </c>
      <c r="J26" s="146">
        <v>0</v>
      </c>
      <c r="K26" s="146">
        <v>0</v>
      </c>
      <c r="L26" s="146">
        <v>0</v>
      </c>
      <c r="M26" s="147">
        <v>83.4</v>
      </c>
      <c r="N26" s="301">
        <v>-3.6951501154734286E-2</v>
      </c>
      <c r="O26" s="466" t="s">
        <v>564</v>
      </c>
      <c r="P26" s="446" t="s">
        <v>552</v>
      </c>
    </row>
    <row r="27" spans="1:16" ht="64" x14ac:dyDescent="0.35">
      <c r="A27" s="464" t="s">
        <v>565</v>
      </c>
      <c r="B27" s="146">
        <v>5.14</v>
      </c>
      <c r="C27" s="146">
        <v>0</v>
      </c>
      <c r="D27" s="146">
        <v>0</v>
      </c>
      <c r="E27" s="146">
        <v>0</v>
      </c>
      <c r="F27" s="146">
        <v>0</v>
      </c>
      <c r="G27" s="147">
        <v>5.14</v>
      </c>
      <c r="H27" s="146">
        <v>4.4000000000000004</v>
      </c>
      <c r="I27" s="146">
        <v>0</v>
      </c>
      <c r="J27" s="146">
        <v>0</v>
      </c>
      <c r="K27" s="146">
        <v>0</v>
      </c>
      <c r="L27" s="146">
        <v>0</v>
      </c>
      <c r="M27" s="147">
        <v>4.4000000000000004</v>
      </c>
      <c r="N27" s="301">
        <v>-0.14396887159533062</v>
      </c>
      <c r="O27" s="466" t="s">
        <v>566</v>
      </c>
      <c r="P27" s="446" t="s">
        <v>552</v>
      </c>
    </row>
    <row r="28" spans="1:16" ht="96" x14ac:dyDescent="0.35">
      <c r="A28" s="464" t="s">
        <v>567</v>
      </c>
      <c r="B28" s="146">
        <v>21.3</v>
      </c>
      <c r="C28" s="146">
        <v>0</v>
      </c>
      <c r="D28" s="146">
        <v>0</v>
      </c>
      <c r="E28" s="146">
        <v>0</v>
      </c>
      <c r="F28" s="146">
        <v>0</v>
      </c>
      <c r="G28" s="147">
        <v>21.3</v>
      </c>
      <c r="H28" s="146">
        <v>21.4</v>
      </c>
      <c r="I28" s="146">
        <v>0</v>
      </c>
      <c r="J28" s="146">
        <v>0</v>
      </c>
      <c r="K28" s="146">
        <v>0</v>
      </c>
      <c r="L28" s="146">
        <v>0</v>
      </c>
      <c r="M28" s="147">
        <v>21.4</v>
      </c>
      <c r="N28" s="301">
        <v>4.6948356807510732E-3</v>
      </c>
      <c r="O28" s="466" t="s">
        <v>568</v>
      </c>
      <c r="P28" s="446" t="s">
        <v>569</v>
      </c>
    </row>
    <row r="29" spans="1:16" ht="64" x14ac:dyDescent="0.35">
      <c r="A29" s="464" t="s">
        <v>570</v>
      </c>
      <c r="B29" s="146">
        <v>18.100000000000001</v>
      </c>
      <c r="C29" s="146">
        <v>0</v>
      </c>
      <c r="D29" s="146">
        <v>0</v>
      </c>
      <c r="E29" s="146">
        <v>0</v>
      </c>
      <c r="F29" s="146">
        <v>0</v>
      </c>
      <c r="G29" s="147">
        <v>18.100000000000001</v>
      </c>
      <c r="H29" s="146">
        <v>19.3</v>
      </c>
      <c r="I29" s="146">
        <v>0</v>
      </c>
      <c r="J29" s="146">
        <v>0</v>
      </c>
      <c r="K29" s="146">
        <v>0</v>
      </c>
      <c r="L29" s="146">
        <v>0</v>
      </c>
      <c r="M29" s="147">
        <v>19.3</v>
      </c>
      <c r="N29" s="301">
        <v>6.629834254143642E-2</v>
      </c>
      <c r="O29" s="466" t="s">
        <v>571</v>
      </c>
      <c r="P29" s="446" t="s">
        <v>552</v>
      </c>
    </row>
    <row r="30" spans="1:16" ht="64" x14ac:dyDescent="0.35">
      <c r="A30" s="464" t="s">
        <v>572</v>
      </c>
      <c r="B30" s="146">
        <v>12.2</v>
      </c>
      <c r="C30" s="146">
        <v>0</v>
      </c>
      <c r="D30" s="146">
        <v>0</v>
      </c>
      <c r="E30" s="146">
        <v>0</v>
      </c>
      <c r="F30" s="146">
        <v>0</v>
      </c>
      <c r="G30" s="147">
        <v>12.2</v>
      </c>
      <c r="H30" s="146">
        <v>13.9</v>
      </c>
      <c r="I30" s="146">
        <v>0</v>
      </c>
      <c r="J30" s="146">
        <v>0</v>
      </c>
      <c r="K30" s="146">
        <v>0</v>
      </c>
      <c r="L30" s="146">
        <v>0</v>
      </c>
      <c r="M30" s="147">
        <v>13.9</v>
      </c>
      <c r="N30" s="301">
        <v>0.13934426229508207</v>
      </c>
      <c r="O30" s="466" t="s">
        <v>573</v>
      </c>
      <c r="P30" s="446" t="s">
        <v>552</v>
      </c>
    </row>
    <row r="31" spans="1:16" ht="64" x14ac:dyDescent="0.35">
      <c r="A31" s="464" t="s">
        <v>574</v>
      </c>
      <c r="B31" s="146">
        <v>0.4</v>
      </c>
      <c r="C31" s="146">
        <v>0</v>
      </c>
      <c r="D31" s="146">
        <v>0</v>
      </c>
      <c r="E31" s="146">
        <v>0</v>
      </c>
      <c r="F31" s="146">
        <v>0</v>
      </c>
      <c r="G31" s="147">
        <v>0.4</v>
      </c>
      <c r="H31" s="146">
        <v>0.3</v>
      </c>
      <c r="I31" s="146">
        <v>0</v>
      </c>
      <c r="J31" s="146">
        <v>0</v>
      </c>
      <c r="K31" s="146">
        <v>0</v>
      </c>
      <c r="L31" s="146">
        <v>0</v>
      </c>
      <c r="M31" s="147">
        <v>0.3</v>
      </c>
      <c r="N31" s="301">
        <v>-0.25000000000000006</v>
      </c>
      <c r="O31" s="466" t="s">
        <v>575</v>
      </c>
      <c r="P31" s="446" t="s">
        <v>576</v>
      </c>
    </row>
    <row r="32" spans="1:16" ht="64" x14ac:dyDescent="0.35">
      <c r="A32" s="464" t="s">
        <v>577</v>
      </c>
      <c r="B32" s="146">
        <v>1</v>
      </c>
      <c r="C32" s="146">
        <v>0</v>
      </c>
      <c r="D32" s="146">
        <v>0</v>
      </c>
      <c r="E32" s="146">
        <v>0</v>
      </c>
      <c r="F32" s="146">
        <v>0</v>
      </c>
      <c r="G32" s="147">
        <v>1</v>
      </c>
      <c r="H32" s="146">
        <v>1.6</v>
      </c>
      <c r="I32" s="146">
        <v>0</v>
      </c>
      <c r="J32" s="146">
        <v>0</v>
      </c>
      <c r="K32" s="146">
        <v>0</v>
      </c>
      <c r="L32" s="146">
        <v>0</v>
      </c>
      <c r="M32" s="147">
        <v>1.6</v>
      </c>
      <c r="N32" s="301">
        <v>0.60000000000000009</v>
      </c>
      <c r="O32" s="466" t="s">
        <v>578</v>
      </c>
      <c r="P32" s="446" t="s">
        <v>579</v>
      </c>
    </row>
    <row r="33" spans="1:16" ht="64" x14ac:dyDescent="0.35">
      <c r="A33" s="464" t="s">
        <v>580</v>
      </c>
      <c r="B33" s="146">
        <v>8.6999999999999993</v>
      </c>
      <c r="C33" s="146">
        <v>0</v>
      </c>
      <c r="D33" s="146">
        <v>0</v>
      </c>
      <c r="E33" s="146">
        <v>0</v>
      </c>
      <c r="F33" s="146">
        <v>0</v>
      </c>
      <c r="G33" s="147">
        <v>8.6999999999999993</v>
      </c>
      <c r="H33" s="146">
        <v>11.9</v>
      </c>
      <c r="I33" s="146">
        <v>0</v>
      </c>
      <c r="J33" s="146">
        <v>0</v>
      </c>
      <c r="K33" s="146">
        <v>0</v>
      </c>
      <c r="L33" s="146">
        <v>0</v>
      </c>
      <c r="M33" s="147">
        <v>11.9</v>
      </c>
      <c r="N33" s="301">
        <v>0.36781609195402315</v>
      </c>
      <c r="O33" s="466" t="s">
        <v>581</v>
      </c>
      <c r="P33" s="446" t="s">
        <v>552</v>
      </c>
    </row>
    <row r="34" spans="1:16" ht="64" x14ac:dyDescent="0.35">
      <c r="A34" s="464" t="s">
        <v>582</v>
      </c>
      <c r="B34" s="146">
        <v>457.34</v>
      </c>
      <c r="C34" s="146">
        <v>0</v>
      </c>
      <c r="D34" s="146">
        <v>0</v>
      </c>
      <c r="E34" s="146">
        <v>0</v>
      </c>
      <c r="F34" s="146">
        <v>0</v>
      </c>
      <c r="G34" s="147">
        <v>457.34</v>
      </c>
      <c r="H34" s="146">
        <v>471</v>
      </c>
      <c r="I34" s="146">
        <v>0</v>
      </c>
      <c r="J34" s="146">
        <v>0</v>
      </c>
      <c r="K34" s="146">
        <v>0</v>
      </c>
      <c r="L34" s="146">
        <v>0</v>
      </c>
      <c r="M34" s="147">
        <v>471</v>
      </c>
      <c r="N34" s="301">
        <v>2.9868369265754199E-2</v>
      </c>
      <c r="O34" s="466" t="s">
        <v>583</v>
      </c>
      <c r="P34" s="446" t="s">
        <v>552</v>
      </c>
    </row>
    <row r="35" spans="1:16" ht="64" x14ac:dyDescent="0.35">
      <c r="A35" s="464" t="s">
        <v>584</v>
      </c>
      <c r="B35" s="146">
        <v>32</v>
      </c>
      <c r="C35" s="146">
        <v>0</v>
      </c>
      <c r="D35" s="146">
        <v>0</v>
      </c>
      <c r="E35" s="146">
        <v>0</v>
      </c>
      <c r="F35" s="146">
        <v>0</v>
      </c>
      <c r="G35" s="147">
        <v>32</v>
      </c>
      <c r="H35" s="146">
        <v>100.6</v>
      </c>
      <c r="I35" s="146">
        <v>0</v>
      </c>
      <c r="J35" s="146">
        <v>0</v>
      </c>
      <c r="K35" s="146">
        <v>0</v>
      </c>
      <c r="L35" s="146">
        <v>0</v>
      </c>
      <c r="M35" s="147">
        <v>100.6</v>
      </c>
      <c r="N35" s="301">
        <v>2.1437499999999998</v>
      </c>
      <c r="O35" s="466" t="s">
        <v>585</v>
      </c>
      <c r="P35" s="446" t="s">
        <v>552</v>
      </c>
    </row>
    <row r="36" spans="1:16" ht="64" x14ac:dyDescent="0.35">
      <c r="A36" s="464" t="s">
        <v>586</v>
      </c>
      <c r="B36" s="146">
        <v>24.4</v>
      </c>
      <c r="C36" s="146">
        <v>0</v>
      </c>
      <c r="D36" s="146">
        <v>0</v>
      </c>
      <c r="E36" s="146">
        <v>0</v>
      </c>
      <c r="F36" s="146">
        <v>0</v>
      </c>
      <c r="G36" s="147">
        <v>24.4</v>
      </c>
      <c r="H36" s="146">
        <v>28.3</v>
      </c>
      <c r="I36" s="146">
        <v>0</v>
      </c>
      <c r="J36" s="146">
        <v>0</v>
      </c>
      <c r="K36" s="146">
        <v>0</v>
      </c>
      <c r="L36" s="146">
        <v>0</v>
      </c>
      <c r="M36" s="147">
        <v>28.3</v>
      </c>
      <c r="N36" s="301">
        <v>0.15983606557377059</v>
      </c>
      <c r="O36" s="466" t="s">
        <v>587</v>
      </c>
      <c r="P36" s="446" t="s">
        <v>552</v>
      </c>
    </row>
    <row r="37" spans="1:16" ht="16" x14ac:dyDescent="0.35">
      <c r="A37" s="467" t="s">
        <v>588</v>
      </c>
      <c r="B37" s="477">
        <v>5985.380000000001</v>
      </c>
      <c r="C37" s="477">
        <v>0</v>
      </c>
      <c r="D37" s="477">
        <v>0</v>
      </c>
      <c r="E37" s="477">
        <v>0</v>
      </c>
      <c r="F37" s="477">
        <v>0</v>
      </c>
      <c r="G37" s="477">
        <v>5985.380000000001</v>
      </c>
      <c r="H37" s="477">
        <v>6762.0999999999995</v>
      </c>
      <c r="I37" s="477">
        <v>0</v>
      </c>
      <c r="J37" s="477">
        <v>0</v>
      </c>
      <c r="K37" s="477">
        <v>0</v>
      </c>
      <c r="L37" s="477">
        <v>0</v>
      </c>
      <c r="M37" s="477">
        <v>6762.0999999999995</v>
      </c>
      <c r="N37" s="478">
        <v>0.1297695384420034</v>
      </c>
      <c r="O37" s="468"/>
      <c r="P37" s="469"/>
    </row>
    <row r="38" spans="1:16" ht="16" x14ac:dyDescent="0.35">
      <c r="A38" s="479"/>
      <c r="B38" s="480"/>
      <c r="C38" s="480"/>
      <c r="D38" s="480"/>
      <c r="E38" s="480"/>
      <c r="F38" s="480"/>
      <c r="G38" s="480"/>
      <c r="H38" s="480"/>
      <c r="I38" s="480"/>
      <c r="J38" s="480"/>
      <c r="K38" s="480"/>
      <c r="L38" s="480"/>
      <c r="M38" s="480"/>
      <c r="N38" s="481"/>
      <c r="O38" s="161"/>
      <c r="P38" s="161"/>
    </row>
    <row r="39" spans="1:16" ht="32" x14ac:dyDescent="0.35">
      <c r="A39" s="142" t="s">
        <v>589</v>
      </c>
      <c r="B39" s="482"/>
      <c r="C39" s="482"/>
      <c r="D39" s="482"/>
      <c r="E39" s="482"/>
      <c r="F39" s="482"/>
      <c r="G39" s="482"/>
      <c r="H39" s="482"/>
      <c r="I39" s="482"/>
      <c r="J39" s="482"/>
      <c r="K39" s="482"/>
      <c r="L39" s="482"/>
      <c r="M39" s="482"/>
      <c r="N39" s="483"/>
      <c r="O39" s="484"/>
      <c r="P39" s="484"/>
    </row>
    <row r="40" spans="1:16" ht="144" x14ac:dyDescent="0.35">
      <c r="A40" s="485" t="s">
        <v>590</v>
      </c>
      <c r="B40" s="441">
        <v>14.721</v>
      </c>
      <c r="C40" s="441">
        <v>0</v>
      </c>
      <c r="D40" s="441">
        <v>0</v>
      </c>
      <c r="E40" s="441">
        <v>0</v>
      </c>
      <c r="F40" s="441">
        <v>0</v>
      </c>
      <c r="G40" s="442">
        <v>14.721</v>
      </c>
      <c r="H40" s="146">
        <v>14.132</v>
      </c>
      <c r="I40" s="146">
        <v>0</v>
      </c>
      <c r="J40" s="146">
        <v>0</v>
      </c>
      <c r="K40" s="146">
        <v>0</v>
      </c>
      <c r="L40" s="146">
        <v>0</v>
      </c>
      <c r="M40" s="442">
        <v>14.132</v>
      </c>
      <c r="N40" s="301">
        <v>-4.0010868826846027E-2</v>
      </c>
      <c r="O40" s="163" t="s">
        <v>591</v>
      </c>
      <c r="P40" s="444" t="s">
        <v>592</v>
      </c>
    </row>
    <row r="41" spans="1:16" ht="32" x14ac:dyDescent="0.35">
      <c r="A41" s="150" t="s">
        <v>593</v>
      </c>
      <c r="B41" s="151">
        <v>14.721</v>
      </c>
      <c r="C41" s="151">
        <v>0</v>
      </c>
      <c r="D41" s="151">
        <v>0</v>
      </c>
      <c r="E41" s="151">
        <v>0</v>
      </c>
      <c r="F41" s="151">
        <v>0</v>
      </c>
      <c r="G41" s="151">
        <v>14.721</v>
      </c>
      <c r="H41" s="151">
        <v>14.132</v>
      </c>
      <c r="I41" s="151">
        <v>0</v>
      </c>
      <c r="J41" s="151">
        <v>0</v>
      </c>
      <c r="K41" s="151">
        <v>0</v>
      </c>
      <c r="L41" s="151">
        <v>0</v>
      </c>
      <c r="M41" s="151">
        <v>14.132</v>
      </c>
      <c r="N41" s="486">
        <v>-4.0010868826846027E-2</v>
      </c>
      <c r="O41" s="487"/>
      <c r="P41" s="487"/>
    </row>
    <row r="43" spans="1:16" ht="16" x14ac:dyDescent="0.35">
      <c r="A43" s="160"/>
      <c r="B43" s="161"/>
      <c r="C43" s="161"/>
      <c r="D43" s="161"/>
      <c r="E43" s="161"/>
      <c r="F43" s="161"/>
      <c r="G43" s="161"/>
      <c r="H43" s="161"/>
      <c r="I43" s="161"/>
      <c r="J43" s="161"/>
      <c r="K43" s="161"/>
      <c r="L43" s="161"/>
      <c r="M43" s="161"/>
      <c r="N43" s="434"/>
      <c r="O43" s="161"/>
      <c r="P43" s="161"/>
    </row>
    <row r="44" spans="1:16" ht="16" x14ac:dyDescent="0.35">
      <c r="A44" s="142" t="s">
        <v>594</v>
      </c>
      <c r="B44" s="462"/>
      <c r="C44" s="462"/>
      <c r="D44" s="462"/>
      <c r="E44" s="462"/>
      <c r="F44" s="462"/>
      <c r="G44" s="462"/>
      <c r="H44" s="462"/>
      <c r="I44" s="462"/>
      <c r="J44" s="462"/>
      <c r="K44" s="462"/>
      <c r="L44" s="462"/>
      <c r="M44" s="462"/>
      <c r="N44" s="463"/>
      <c r="O44" s="484"/>
      <c r="P44" s="484"/>
    </row>
    <row r="45" spans="1:16" ht="16" x14ac:dyDescent="0.35">
      <c r="A45" s="160"/>
      <c r="B45" s="161"/>
      <c r="C45" s="161"/>
      <c r="D45" s="161"/>
      <c r="E45" s="161"/>
      <c r="F45" s="161"/>
      <c r="G45" s="161"/>
      <c r="H45" s="161"/>
      <c r="I45" s="161"/>
      <c r="J45" s="161"/>
      <c r="K45" s="161"/>
      <c r="L45" s="161"/>
      <c r="M45" s="161"/>
      <c r="N45" s="434"/>
      <c r="O45" s="161"/>
      <c r="P45" s="161"/>
    </row>
    <row r="46" spans="1:16" ht="16" x14ac:dyDescent="0.35">
      <c r="A46" s="488" t="s">
        <v>595</v>
      </c>
      <c r="B46" s="166"/>
      <c r="C46" s="166"/>
      <c r="D46" s="166"/>
      <c r="E46" s="166"/>
      <c r="F46" s="166"/>
      <c r="G46" s="166"/>
      <c r="H46" s="166"/>
      <c r="I46" s="166"/>
      <c r="J46" s="166"/>
      <c r="K46" s="166"/>
      <c r="L46" s="166"/>
      <c r="M46" s="166"/>
      <c r="N46" s="167"/>
      <c r="O46" s="489"/>
      <c r="P46" s="489"/>
    </row>
    <row r="47" spans="1:16" ht="160" x14ac:dyDescent="0.35">
      <c r="A47" s="485" t="s">
        <v>596</v>
      </c>
      <c r="B47" s="441">
        <v>0.74199999999999999</v>
      </c>
      <c r="C47" s="441">
        <v>7.5999999999999998E-2</v>
      </c>
      <c r="D47" s="441">
        <v>454.41699999999997</v>
      </c>
      <c r="E47" s="441">
        <v>49.2</v>
      </c>
      <c r="F47" s="441">
        <v>0</v>
      </c>
      <c r="G47" s="442">
        <v>504.43499999999995</v>
      </c>
      <c r="H47" s="146">
        <v>0.85000000000000009</v>
      </c>
      <c r="I47" s="146">
        <v>0</v>
      </c>
      <c r="J47" s="146">
        <v>595.5</v>
      </c>
      <c r="K47" s="146">
        <v>80</v>
      </c>
      <c r="L47" s="146">
        <v>0</v>
      </c>
      <c r="M47" s="442">
        <v>676.35</v>
      </c>
      <c r="N47" s="301">
        <v>0.34080704154152686</v>
      </c>
      <c r="O47" s="163" t="s">
        <v>597</v>
      </c>
      <c r="P47" s="444" t="s">
        <v>598</v>
      </c>
    </row>
    <row r="48" spans="1:16" ht="32" x14ac:dyDescent="0.35">
      <c r="A48" s="164" t="s">
        <v>595</v>
      </c>
      <c r="B48" s="146">
        <v>5.7409999999999997</v>
      </c>
      <c r="C48" s="146">
        <v>0</v>
      </c>
      <c r="D48" s="146">
        <v>0</v>
      </c>
      <c r="E48" s="146">
        <v>0</v>
      </c>
      <c r="F48" s="146">
        <v>0</v>
      </c>
      <c r="G48" s="147">
        <v>5.7409999999999997</v>
      </c>
      <c r="H48" s="146">
        <v>5.8539999999999992</v>
      </c>
      <c r="I48" s="146">
        <v>7.5999999999999998E-2</v>
      </c>
      <c r="J48" s="146">
        <v>0</v>
      </c>
      <c r="K48" s="146">
        <v>0</v>
      </c>
      <c r="L48" s="146">
        <v>0</v>
      </c>
      <c r="M48" s="147">
        <v>5.9299999999999988</v>
      </c>
      <c r="N48" s="301">
        <v>3.2921093886082421E-2</v>
      </c>
      <c r="O48" s="145" t="s">
        <v>599</v>
      </c>
      <c r="P48" s="149" t="s">
        <v>237</v>
      </c>
    </row>
    <row r="49" spans="1:16" ht="32" x14ac:dyDescent="0.35">
      <c r="A49" s="164" t="s">
        <v>600</v>
      </c>
      <c r="B49" s="146">
        <v>0</v>
      </c>
      <c r="C49" s="146">
        <v>0</v>
      </c>
      <c r="D49" s="146">
        <v>-14.3</v>
      </c>
      <c r="E49" s="146">
        <v>-80</v>
      </c>
      <c r="F49" s="146">
        <v>0</v>
      </c>
      <c r="G49" s="147">
        <v>-94.3</v>
      </c>
      <c r="H49" s="146">
        <v>0</v>
      </c>
      <c r="I49" s="146">
        <v>0</v>
      </c>
      <c r="J49" s="146">
        <v>-12.3</v>
      </c>
      <c r="K49" s="146">
        <v>-80</v>
      </c>
      <c r="L49" s="146">
        <v>0</v>
      </c>
      <c r="M49" s="147">
        <v>-92.3</v>
      </c>
      <c r="N49" s="301">
        <v>-2.1208907741251327E-2</v>
      </c>
      <c r="O49" s="145" t="s">
        <v>601</v>
      </c>
      <c r="P49" s="444" t="s">
        <v>602</v>
      </c>
    </row>
    <row r="50" spans="1:16" ht="16" collapsed="1" x14ac:dyDescent="0.35">
      <c r="A50" s="490" t="s">
        <v>603</v>
      </c>
      <c r="B50" s="170">
        <v>6.4829999999999997</v>
      </c>
      <c r="C50" s="170">
        <v>7.5999999999999998E-2</v>
      </c>
      <c r="D50" s="170">
        <v>440.11699999999996</v>
      </c>
      <c r="E50" s="170">
        <v>-30.799999999999997</v>
      </c>
      <c r="F50" s="170">
        <v>0</v>
      </c>
      <c r="G50" s="170">
        <v>415.87599999999992</v>
      </c>
      <c r="H50" s="170">
        <v>6.7039999999999988</v>
      </c>
      <c r="I50" s="170">
        <v>7.5999999999999998E-2</v>
      </c>
      <c r="J50" s="170">
        <v>583.20000000000005</v>
      </c>
      <c r="K50" s="170">
        <v>0</v>
      </c>
      <c r="L50" s="170">
        <v>0</v>
      </c>
      <c r="M50" s="170">
        <v>589.98</v>
      </c>
      <c r="N50" s="171">
        <v>0.41864401889024644</v>
      </c>
      <c r="O50" s="172"/>
      <c r="P50" s="173"/>
    </row>
    <row r="51" spans="1:16" ht="16" x14ac:dyDescent="0.35">
      <c r="A51" s="160"/>
      <c r="B51" s="161"/>
      <c r="C51" s="161"/>
      <c r="D51" s="161"/>
      <c r="E51" s="161"/>
      <c r="F51" s="161"/>
      <c r="G51" s="161"/>
      <c r="H51" s="161"/>
      <c r="I51" s="161"/>
      <c r="J51" s="161"/>
      <c r="K51" s="161"/>
      <c r="L51" s="161"/>
      <c r="M51" s="161"/>
      <c r="N51" s="434"/>
      <c r="O51" s="161"/>
      <c r="P51" s="161"/>
    </row>
    <row r="52" spans="1:16" ht="32" x14ac:dyDescent="0.35">
      <c r="A52" s="491" t="s">
        <v>604</v>
      </c>
      <c r="B52" s="166"/>
      <c r="C52" s="166"/>
      <c r="D52" s="166"/>
      <c r="E52" s="166"/>
      <c r="F52" s="166"/>
      <c r="G52" s="166"/>
      <c r="H52" s="166"/>
      <c r="I52" s="166"/>
      <c r="J52" s="166"/>
      <c r="K52" s="166"/>
      <c r="L52" s="166"/>
      <c r="M52" s="166"/>
      <c r="N52" s="167"/>
      <c r="O52" s="168"/>
      <c r="P52" s="168"/>
    </row>
    <row r="53" spans="1:16" ht="64" x14ac:dyDescent="0.35">
      <c r="A53" s="492" t="s">
        <v>604</v>
      </c>
      <c r="B53" s="441">
        <v>1.4079999999999999</v>
      </c>
      <c r="C53" s="441">
        <v>0</v>
      </c>
      <c r="D53" s="441">
        <v>0</v>
      </c>
      <c r="E53" s="441">
        <v>0</v>
      </c>
      <c r="F53" s="441">
        <v>0</v>
      </c>
      <c r="G53" s="442">
        <v>1.4079999999999999</v>
      </c>
      <c r="H53" s="146">
        <v>1.905</v>
      </c>
      <c r="I53" s="146">
        <v>0</v>
      </c>
      <c r="J53" s="146">
        <v>0</v>
      </c>
      <c r="K53" s="146">
        <v>0</v>
      </c>
      <c r="L53" s="146">
        <v>0</v>
      </c>
      <c r="M53" s="442">
        <v>1.905</v>
      </c>
      <c r="N53" s="301">
        <v>0.35298295454545464</v>
      </c>
      <c r="O53" s="163" t="s">
        <v>605</v>
      </c>
      <c r="P53" s="444" t="s">
        <v>606</v>
      </c>
    </row>
    <row r="54" spans="1:16" ht="64" x14ac:dyDescent="0.35">
      <c r="A54" s="492" t="s">
        <v>607</v>
      </c>
      <c r="B54" s="146">
        <v>0.28000000000000003</v>
      </c>
      <c r="C54" s="146">
        <v>0</v>
      </c>
      <c r="D54" s="146">
        <v>0</v>
      </c>
      <c r="E54" s="146">
        <v>0</v>
      </c>
      <c r="F54" s="146">
        <v>0</v>
      </c>
      <c r="G54" s="442">
        <v>0.28000000000000003</v>
      </c>
      <c r="H54" s="146">
        <v>0.30000000000000004</v>
      </c>
      <c r="I54" s="146">
        <v>0</v>
      </c>
      <c r="J54" s="146">
        <v>0</v>
      </c>
      <c r="K54" s="146">
        <v>0</v>
      </c>
      <c r="L54" s="146">
        <v>0</v>
      </c>
      <c r="M54" s="442">
        <v>0.30000000000000004</v>
      </c>
      <c r="N54" s="301">
        <v>7.142857142857148E-2</v>
      </c>
      <c r="O54" s="163" t="s">
        <v>608</v>
      </c>
      <c r="P54" s="444" t="s">
        <v>237</v>
      </c>
    </row>
    <row r="55" spans="1:16" ht="32" collapsed="1" x14ac:dyDescent="0.35">
      <c r="A55" s="169" t="s">
        <v>609</v>
      </c>
      <c r="B55" s="170">
        <v>1.6879999999999999</v>
      </c>
      <c r="C55" s="170">
        <v>0</v>
      </c>
      <c r="D55" s="170">
        <v>0</v>
      </c>
      <c r="E55" s="170">
        <v>0</v>
      </c>
      <c r="F55" s="170">
        <v>0</v>
      </c>
      <c r="G55" s="170">
        <v>1.6879999999999999</v>
      </c>
      <c r="H55" s="170">
        <v>2.2050000000000001</v>
      </c>
      <c r="I55" s="170">
        <v>0</v>
      </c>
      <c r="J55" s="170">
        <v>0</v>
      </c>
      <c r="K55" s="170">
        <v>0</v>
      </c>
      <c r="L55" s="170">
        <v>0</v>
      </c>
      <c r="M55" s="170">
        <v>2.2050000000000001</v>
      </c>
      <c r="N55" s="171">
        <v>0.30627962085308064</v>
      </c>
      <c r="O55" s="172"/>
      <c r="P55" s="173"/>
    </row>
    <row r="56" spans="1:16" ht="16" x14ac:dyDescent="0.35">
      <c r="A56" s="160"/>
      <c r="B56" s="161"/>
      <c r="C56" s="161"/>
      <c r="D56" s="161"/>
      <c r="E56" s="161"/>
      <c r="F56" s="161"/>
      <c r="G56" s="161"/>
      <c r="H56" s="161"/>
      <c r="I56" s="161"/>
      <c r="J56" s="161"/>
      <c r="K56" s="161"/>
      <c r="L56" s="161"/>
      <c r="M56" s="161"/>
      <c r="N56" s="434"/>
      <c r="O56" s="161"/>
      <c r="P56" s="161"/>
    </row>
    <row r="57" spans="1:16" ht="16" x14ac:dyDescent="0.35">
      <c r="A57" s="488" t="s">
        <v>610</v>
      </c>
      <c r="B57" s="166"/>
      <c r="C57" s="166"/>
      <c r="D57" s="166"/>
      <c r="E57" s="166"/>
      <c r="F57" s="166"/>
      <c r="G57" s="166"/>
      <c r="H57" s="166"/>
      <c r="I57" s="166"/>
      <c r="J57" s="166"/>
      <c r="K57" s="166"/>
      <c r="L57" s="166"/>
      <c r="M57" s="166"/>
      <c r="N57" s="167"/>
      <c r="O57" s="168"/>
      <c r="P57" s="168"/>
    </row>
    <row r="58" spans="1:16" ht="208" x14ac:dyDescent="0.35">
      <c r="A58" s="163" t="s">
        <v>610</v>
      </c>
      <c r="B58" s="441">
        <v>37.427</v>
      </c>
      <c r="C58" s="441">
        <v>0</v>
      </c>
      <c r="D58" s="441">
        <v>14.244999999999999</v>
      </c>
      <c r="E58" s="441">
        <v>0</v>
      </c>
      <c r="F58" s="441">
        <v>0</v>
      </c>
      <c r="G58" s="442">
        <v>51.671999999999997</v>
      </c>
      <c r="H58" s="146">
        <v>51.248000000000005</v>
      </c>
      <c r="I58" s="146">
        <v>0</v>
      </c>
      <c r="J58" s="146">
        <v>20.9</v>
      </c>
      <c r="K58" s="146">
        <v>0</v>
      </c>
      <c r="L58" s="146">
        <v>0</v>
      </c>
      <c r="M58" s="442">
        <v>72.147999999999996</v>
      </c>
      <c r="N58" s="301">
        <v>0.39626877225576718</v>
      </c>
      <c r="O58" s="163" t="s">
        <v>611</v>
      </c>
      <c r="P58" s="444" t="s">
        <v>612</v>
      </c>
    </row>
    <row r="59" spans="1:16" ht="32" x14ac:dyDescent="0.35">
      <c r="A59" s="163" t="s">
        <v>613</v>
      </c>
      <c r="B59" s="441">
        <v>2.2000000000000002</v>
      </c>
      <c r="C59" s="441">
        <v>0</v>
      </c>
      <c r="D59" s="441">
        <v>0</v>
      </c>
      <c r="E59" s="441">
        <v>0</v>
      </c>
      <c r="F59" s="441">
        <v>0</v>
      </c>
      <c r="G59" s="442">
        <v>2.2000000000000002</v>
      </c>
      <c r="H59" s="146">
        <v>2.2000000000000002</v>
      </c>
      <c r="I59" s="146">
        <v>0</v>
      </c>
      <c r="J59" s="146">
        <v>0</v>
      </c>
      <c r="K59" s="146">
        <v>0</v>
      </c>
      <c r="L59" s="146">
        <v>0</v>
      </c>
      <c r="M59" s="442">
        <v>2.2000000000000002</v>
      </c>
      <c r="N59" s="301">
        <v>0</v>
      </c>
      <c r="O59" s="163"/>
      <c r="P59" s="444"/>
    </row>
    <row r="60" spans="1:16" ht="80" x14ac:dyDescent="0.35">
      <c r="A60" s="163" t="s">
        <v>614</v>
      </c>
      <c r="B60" s="441">
        <v>12.093999999999999</v>
      </c>
      <c r="C60" s="441">
        <v>0</v>
      </c>
      <c r="D60" s="441">
        <v>0</v>
      </c>
      <c r="E60" s="441">
        <v>0</v>
      </c>
      <c r="F60" s="441">
        <v>0</v>
      </c>
      <c r="G60" s="442">
        <v>12.093999999999999</v>
      </c>
      <c r="H60" s="146">
        <v>97.05</v>
      </c>
      <c r="I60" s="146">
        <v>0</v>
      </c>
      <c r="J60" s="146">
        <v>0</v>
      </c>
      <c r="K60" s="146">
        <v>0</v>
      </c>
      <c r="L60" s="146">
        <v>0</v>
      </c>
      <c r="M60" s="442">
        <v>97.05</v>
      </c>
      <c r="N60" s="301">
        <v>7.0246403175128167</v>
      </c>
      <c r="O60" s="163" t="s">
        <v>615</v>
      </c>
      <c r="P60" s="444" t="s">
        <v>616</v>
      </c>
    </row>
    <row r="61" spans="1:16" ht="16" collapsed="1" x14ac:dyDescent="0.35">
      <c r="A61" s="490" t="s">
        <v>617</v>
      </c>
      <c r="B61" s="170">
        <v>51.721000000000004</v>
      </c>
      <c r="C61" s="170">
        <v>0</v>
      </c>
      <c r="D61" s="170">
        <v>14.244999999999999</v>
      </c>
      <c r="E61" s="170">
        <v>0</v>
      </c>
      <c r="F61" s="170">
        <v>0</v>
      </c>
      <c r="G61" s="170">
        <v>65.965999999999994</v>
      </c>
      <c r="H61" s="170">
        <v>150.49799999999999</v>
      </c>
      <c r="I61" s="170">
        <v>0</v>
      </c>
      <c r="J61" s="170">
        <v>20.9</v>
      </c>
      <c r="K61" s="170">
        <v>0</v>
      </c>
      <c r="L61" s="170">
        <v>0</v>
      </c>
      <c r="M61" s="170">
        <v>171.398</v>
      </c>
      <c r="N61" s="171">
        <v>1.5982779007367434</v>
      </c>
      <c r="O61" s="172"/>
      <c r="P61" s="173"/>
    </row>
    <row r="62" spans="1:16" ht="16" x14ac:dyDescent="0.35">
      <c r="A62" s="160"/>
      <c r="B62" s="161"/>
      <c r="C62" s="161"/>
      <c r="D62" s="161"/>
      <c r="E62" s="161"/>
      <c r="F62" s="161"/>
      <c r="G62" s="161"/>
      <c r="H62" s="161"/>
      <c r="I62" s="161"/>
      <c r="J62" s="161"/>
      <c r="K62" s="161"/>
      <c r="L62" s="161"/>
      <c r="M62" s="161"/>
      <c r="N62" s="434"/>
      <c r="O62" s="161"/>
      <c r="P62" s="161"/>
    </row>
    <row r="63" spans="1:16" ht="16" x14ac:dyDescent="0.35">
      <c r="A63" s="488" t="s">
        <v>618</v>
      </c>
      <c r="B63" s="166"/>
      <c r="C63" s="166"/>
      <c r="D63" s="166"/>
      <c r="E63" s="166"/>
      <c r="F63" s="166"/>
      <c r="G63" s="166"/>
      <c r="H63" s="166"/>
      <c r="I63" s="166"/>
      <c r="J63" s="166"/>
      <c r="K63" s="166"/>
      <c r="L63" s="166"/>
      <c r="M63" s="166"/>
      <c r="N63" s="167"/>
      <c r="O63" s="168"/>
      <c r="P63" s="168"/>
    </row>
    <row r="64" spans="1:16" ht="64" x14ac:dyDescent="0.35">
      <c r="A64" s="163" t="s">
        <v>618</v>
      </c>
      <c r="B64" s="441">
        <v>4.54</v>
      </c>
      <c r="C64" s="441">
        <v>0</v>
      </c>
      <c r="D64" s="441">
        <v>0</v>
      </c>
      <c r="E64" s="441">
        <v>0</v>
      </c>
      <c r="F64" s="441">
        <v>0</v>
      </c>
      <c r="G64" s="442">
        <v>4.54</v>
      </c>
      <c r="H64" s="146">
        <v>2.4469999999999996</v>
      </c>
      <c r="I64" s="146">
        <v>0</v>
      </c>
      <c r="J64" s="146">
        <v>0</v>
      </c>
      <c r="K64" s="146">
        <v>0</v>
      </c>
      <c r="L64" s="146">
        <v>0</v>
      </c>
      <c r="M64" s="442">
        <v>2.4469999999999996</v>
      </c>
      <c r="N64" s="301">
        <v>-0.46101321585903093</v>
      </c>
      <c r="O64" s="163" t="s">
        <v>619</v>
      </c>
      <c r="P64" s="444" t="s">
        <v>620</v>
      </c>
    </row>
    <row r="65" spans="1:17" ht="16" collapsed="1" x14ac:dyDescent="0.35">
      <c r="A65" s="490" t="s">
        <v>621</v>
      </c>
      <c r="B65" s="170">
        <v>4.54</v>
      </c>
      <c r="C65" s="170">
        <v>0</v>
      </c>
      <c r="D65" s="170">
        <v>0</v>
      </c>
      <c r="E65" s="170">
        <v>0</v>
      </c>
      <c r="F65" s="170">
        <v>0</v>
      </c>
      <c r="G65" s="170">
        <v>4.54</v>
      </c>
      <c r="H65" s="170">
        <v>2.4469999999999996</v>
      </c>
      <c r="I65" s="170">
        <v>0</v>
      </c>
      <c r="J65" s="170">
        <v>0</v>
      </c>
      <c r="K65" s="170">
        <v>0</v>
      </c>
      <c r="L65" s="170">
        <v>0</v>
      </c>
      <c r="M65" s="170">
        <v>2.4469999999999996</v>
      </c>
      <c r="N65" s="171">
        <v>-0.46101321585903093</v>
      </c>
      <c r="O65" s="172"/>
      <c r="P65" s="173"/>
    </row>
    <row r="66" spans="1:17" ht="16" collapsed="1" x14ac:dyDescent="0.35">
      <c r="A66" s="160"/>
      <c r="B66" s="161"/>
      <c r="C66" s="161"/>
      <c r="D66" s="161"/>
      <c r="E66" s="161"/>
      <c r="F66" s="161"/>
      <c r="G66" s="161"/>
      <c r="H66" s="161"/>
      <c r="I66" s="161"/>
      <c r="J66" s="161"/>
      <c r="K66" s="161"/>
      <c r="L66" s="161"/>
      <c r="M66" s="161"/>
      <c r="N66" s="434"/>
      <c r="O66" s="161"/>
      <c r="P66" s="161"/>
    </row>
    <row r="67" spans="1:17" ht="32" x14ac:dyDescent="0.35">
      <c r="A67" s="150" t="s">
        <v>622</v>
      </c>
      <c r="B67" s="151">
        <v>64.432000000000002</v>
      </c>
      <c r="C67" s="151">
        <v>7.5999999999999998E-2</v>
      </c>
      <c r="D67" s="151">
        <v>454.36199999999997</v>
      </c>
      <c r="E67" s="151">
        <v>-30.799999999999997</v>
      </c>
      <c r="F67" s="151">
        <v>0</v>
      </c>
      <c r="G67" s="151">
        <v>488.06999999999994</v>
      </c>
      <c r="H67" s="151">
        <v>161.85400000000001</v>
      </c>
      <c r="I67" s="151">
        <v>7.5999999999999998E-2</v>
      </c>
      <c r="J67" s="151">
        <v>604.1</v>
      </c>
      <c r="K67" s="151">
        <v>0</v>
      </c>
      <c r="L67" s="151">
        <v>0</v>
      </c>
      <c r="M67" s="151">
        <v>766.03</v>
      </c>
      <c r="N67" s="486">
        <v>0.56950847214538913</v>
      </c>
      <c r="O67" s="174"/>
      <c r="P67" s="175"/>
    </row>
    <row r="68" spans="1:17" ht="16" collapsed="1" x14ac:dyDescent="0.35">
      <c r="A68" s="160"/>
      <c r="B68" s="161"/>
      <c r="C68" s="161"/>
      <c r="D68" s="161"/>
      <c r="E68" s="161"/>
      <c r="F68" s="161"/>
      <c r="G68" s="161"/>
      <c r="H68" s="161"/>
      <c r="I68" s="161"/>
      <c r="J68" s="161"/>
      <c r="K68" s="161"/>
      <c r="L68" s="161"/>
      <c r="M68" s="161"/>
      <c r="N68" s="434"/>
      <c r="O68" s="161"/>
      <c r="P68" s="161"/>
    </row>
    <row r="69" spans="1:17" ht="16" x14ac:dyDescent="0.35">
      <c r="A69" s="150" t="s">
        <v>623</v>
      </c>
      <c r="B69" s="151"/>
      <c r="C69" s="151"/>
      <c r="D69" s="151"/>
      <c r="E69" s="151"/>
      <c r="F69" s="151"/>
      <c r="G69" s="151"/>
      <c r="H69" s="151"/>
      <c r="I69" s="151"/>
      <c r="J69" s="151"/>
      <c r="K69" s="151"/>
      <c r="L69" s="151"/>
      <c r="M69" s="151"/>
      <c r="N69" s="486"/>
      <c r="O69" s="174"/>
      <c r="P69" s="175"/>
    </row>
    <row r="70" spans="1:17" ht="32" x14ac:dyDescent="0.35">
      <c r="A70" s="163" t="s">
        <v>623</v>
      </c>
      <c r="B70" s="441">
        <v>6.7089999999999996</v>
      </c>
      <c r="C70" s="441">
        <v>0</v>
      </c>
      <c r="D70" s="441">
        <v>34.6</v>
      </c>
      <c r="E70" s="441">
        <v>0</v>
      </c>
      <c r="F70" s="441">
        <v>0</v>
      </c>
      <c r="G70" s="442">
        <v>41.308999999999997</v>
      </c>
      <c r="H70" s="146">
        <v>5.4660000000000002</v>
      </c>
      <c r="I70" s="146">
        <v>0</v>
      </c>
      <c r="J70" s="146">
        <v>46.7</v>
      </c>
      <c r="K70" s="146">
        <v>0</v>
      </c>
      <c r="L70" s="146">
        <v>0</v>
      </c>
      <c r="M70" s="442">
        <v>52.166000000000004</v>
      </c>
      <c r="N70" s="301">
        <v>0.26282408191919454</v>
      </c>
      <c r="O70" s="163" t="s">
        <v>624</v>
      </c>
      <c r="P70" s="444" t="s">
        <v>625</v>
      </c>
    </row>
    <row r="71" spans="1:17" ht="16" x14ac:dyDescent="0.35">
      <c r="A71" s="150" t="s">
        <v>626</v>
      </c>
      <c r="B71" s="151">
        <v>6.7089999999999996</v>
      </c>
      <c r="C71" s="151">
        <v>0</v>
      </c>
      <c r="D71" s="151">
        <v>34.6</v>
      </c>
      <c r="E71" s="151">
        <v>0</v>
      </c>
      <c r="F71" s="151">
        <v>0</v>
      </c>
      <c r="G71" s="151">
        <v>41.308999999999997</v>
      </c>
      <c r="H71" s="151">
        <v>5.4660000000000002</v>
      </c>
      <c r="I71" s="151">
        <v>0</v>
      </c>
      <c r="J71" s="151">
        <v>46.7</v>
      </c>
      <c r="K71" s="151">
        <v>0</v>
      </c>
      <c r="L71" s="151">
        <v>0</v>
      </c>
      <c r="M71" s="151">
        <v>52.166000000000004</v>
      </c>
      <c r="N71" s="486">
        <v>0.26282408191919454</v>
      </c>
      <c r="O71" s="487"/>
      <c r="P71" s="487"/>
    </row>
    <row r="72" spans="1:17" ht="16" x14ac:dyDescent="0.35">
      <c r="A72" s="493"/>
      <c r="B72" s="494"/>
      <c r="C72" s="494"/>
      <c r="D72" s="494"/>
      <c r="E72" s="494"/>
      <c r="F72" s="494"/>
      <c r="G72" s="494"/>
      <c r="H72" s="494"/>
      <c r="I72" s="494"/>
      <c r="J72" s="494"/>
      <c r="K72" s="494"/>
      <c r="L72" s="494"/>
      <c r="M72" s="494"/>
      <c r="N72" s="495"/>
      <c r="O72" s="292"/>
      <c r="P72" s="292"/>
      <c r="Q72" s="236"/>
    </row>
    <row r="73" spans="1:17" ht="32" x14ac:dyDescent="0.35">
      <c r="A73" s="142" t="s">
        <v>627</v>
      </c>
      <c r="B73" s="143"/>
      <c r="C73" s="143"/>
      <c r="D73" s="143"/>
      <c r="E73" s="143"/>
      <c r="F73" s="143"/>
      <c r="G73" s="143"/>
      <c r="H73" s="143"/>
      <c r="I73" s="143"/>
      <c r="J73" s="143"/>
      <c r="K73" s="143"/>
      <c r="L73" s="143"/>
      <c r="M73" s="143"/>
      <c r="N73" s="162"/>
      <c r="O73" s="484"/>
      <c r="P73" s="484"/>
    </row>
    <row r="74" spans="1:17" ht="16" x14ac:dyDescent="0.35">
      <c r="A74" s="488" t="s">
        <v>520</v>
      </c>
      <c r="B74" s="166"/>
      <c r="C74" s="166"/>
      <c r="D74" s="166"/>
      <c r="E74" s="166"/>
      <c r="F74" s="166"/>
      <c r="G74" s="166"/>
      <c r="H74" s="166"/>
      <c r="I74" s="166"/>
      <c r="J74" s="166"/>
      <c r="K74" s="166"/>
      <c r="L74" s="166"/>
      <c r="M74" s="166"/>
      <c r="N74" s="167"/>
      <c r="O74" s="168"/>
      <c r="P74" s="168"/>
    </row>
    <row r="75" spans="1:17" ht="112" x14ac:dyDescent="0.35">
      <c r="A75" s="163" t="s">
        <v>520</v>
      </c>
      <c r="B75" s="441">
        <v>34.738</v>
      </c>
      <c r="C75" s="441">
        <v>0</v>
      </c>
      <c r="D75" s="441">
        <v>0.16500000000000001</v>
      </c>
      <c r="E75" s="441">
        <v>0</v>
      </c>
      <c r="F75" s="441">
        <v>0</v>
      </c>
      <c r="G75" s="442">
        <v>34.902999999999999</v>
      </c>
      <c r="H75" s="146">
        <v>42.021999999999998</v>
      </c>
      <c r="I75" s="146">
        <v>0</v>
      </c>
      <c r="J75" s="146">
        <v>0</v>
      </c>
      <c r="K75" s="146">
        <v>0</v>
      </c>
      <c r="L75" s="146">
        <v>0</v>
      </c>
      <c r="M75" s="442">
        <v>42.021999999999998</v>
      </c>
      <c r="N75" s="301">
        <v>0.2039652751912443</v>
      </c>
      <c r="O75" s="163" t="s">
        <v>628</v>
      </c>
      <c r="P75" s="444" t="s">
        <v>629</v>
      </c>
    </row>
    <row r="76" spans="1:17" ht="16" x14ac:dyDescent="0.35">
      <c r="A76" s="163" t="s">
        <v>630</v>
      </c>
      <c r="B76" s="441">
        <v>9.0399999999999991</v>
      </c>
      <c r="C76" s="441">
        <v>0</v>
      </c>
      <c r="D76" s="441">
        <v>0</v>
      </c>
      <c r="E76" s="441">
        <v>0</v>
      </c>
      <c r="F76" s="441">
        <v>0</v>
      </c>
      <c r="G76" s="442">
        <v>9.0399999999999991</v>
      </c>
      <c r="H76" s="146">
        <v>7.94</v>
      </c>
      <c r="I76" s="146">
        <v>0</v>
      </c>
      <c r="J76" s="146">
        <v>0</v>
      </c>
      <c r="K76" s="146">
        <v>0</v>
      </c>
      <c r="L76" s="146">
        <v>0</v>
      </c>
      <c r="M76" s="442">
        <v>7.94</v>
      </c>
      <c r="N76" s="301">
        <v>-0.12168141592920341</v>
      </c>
      <c r="O76" s="163" t="s">
        <v>631</v>
      </c>
      <c r="P76" s="444" t="s">
        <v>74</v>
      </c>
    </row>
    <row r="77" spans="1:17" ht="16" collapsed="1" x14ac:dyDescent="0.35">
      <c r="A77" s="490" t="s">
        <v>632</v>
      </c>
      <c r="B77" s="170">
        <v>43.777999999999999</v>
      </c>
      <c r="C77" s="170">
        <v>0</v>
      </c>
      <c r="D77" s="170">
        <v>0.16500000000000001</v>
      </c>
      <c r="E77" s="170">
        <v>0</v>
      </c>
      <c r="F77" s="170">
        <v>0</v>
      </c>
      <c r="G77" s="170">
        <v>43.942999999999998</v>
      </c>
      <c r="H77" s="170">
        <v>49.961999999999996</v>
      </c>
      <c r="I77" s="170">
        <v>0</v>
      </c>
      <c r="J77" s="170">
        <v>0</v>
      </c>
      <c r="K77" s="170">
        <v>0</v>
      </c>
      <c r="L77" s="170">
        <v>0</v>
      </c>
      <c r="M77" s="170">
        <v>49.961999999999996</v>
      </c>
      <c r="N77" s="171">
        <v>0.13697289670709781</v>
      </c>
      <c r="O77" s="172"/>
      <c r="P77" s="173"/>
    </row>
    <row r="78" spans="1:17" ht="16" x14ac:dyDescent="0.35">
      <c r="A78" s="160"/>
      <c r="B78" s="161"/>
      <c r="C78" s="161"/>
      <c r="D78" s="161"/>
      <c r="E78" s="161"/>
      <c r="F78" s="161"/>
      <c r="G78" s="161"/>
      <c r="H78" s="161"/>
      <c r="I78" s="161"/>
      <c r="J78" s="161"/>
      <c r="K78" s="161"/>
      <c r="L78" s="161"/>
      <c r="M78" s="161"/>
      <c r="N78" s="434"/>
      <c r="O78" s="161"/>
      <c r="P78" s="161"/>
    </row>
    <row r="79" spans="1:17" ht="16" x14ac:dyDescent="0.35">
      <c r="A79" s="488" t="s">
        <v>633</v>
      </c>
      <c r="B79" s="166"/>
      <c r="C79" s="166"/>
      <c r="D79" s="166"/>
      <c r="E79" s="166"/>
      <c r="F79" s="166"/>
      <c r="G79" s="166"/>
      <c r="H79" s="166"/>
      <c r="I79" s="166"/>
      <c r="J79" s="166"/>
      <c r="K79" s="166"/>
      <c r="L79" s="166"/>
      <c r="M79" s="166"/>
      <c r="N79" s="167"/>
      <c r="O79" s="168"/>
      <c r="P79" s="168"/>
    </row>
    <row r="80" spans="1:17" ht="80" x14ac:dyDescent="0.35">
      <c r="A80" s="163" t="s">
        <v>633</v>
      </c>
      <c r="B80" s="441">
        <v>6.08</v>
      </c>
      <c r="C80" s="441">
        <v>0</v>
      </c>
      <c r="D80" s="441">
        <v>0</v>
      </c>
      <c r="E80" s="441">
        <v>0</v>
      </c>
      <c r="F80" s="441">
        <v>0</v>
      </c>
      <c r="G80" s="442">
        <v>6.08</v>
      </c>
      <c r="H80" s="146">
        <v>6.5269999999999992</v>
      </c>
      <c r="I80" s="146">
        <v>0</v>
      </c>
      <c r="J80" s="146">
        <v>2.5</v>
      </c>
      <c r="K80" s="146">
        <v>0</v>
      </c>
      <c r="L80" s="146">
        <v>0</v>
      </c>
      <c r="M80" s="442">
        <v>9.0269999999999992</v>
      </c>
      <c r="N80" s="301">
        <v>0.48470394736842093</v>
      </c>
      <c r="O80" s="163" t="s">
        <v>634</v>
      </c>
      <c r="P80" s="444" t="s">
        <v>635</v>
      </c>
    </row>
    <row r="81" spans="1:16" ht="16" collapsed="1" x14ac:dyDescent="0.35">
      <c r="A81" s="490" t="s">
        <v>636</v>
      </c>
      <c r="B81" s="170">
        <v>6.08</v>
      </c>
      <c r="C81" s="170">
        <v>0</v>
      </c>
      <c r="D81" s="170">
        <v>0</v>
      </c>
      <c r="E81" s="170">
        <v>0</v>
      </c>
      <c r="F81" s="170">
        <v>0</v>
      </c>
      <c r="G81" s="170">
        <v>6.08</v>
      </c>
      <c r="H81" s="170">
        <v>6.5269999999999992</v>
      </c>
      <c r="I81" s="170">
        <v>0</v>
      </c>
      <c r="J81" s="170">
        <v>2.5</v>
      </c>
      <c r="K81" s="170">
        <v>0</v>
      </c>
      <c r="L81" s="170">
        <v>0</v>
      </c>
      <c r="M81" s="170">
        <v>9.0269999999999992</v>
      </c>
      <c r="N81" s="171">
        <v>0.48470394736842093</v>
      </c>
      <c r="O81" s="172"/>
      <c r="P81" s="173"/>
    </row>
    <row r="82" spans="1:16" ht="16" x14ac:dyDescent="0.35">
      <c r="A82" s="160"/>
      <c r="B82" s="161"/>
      <c r="C82" s="161"/>
      <c r="D82" s="161"/>
      <c r="E82" s="161"/>
      <c r="F82" s="161"/>
      <c r="G82" s="161"/>
      <c r="H82" s="161"/>
      <c r="I82" s="161"/>
      <c r="J82" s="161"/>
      <c r="K82" s="161"/>
      <c r="L82" s="161"/>
      <c r="M82" s="161"/>
      <c r="N82" s="434"/>
      <c r="O82" s="161"/>
      <c r="P82" s="161"/>
    </row>
    <row r="83" spans="1:16" ht="32" x14ac:dyDescent="0.35">
      <c r="A83" s="150" t="s">
        <v>637</v>
      </c>
      <c r="B83" s="151">
        <v>49.857999999999997</v>
      </c>
      <c r="C83" s="151">
        <v>0</v>
      </c>
      <c r="D83" s="151">
        <v>0.16500000000000001</v>
      </c>
      <c r="E83" s="151">
        <v>0</v>
      </c>
      <c r="F83" s="151">
        <v>0</v>
      </c>
      <c r="G83" s="151">
        <v>50.022999999999996</v>
      </c>
      <c r="H83" s="151">
        <v>56.488999999999997</v>
      </c>
      <c r="I83" s="151">
        <v>0</v>
      </c>
      <c r="J83" s="151">
        <v>2.5</v>
      </c>
      <c r="K83" s="151">
        <v>0</v>
      </c>
      <c r="L83" s="151">
        <v>0</v>
      </c>
      <c r="M83" s="151">
        <v>58.988999999999997</v>
      </c>
      <c r="N83" s="486">
        <v>0.17923755072666578</v>
      </c>
      <c r="O83" s="174"/>
      <c r="P83" s="175"/>
    </row>
    <row r="84" spans="1:16" ht="16" x14ac:dyDescent="0.35">
      <c r="A84" s="160"/>
      <c r="B84" s="161"/>
      <c r="C84" s="161"/>
      <c r="D84" s="161"/>
      <c r="E84" s="161"/>
      <c r="F84" s="161"/>
      <c r="G84" s="161"/>
      <c r="H84" s="161"/>
      <c r="I84" s="161"/>
      <c r="J84" s="161"/>
      <c r="K84" s="161"/>
      <c r="L84" s="161"/>
      <c r="M84" s="161"/>
      <c r="N84" s="434"/>
      <c r="O84" s="161"/>
      <c r="P84" s="161"/>
    </row>
    <row r="85" spans="1:16" ht="32" x14ac:dyDescent="0.35">
      <c r="A85" s="142" t="s">
        <v>638</v>
      </c>
      <c r="B85" s="482"/>
      <c r="C85" s="482"/>
      <c r="D85" s="482"/>
      <c r="E85" s="482"/>
      <c r="F85" s="482"/>
      <c r="G85" s="482"/>
      <c r="H85" s="482"/>
      <c r="I85" s="482"/>
      <c r="J85" s="482"/>
      <c r="K85" s="482"/>
      <c r="L85" s="482"/>
      <c r="M85" s="482"/>
      <c r="N85" s="483"/>
      <c r="O85" s="484"/>
      <c r="P85" s="484"/>
    </row>
    <row r="86" spans="1:16" ht="32" x14ac:dyDescent="0.35">
      <c r="A86" s="440" t="s">
        <v>638</v>
      </c>
      <c r="B86" s="441">
        <v>3.6389999999999998</v>
      </c>
      <c r="C86" s="441">
        <v>0</v>
      </c>
      <c r="D86" s="441">
        <v>0</v>
      </c>
      <c r="E86" s="441">
        <v>0</v>
      </c>
      <c r="F86" s="441">
        <v>0</v>
      </c>
      <c r="G86" s="442">
        <v>3.6389999999999998</v>
      </c>
      <c r="H86" s="146">
        <v>3.6640000000000001</v>
      </c>
      <c r="I86" s="146">
        <v>8.6999999999999994E-2</v>
      </c>
      <c r="J86" s="146">
        <v>0</v>
      </c>
      <c r="K86" s="146">
        <v>0</v>
      </c>
      <c r="L86" s="146">
        <v>0</v>
      </c>
      <c r="M86" s="442">
        <v>3.7510000000000003</v>
      </c>
      <c r="N86" s="301">
        <v>3.0777686177521447E-2</v>
      </c>
      <c r="O86" s="163" t="s">
        <v>639</v>
      </c>
      <c r="P86" s="444" t="s">
        <v>237</v>
      </c>
    </row>
    <row r="87" spans="1:16" ht="32" x14ac:dyDescent="0.35">
      <c r="A87" s="150" t="s">
        <v>640</v>
      </c>
      <c r="B87" s="151">
        <v>3.6389999999999998</v>
      </c>
      <c r="C87" s="151">
        <v>0</v>
      </c>
      <c r="D87" s="151">
        <v>0</v>
      </c>
      <c r="E87" s="151">
        <v>0</v>
      </c>
      <c r="F87" s="151">
        <v>0</v>
      </c>
      <c r="G87" s="151">
        <v>3.6389999999999998</v>
      </c>
      <c r="H87" s="151">
        <v>3.6640000000000001</v>
      </c>
      <c r="I87" s="151">
        <v>8.6999999999999994E-2</v>
      </c>
      <c r="J87" s="151">
        <v>0</v>
      </c>
      <c r="K87" s="151">
        <v>0</v>
      </c>
      <c r="L87" s="151">
        <v>0</v>
      </c>
      <c r="M87" s="151">
        <v>3.7510000000000003</v>
      </c>
      <c r="N87" s="486">
        <v>3.0777686177521447E-2</v>
      </c>
      <c r="O87" s="174"/>
      <c r="P87" s="175"/>
    </row>
    <row r="88" spans="1:16" ht="16" x14ac:dyDescent="0.35">
      <c r="A88" s="160"/>
      <c r="B88" s="161"/>
      <c r="C88" s="161"/>
      <c r="D88" s="161"/>
      <c r="E88" s="161"/>
      <c r="F88" s="161"/>
      <c r="G88" s="161"/>
      <c r="H88" s="161"/>
      <c r="I88" s="161"/>
      <c r="J88" s="161"/>
      <c r="K88" s="161"/>
      <c r="L88" s="161"/>
      <c r="M88" s="161"/>
      <c r="N88" s="434"/>
      <c r="O88" s="160"/>
      <c r="P88" s="160"/>
    </row>
    <row r="89" spans="1:16" ht="16" x14ac:dyDescent="0.35">
      <c r="A89" s="496" t="s">
        <v>641</v>
      </c>
      <c r="B89" s="462"/>
      <c r="C89" s="462"/>
      <c r="D89" s="462"/>
      <c r="E89" s="462"/>
      <c r="F89" s="462"/>
      <c r="G89" s="462"/>
      <c r="H89" s="462"/>
      <c r="I89" s="462"/>
      <c r="J89" s="462"/>
      <c r="K89" s="462"/>
      <c r="L89" s="462"/>
      <c r="M89" s="462"/>
      <c r="N89" s="463"/>
      <c r="O89" s="484"/>
      <c r="P89" s="484"/>
    </row>
    <row r="90" spans="1:16" ht="32" x14ac:dyDescent="0.35">
      <c r="A90" s="485" t="s">
        <v>641</v>
      </c>
      <c r="B90" s="441">
        <v>5.2069999999999999</v>
      </c>
      <c r="C90" s="441">
        <v>8.1000000000000003E-2</v>
      </c>
      <c r="D90" s="441">
        <v>0.1</v>
      </c>
      <c r="E90" s="441">
        <v>0</v>
      </c>
      <c r="F90" s="441">
        <v>0.19400000000000001</v>
      </c>
      <c r="G90" s="442">
        <v>5.5819999999999999</v>
      </c>
      <c r="H90" s="146">
        <v>5.3440000000000003</v>
      </c>
      <c r="I90" s="146">
        <v>0.13700000000000001</v>
      </c>
      <c r="J90" s="146">
        <v>0.1</v>
      </c>
      <c r="K90" s="146">
        <v>0</v>
      </c>
      <c r="L90" s="146">
        <v>0.2</v>
      </c>
      <c r="M90" s="442">
        <v>5.7809999999999997</v>
      </c>
      <c r="N90" s="301">
        <v>3.565030455034035E-2</v>
      </c>
      <c r="O90" s="485" t="s">
        <v>642</v>
      </c>
      <c r="P90" s="497" t="s">
        <v>237</v>
      </c>
    </row>
    <row r="91" spans="1:16" ht="32" x14ac:dyDescent="0.35">
      <c r="A91" s="150" t="s">
        <v>643</v>
      </c>
      <c r="B91" s="151">
        <v>5.2069999999999999</v>
      </c>
      <c r="C91" s="151">
        <v>8.1000000000000003E-2</v>
      </c>
      <c r="D91" s="151">
        <v>0.1</v>
      </c>
      <c r="E91" s="151">
        <v>0</v>
      </c>
      <c r="F91" s="151">
        <v>0.19400000000000001</v>
      </c>
      <c r="G91" s="151">
        <v>5.5819999999999999</v>
      </c>
      <c r="H91" s="151">
        <v>5.3440000000000003</v>
      </c>
      <c r="I91" s="151">
        <v>0.13700000000000001</v>
      </c>
      <c r="J91" s="151">
        <v>0.1</v>
      </c>
      <c r="K91" s="151">
        <v>0</v>
      </c>
      <c r="L91" s="151">
        <v>0.2</v>
      </c>
      <c r="M91" s="151">
        <v>5.7809999999999997</v>
      </c>
      <c r="N91" s="486">
        <v>3.565030455034035E-2</v>
      </c>
      <c r="O91" s="174"/>
      <c r="P91" s="175"/>
    </row>
    <row r="92" spans="1:16" ht="16" x14ac:dyDescent="0.35">
      <c r="A92" s="160"/>
      <c r="B92" s="161"/>
      <c r="C92" s="161"/>
      <c r="D92" s="161"/>
      <c r="E92" s="161"/>
      <c r="F92" s="161"/>
      <c r="G92" s="161"/>
      <c r="H92" s="161"/>
      <c r="I92" s="161"/>
      <c r="J92" s="161"/>
      <c r="K92" s="161"/>
      <c r="L92" s="161"/>
      <c r="M92" s="161"/>
      <c r="N92" s="434"/>
      <c r="O92" s="160"/>
      <c r="P92" s="160"/>
    </row>
    <row r="93" spans="1:16" ht="16" x14ac:dyDescent="0.35">
      <c r="A93" s="496" t="s">
        <v>644</v>
      </c>
      <c r="B93" s="462"/>
      <c r="C93" s="462"/>
      <c r="D93" s="462"/>
      <c r="E93" s="462"/>
      <c r="F93" s="462"/>
      <c r="G93" s="462"/>
      <c r="H93" s="462"/>
      <c r="I93" s="462"/>
      <c r="J93" s="462"/>
      <c r="K93" s="462"/>
      <c r="L93" s="462"/>
      <c r="M93" s="462"/>
      <c r="N93" s="463"/>
      <c r="O93" s="484"/>
      <c r="P93" s="484"/>
    </row>
    <row r="94" spans="1:16" ht="32" x14ac:dyDescent="0.35">
      <c r="A94" s="485" t="s">
        <v>644</v>
      </c>
      <c r="B94" s="441">
        <v>46.749000000000002</v>
      </c>
      <c r="C94" s="441">
        <v>0</v>
      </c>
      <c r="D94" s="441">
        <v>5</v>
      </c>
      <c r="E94" s="441">
        <v>0</v>
      </c>
      <c r="F94" s="441">
        <v>0</v>
      </c>
      <c r="G94" s="442">
        <v>51.749000000000002</v>
      </c>
      <c r="H94" s="146">
        <v>14.055</v>
      </c>
      <c r="I94" s="146">
        <v>0</v>
      </c>
      <c r="J94" s="146">
        <v>4.0999999999999996</v>
      </c>
      <c r="K94" s="146">
        <v>0</v>
      </c>
      <c r="L94" s="146">
        <v>0</v>
      </c>
      <c r="M94" s="442">
        <v>18.155000000000001</v>
      </c>
      <c r="N94" s="301">
        <v>-0.64917196467564586</v>
      </c>
      <c r="O94" s="485" t="s">
        <v>645</v>
      </c>
      <c r="P94" s="497" t="s">
        <v>646</v>
      </c>
    </row>
    <row r="95" spans="1:16" ht="16" x14ac:dyDescent="0.35">
      <c r="A95" s="150" t="s">
        <v>647</v>
      </c>
      <c r="B95" s="151">
        <v>46.749000000000002</v>
      </c>
      <c r="C95" s="151">
        <v>0</v>
      </c>
      <c r="D95" s="151">
        <v>5</v>
      </c>
      <c r="E95" s="151">
        <v>0</v>
      </c>
      <c r="F95" s="151">
        <v>0</v>
      </c>
      <c r="G95" s="151">
        <v>51.749000000000002</v>
      </c>
      <c r="H95" s="151">
        <v>14.055</v>
      </c>
      <c r="I95" s="151">
        <v>0</v>
      </c>
      <c r="J95" s="151">
        <v>4.0999999999999996</v>
      </c>
      <c r="K95" s="151">
        <v>0</v>
      </c>
      <c r="L95" s="151">
        <v>0</v>
      </c>
      <c r="M95" s="151">
        <v>18.155000000000001</v>
      </c>
      <c r="N95" s="486">
        <v>-0.64917196467564586</v>
      </c>
      <c r="O95" s="174"/>
      <c r="P95" s="175"/>
    </row>
    <row r="96" spans="1:16" ht="16" x14ac:dyDescent="0.35">
      <c r="A96" s="498"/>
      <c r="B96" s="499"/>
      <c r="C96" s="499"/>
      <c r="D96" s="499"/>
      <c r="E96" s="499"/>
      <c r="F96" s="499"/>
      <c r="G96" s="499"/>
      <c r="H96" s="499"/>
      <c r="I96" s="499"/>
      <c r="J96" s="499"/>
      <c r="K96" s="499"/>
      <c r="L96" s="499"/>
      <c r="M96" s="499"/>
      <c r="N96" s="500"/>
      <c r="O96" s="292"/>
      <c r="P96" s="292"/>
    </row>
    <row r="97" spans="1:17" ht="16" x14ac:dyDescent="0.35">
      <c r="A97" s="286" t="s">
        <v>338</v>
      </c>
      <c r="B97" s="287">
        <v>0</v>
      </c>
      <c r="C97" s="287">
        <v>0</v>
      </c>
      <c r="D97" s="287">
        <v>0</v>
      </c>
      <c r="E97" s="287">
        <v>0</v>
      </c>
      <c r="F97" s="287">
        <v>0</v>
      </c>
      <c r="G97" s="288">
        <v>0</v>
      </c>
      <c r="H97" s="288">
        <v>0</v>
      </c>
      <c r="I97" s="288">
        <v>0</v>
      </c>
      <c r="J97" s="288">
        <v>0</v>
      </c>
      <c r="K97" s="288">
        <v>0</v>
      </c>
      <c r="L97" s="288">
        <v>0</v>
      </c>
      <c r="M97" s="288">
        <v>0</v>
      </c>
      <c r="N97" s="501"/>
      <c r="O97" s="292"/>
      <c r="P97" s="292"/>
    </row>
    <row r="98" spans="1:17" s="411" customFormat="1" ht="19.5" x14ac:dyDescent="0.45">
      <c r="A98" s="502"/>
      <c r="B98" s="503"/>
      <c r="C98" s="503"/>
      <c r="D98" s="503"/>
      <c r="E98" s="503"/>
      <c r="F98" s="503"/>
      <c r="G98" s="503"/>
      <c r="H98" s="503"/>
      <c r="I98" s="503"/>
      <c r="J98" s="503"/>
      <c r="K98" s="503"/>
      <c r="L98" s="503"/>
      <c r="M98" s="503"/>
      <c r="N98" s="504"/>
      <c r="O98" s="505"/>
      <c r="P98" s="505"/>
      <c r="Q98" s="410"/>
    </row>
    <row r="99" spans="1:17" ht="16" x14ac:dyDescent="0.35">
      <c r="A99" s="289" t="s">
        <v>632</v>
      </c>
      <c r="B99" s="290">
        <v>6618.7540000000008</v>
      </c>
      <c r="C99" s="290">
        <v>84.917000000000002</v>
      </c>
      <c r="D99" s="290">
        <v>565.51699999999994</v>
      </c>
      <c r="E99" s="290">
        <v>-30.799999999999997</v>
      </c>
      <c r="F99" s="290">
        <v>0.19400000000000001</v>
      </c>
      <c r="G99" s="290">
        <v>7238.5820000000003</v>
      </c>
      <c r="H99" s="290">
        <v>7471.9</v>
      </c>
      <c r="I99" s="290">
        <v>70.712999999999994</v>
      </c>
      <c r="J99" s="290">
        <v>701.50000000000011</v>
      </c>
      <c r="K99" s="290">
        <v>0</v>
      </c>
      <c r="L99" s="290">
        <v>0.2</v>
      </c>
      <c r="M99" s="290">
        <v>8244.3129999999983</v>
      </c>
      <c r="N99" s="486">
        <v>0.13894033389412427</v>
      </c>
      <c r="O99" s="292"/>
      <c r="P99" s="292"/>
    </row>
    <row r="100" spans="1:17" ht="16" x14ac:dyDescent="0.35">
      <c r="A100" s="291"/>
      <c r="B100" s="292"/>
      <c r="C100" s="292"/>
      <c r="D100" s="292"/>
      <c r="E100" s="292"/>
      <c r="F100" s="292"/>
      <c r="G100" s="292"/>
      <c r="H100" s="292"/>
      <c r="I100" s="292"/>
      <c r="J100" s="292"/>
      <c r="K100" s="292"/>
      <c r="L100" s="292"/>
      <c r="M100" s="292"/>
      <c r="N100" s="293"/>
      <c r="O100" s="292"/>
      <c r="P100" s="292"/>
    </row>
    <row r="101" spans="1:17" ht="16" x14ac:dyDescent="0.35">
      <c r="A101" s="506"/>
      <c r="B101" s="507"/>
      <c r="C101" s="507"/>
      <c r="D101" s="507"/>
      <c r="E101" s="507"/>
      <c r="F101" s="507"/>
      <c r="G101" s="507"/>
      <c r="H101" s="507"/>
      <c r="I101" s="507"/>
      <c r="J101" s="507"/>
      <c r="K101" s="507"/>
      <c r="L101" s="507"/>
      <c r="M101" s="507"/>
      <c r="N101" s="434"/>
      <c r="O101" s="506"/>
      <c r="P101" s="506"/>
    </row>
    <row r="102" spans="1:17" ht="16" x14ac:dyDescent="0.35">
      <c r="A102" s="289" t="s">
        <v>344</v>
      </c>
      <c r="B102" s="290"/>
      <c r="C102" s="290"/>
      <c r="D102" s="290"/>
      <c r="E102" s="290"/>
      <c r="F102" s="290"/>
      <c r="G102" s="290"/>
      <c r="H102" s="290"/>
      <c r="I102" s="290"/>
      <c r="J102" s="290"/>
      <c r="K102" s="290"/>
      <c r="L102" s="290"/>
      <c r="M102" s="290"/>
      <c r="N102" s="294"/>
      <c r="O102" s="292"/>
      <c r="P102" s="292"/>
    </row>
    <row r="103" spans="1:17" ht="16" x14ac:dyDescent="0.35">
      <c r="A103" s="295"/>
      <c r="B103" s="296"/>
      <c r="C103" s="296"/>
      <c r="D103" s="296"/>
      <c r="E103" s="296"/>
      <c r="F103" s="296"/>
      <c r="G103" s="296"/>
      <c r="H103" s="296"/>
      <c r="I103" s="296"/>
      <c r="J103" s="296"/>
      <c r="K103" s="296"/>
      <c r="L103" s="296"/>
      <c r="M103" s="296"/>
      <c r="N103" s="297"/>
      <c r="O103" s="292"/>
      <c r="P103" s="292"/>
    </row>
    <row r="104" spans="1:17" ht="64" x14ac:dyDescent="0.35">
      <c r="A104" s="298" t="s">
        <v>648</v>
      </c>
      <c r="B104" s="146">
        <v>0</v>
      </c>
      <c r="C104" s="146">
        <v>0</v>
      </c>
      <c r="D104" s="146">
        <v>92.245000000000005</v>
      </c>
      <c r="E104" s="146">
        <v>0</v>
      </c>
      <c r="F104" s="146">
        <v>0</v>
      </c>
      <c r="G104" s="300">
        <v>92.245000000000005</v>
      </c>
      <c r="H104" s="146">
        <v>0</v>
      </c>
      <c r="I104" s="146">
        <v>0</v>
      </c>
      <c r="J104" s="146">
        <v>92.245000000000005</v>
      </c>
      <c r="K104" s="146">
        <v>0</v>
      </c>
      <c r="L104" s="146">
        <v>0</v>
      </c>
      <c r="M104" s="300">
        <v>92.245000000000005</v>
      </c>
      <c r="N104" s="301">
        <v>0</v>
      </c>
      <c r="O104" s="145" t="s">
        <v>649</v>
      </c>
      <c r="P104" s="149" t="s">
        <v>60</v>
      </c>
    </row>
    <row r="105" spans="1:17" ht="16" x14ac:dyDescent="0.35">
      <c r="A105" s="302"/>
      <c r="B105" s="303"/>
      <c r="C105" s="303"/>
      <c r="D105" s="303"/>
      <c r="E105" s="303"/>
      <c r="F105" s="303"/>
      <c r="G105" s="303"/>
      <c r="H105" s="303"/>
      <c r="I105" s="303"/>
      <c r="J105" s="303"/>
      <c r="K105" s="303"/>
      <c r="L105" s="303"/>
      <c r="M105" s="303"/>
      <c r="N105" s="304"/>
      <c r="O105" s="292"/>
      <c r="P105" s="292"/>
    </row>
    <row r="106" spans="1:17" ht="16" x14ac:dyDescent="0.35">
      <c r="A106" s="289" t="s">
        <v>344</v>
      </c>
      <c r="B106" s="290">
        <v>0</v>
      </c>
      <c r="C106" s="290">
        <v>0</v>
      </c>
      <c r="D106" s="290">
        <v>92.245000000000005</v>
      </c>
      <c r="E106" s="290">
        <v>0</v>
      </c>
      <c r="F106" s="290">
        <v>0</v>
      </c>
      <c r="G106" s="290">
        <v>92.245000000000005</v>
      </c>
      <c r="H106" s="290">
        <v>0</v>
      </c>
      <c r="I106" s="290">
        <v>0</v>
      </c>
      <c r="J106" s="290">
        <v>92.245000000000005</v>
      </c>
      <c r="K106" s="290">
        <v>0</v>
      </c>
      <c r="L106" s="290">
        <v>0</v>
      </c>
      <c r="M106" s="290">
        <v>92.245000000000005</v>
      </c>
      <c r="N106" s="294">
        <v>0</v>
      </c>
      <c r="O106" s="292"/>
      <c r="P106" s="292"/>
    </row>
  </sheetData>
  <protectedRanges>
    <protectedRange algorithmName="SHA-512" hashValue="g2HyvLsN07Nu6y8JA3usNp2VPgXtF20SfpIwOl9+XaJ33F47jQ3cPM/dshclv3u6MLMZbqz25Soe63alDgScAg==" saltValue="Lw38YPClH2LuoXlcNLzT3A==" spinCount="100000" sqref="B100:F1048576 H92:L98 H100:L1048576 B92:F98 B66:F90 B91:M91 H1:L54 B65:N65 B55:M55 B1:F54 B56:F64 H56:L64 H66:L90" name="Range1_3_1"/>
  </protectedRange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2992B-E409-4E15-8DFA-941C84DAF48C}">
  <sheetPr>
    <tabColor rgb="FFFFFF00"/>
  </sheetPr>
  <dimension ref="A1:Q183"/>
  <sheetViews>
    <sheetView showGridLines="0" topLeftCell="A160" zoomScale="60" zoomScaleNormal="60" workbookViewId="0">
      <selection activeCell="H188" sqref="H188"/>
    </sheetView>
  </sheetViews>
  <sheetFormatPr defaultColWidth="8.54296875" defaultRowHeight="14.5" outlineLevelCol="1" x14ac:dyDescent="0.35"/>
  <cols>
    <col min="1" max="1" width="40.54296875" customWidth="1"/>
    <col min="2" max="14" width="17.453125" customWidth="1" outlineLevel="1"/>
    <col min="15" max="16" width="75.54296875" customWidth="1" outlineLevel="1"/>
    <col min="17" max="17" width="2.54296875" style="126" customWidth="1"/>
    <col min="18" max="25" width="14.453125" customWidth="1"/>
  </cols>
  <sheetData>
    <row r="1" spans="1:16" ht="22.5" customHeight="1" x14ac:dyDescent="0.35">
      <c r="A1" s="127"/>
      <c r="B1" s="128"/>
      <c r="C1" s="129"/>
      <c r="D1" s="129"/>
      <c r="E1" s="129"/>
      <c r="F1" s="129"/>
      <c r="G1" s="130"/>
      <c r="H1" s="128"/>
      <c r="I1" s="129"/>
      <c r="J1" s="129"/>
      <c r="K1" s="129"/>
      <c r="L1" s="129"/>
      <c r="M1" s="130"/>
      <c r="N1" s="131"/>
      <c r="O1" s="132"/>
      <c r="P1" s="133"/>
    </row>
    <row r="2" spans="1:16" ht="131.25" customHeight="1" x14ac:dyDescent="0.35">
      <c r="A2" s="8" t="s">
        <v>650</v>
      </c>
      <c r="B2" s="307" t="s">
        <v>6</v>
      </c>
      <c r="C2" s="307" t="s">
        <v>7</v>
      </c>
      <c r="D2" s="307" t="s">
        <v>8</v>
      </c>
      <c r="E2" s="307" t="s">
        <v>9</v>
      </c>
      <c r="F2" s="307" t="s">
        <v>10</v>
      </c>
      <c r="G2" s="307" t="s">
        <v>11</v>
      </c>
      <c r="H2" s="307" t="s">
        <v>12</v>
      </c>
      <c r="I2" s="307" t="s">
        <v>13</v>
      </c>
      <c r="J2" s="307" t="s">
        <v>14</v>
      </c>
      <c r="K2" s="307" t="s">
        <v>15</v>
      </c>
      <c r="L2" s="307" t="s">
        <v>16</v>
      </c>
      <c r="M2" s="307" t="s">
        <v>17</v>
      </c>
      <c r="N2" s="10" t="s">
        <v>18</v>
      </c>
      <c r="O2" s="11" t="s">
        <v>3</v>
      </c>
      <c r="P2" s="135" t="s">
        <v>4</v>
      </c>
    </row>
    <row r="3" spans="1:16" ht="22" thickBot="1" x14ac:dyDescent="0.4">
      <c r="A3" s="136"/>
      <c r="B3" s="137"/>
      <c r="C3" s="137"/>
      <c r="D3" s="137"/>
      <c r="E3" s="137"/>
      <c r="F3" s="137"/>
      <c r="G3" s="137"/>
      <c r="H3" s="137"/>
      <c r="I3" s="137"/>
      <c r="J3" s="137"/>
      <c r="K3" s="137"/>
      <c r="L3" s="137"/>
      <c r="M3" s="137"/>
      <c r="N3" s="138"/>
      <c r="O3" s="139"/>
      <c r="P3" s="139"/>
    </row>
    <row r="4" spans="1:16" ht="16" x14ac:dyDescent="0.35">
      <c r="A4" s="508"/>
      <c r="B4" s="509"/>
      <c r="C4" s="509"/>
      <c r="D4" s="509"/>
      <c r="E4" s="509"/>
      <c r="F4" s="509"/>
      <c r="G4" s="509"/>
      <c r="H4" s="509"/>
      <c r="I4" s="509"/>
      <c r="J4" s="509"/>
      <c r="K4" s="509"/>
      <c r="L4" s="509"/>
      <c r="M4" s="509"/>
      <c r="N4" s="510"/>
      <c r="O4" s="104"/>
      <c r="P4" s="104"/>
    </row>
    <row r="5" spans="1:16" ht="16" x14ac:dyDescent="0.35">
      <c r="A5" s="338" t="s">
        <v>651</v>
      </c>
      <c r="B5" s="511"/>
      <c r="C5" s="511"/>
      <c r="D5" s="511"/>
      <c r="E5" s="511"/>
      <c r="F5" s="511"/>
      <c r="G5" s="511"/>
      <c r="H5" s="511"/>
      <c r="I5" s="511"/>
      <c r="J5" s="511"/>
      <c r="K5" s="511"/>
      <c r="L5" s="511"/>
      <c r="M5" s="511"/>
      <c r="N5" s="512"/>
      <c r="O5" s="314"/>
      <c r="P5" s="314"/>
    </row>
    <row r="6" spans="1:16" ht="16" x14ac:dyDescent="0.35">
      <c r="A6" s="513"/>
      <c r="B6" s="514"/>
      <c r="C6" s="514"/>
      <c r="D6" s="514"/>
      <c r="E6" s="514"/>
      <c r="F6" s="514"/>
      <c r="G6" s="514"/>
      <c r="H6" s="514"/>
      <c r="I6" s="514"/>
      <c r="J6" s="514"/>
      <c r="K6" s="514"/>
      <c r="L6" s="514"/>
      <c r="M6" s="514"/>
      <c r="N6" s="515"/>
      <c r="O6" s="104"/>
      <c r="P6" s="104"/>
    </row>
    <row r="7" spans="1:16" ht="16" x14ac:dyDescent="0.35">
      <c r="A7" s="315" t="s">
        <v>652</v>
      </c>
      <c r="B7" s="166"/>
      <c r="C7" s="166"/>
      <c r="D7" s="166"/>
      <c r="E7" s="166"/>
      <c r="F7" s="166"/>
      <c r="G7" s="166"/>
      <c r="H7" s="166"/>
      <c r="I7" s="166"/>
      <c r="J7" s="166"/>
      <c r="K7" s="166"/>
      <c r="L7" s="166"/>
      <c r="M7" s="166"/>
      <c r="N7" s="258"/>
      <c r="O7" s="327"/>
      <c r="P7" s="327"/>
    </row>
    <row r="8" spans="1:16" ht="48" x14ac:dyDescent="0.35">
      <c r="A8" s="318" t="s">
        <v>653</v>
      </c>
      <c r="B8" s="516">
        <v>0.317</v>
      </c>
      <c r="C8" s="516">
        <v>0</v>
      </c>
      <c r="D8" s="516">
        <v>0.39</v>
      </c>
      <c r="E8" s="516">
        <v>0</v>
      </c>
      <c r="F8" s="516">
        <v>0</v>
      </c>
      <c r="G8" s="391">
        <v>0.70700000000000007</v>
      </c>
      <c r="H8" s="516">
        <v>1.248</v>
      </c>
      <c r="I8" s="516">
        <v>0</v>
      </c>
      <c r="J8" s="516">
        <v>0.33500000000000002</v>
      </c>
      <c r="K8" s="516">
        <v>0</v>
      </c>
      <c r="L8" s="516">
        <v>0</v>
      </c>
      <c r="M8" s="391">
        <v>1.583</v>
      </c>
      <c r="N8" s="517">
        <v>1.2390381895332387</v>
      </c>
      <c r="O8" s="518" t="s">
        <v>654</v>
      </c>
      <c r="P8" s="321" t="s">
        <v>655</v>
      </c>
    </row>
    <row r="9" spans="1:16" ht="48" x14ac:dyDescent="0.35">
      <c r="A9" s="519" t="s">
        <v>656</v>
      </c>
      <c r="B9" s="516">
        <v>2.0299999999999998</v>
      </c>
      <c r="C9" s="516">
        <v>0</v>
      </c>
      <c r="D9" s="516">
        <v>0.51100000000000001</v>
      </c>
      <c r="E9" s="516">
        <v>0</v>
      </c>
      <c r="F9" s="516">
        <v>0</v>
      </c>
      <c r="G9" s="391">
        <v>2.5409999999999999</v>
      </c>
      <c r="H9" s="516">
        <v>1.0860000000000001</v>
      </c>
      <c r="I9" s="516">
        <v>0</v>
      </c>
      <c r="J9" s="516">
        <v>1.298</v>
      </c>
      <c r="K9" s="516">
        <v>0</v>
      </c>
      <c r="L9" s="516">
        <v>0</v>
      </c>
      <c r="M9" s="391">
        <v>2.3840000000000003</v>
      </c>
      <c r="N9" s="392">
        <v>-6.178669815033435E-2</v>
      </c>
      <c r="O9" s="393" t="s">
        <v>657</v>
      </c>
      <c r="P9" s="330" t="s">
        <v>658</v>
      </c>
    </row>
    <row r="10" spans="1:16" ht="64" x14ac:dyDescent="0.35">
      <c r="A10" s="519" t="s">
        <v>659</v>
      </c>
      <c r="B10" s="516">
        <v>0.61899999999999999</v>
      </c>
      <c r="C10" s="516">
        <v>0</v>
      </c>
      <c r="D10" s="516">
        <v>0.28000000000000003</v>
      </c>
      <c r="E10" s="516">
        <v>0</v>
      </c>
      <c r="F10" s="516">
        <v>0</v>
      </c>
      <c r="G10" s="391">
        <v>0.89900000000000002</v>
      </c>
      <c r="H10" s="516">
        <v>1.0389999999999999</v>
      </c>
      <c r="I10" s="516">
        <v>0</v>
      </c>
      <c r="J10" s="516">
        <v>0.02</v>
      </c>
      <c r="K10" s="516">
        <v>0</v>
      </c>
      <c r="L10" s="516">
        <v>0</v>
      </c>
      <c r="M10" s="391">
        <v>1.0589999999999999</v>
      </c>
      <c r="N10" s="520">
        <v>0.17797552836484973</v>
      </c>
      <c r="O10" s="393" t="s">
        <v>660</v>
      </c>
      <c r="P10" s="330" t="s">
        <v>658</v>
      </c>
    </row>
    <row r="11" spans="1:16" ht="80" x14ac:dyDescent="0.35">
      <c r="A11" s="519" t="s">
        <v>661</v>
      </c>
      <c r="B11" s="516">
        <v>0.75600000000000001</v>
      </c>
      <c r="C11" s="516">
        <v>0</v>
      </c>
      <c r="D11" s="516">
        <v>0</v>
      </c>
      <c r="E11" s="516">
        <v>0</v>
      </c>
      <c r="F11" s="516">
        <v>0</v>
      </c>
      <c r="G11" s="391">
        <v>0.75600000000000001</v>
      </c>
      <c r="H11" s="516">
        <v>0.95299999999999996</v>
      </c>
      <c r="I11" s="516">
        <v>0</v>
      </c>
      <c r="J11" s="516">
        <v>0</v>
      </c>
      <c r="K11" s="516">
        <v>0</v>
      </c>
      <c r="L11" s="516">
        <v>0</v>
      </c>
      <c r="M11" s="391">
        <v>0.95299999999999996</v>
      </c>
      <c r="N11" s="392">
        <v>0.26058201058201053</v>
      </c>
      <c r="O11" s="393" t="s">
        <v>662</v>
      </c>
      <c r="P11" s="330" t="s">
        <v>658</v>
      </c>
    </row>
    <row r="12" spans="1:16" ht="32" x14ac:dyDescent="0.35">
      <c r="A12" s="322" t="s">
        <v>663</v>
      </c>
      <c r="B12" s="288">
        <v>3.7220000000000004</v>
      </c>
      <c r="C12" s="288">
        <v>0</v>
      </c>
      <c r="D12" s="288">
        <v>1.181</v>
      </c>
      <c r="E12" s="288">
        <v>0</v>
      </c>
      <c r="F12" s="288">
        <v>0</v>
      </c>
      <c r="G12" s="288">
        <v>4.9030000000000005</v>
      </c>
      <c r="H12" s="288">
        <v>4.3260000000000005</v>
      </c>
      <c r="I12" s="288">
        <v>0</v>
      </c>
      <c r="J12" s="288">
        <v>1.653</v>
      </c>
      <c r="K12" s="288">
        <v>0</v>
      </c>
      <c r="L12" s="288">
        <v>0</v>
      </c>
      <c r="M12" s="288">
        <v>5.979000000000001</v>
      </c>
      <c r="N12" s="200">
        <v>0.21945747501529683</v>
      </c>
      <c r="O12" s="521"/>
      <c r="P12" s="522"/>
    </row>
    <row r="13" spans="1:16" ht="16" x14ac:dyDescent="0.35">
      <c r="A13" s="64"/>
      <c r="B13" s="523"/>
      <c r="C13" s="523"/>
      <c r="D13" s="523"/>
      <c r="E13" s="523"/>
      <c r="F13" s="523"/>
      <c r="G13" s="523"/>
      <c r="H13" s="523"/>
      <c r="I13" s="523"/>
      <c r="J13" s="523"/>
      <c r="K13" s="523"/>
      <c r="L13" s="523"/>
      <c r="M13" s="523"/>
      <c r="N13" s="515"/>
      <c r="O13" s="524"/>
      <c r="P13" s="104"/>
    </row>
    <row r="14" spans="1:16" ht="32" x14ac:dyDescent="0.35">
      <c r="A14" s="315" t="s">
        <v>664</v>
      </c>
      <c r="B14" s="166"/>
      <c r="C14" s="166"/>
      <c r="D14" s="166"/>
      <c r="E14" s="166"/>
      <c r="F14" s="166"/>
      <c r="G14" s="166"/>
      <c r="H14" s="166"/>
      <c r="I14" s="166"/>
      <c r="J14" s="166"/>
      <c r="K14" s="166"/>
      <c r="L14" s="166"/>
      <c r="M14" s="166"/>
      <c r="N14" s="258"/>
      <c r="O14" s="327"/>
      <c r="P14" s="327"/>
    </row>
    <row r="15" spans="1:16" ht="16" x14ac:dyDescent="0.35">
      <c r="A15" s="518" t="s">
        <v>665</v>
      </c>
      <c r="B15" s="516">
        <v>0.184</v>
      </c>
      <c r="C15" s="516">
        <v>0</v>
      </c>
      <c r="D15" s="516">
        <v>0</v>
      </c>
      <c r="E15" s="516">
        <v>0</v>
      </c>
      <c r="F15" s="516">
        <v>0</v>
      </c>
      <c r="G15" s="391">
        <v>0.184</v>
      </c>
      <c r="H15" s="516">
        <v>0.184</v>
      </c>
      <c r="I15" s="516">
        <v>0</v>
      </c>
      <c r="J15" s="516">
        <v>0</v>
      </c>
      <c r="K15" s="516">
        <v>0</v>
      </c>
      <c r="L15" s="516">
        <v>0</v>
      </c>
      <c r="M15" s="391">
        <v>0.184</v>
      </c>
      <c r="N15" s="517">
        <v>0</v>
      </c>
      <c r="O15" s="318" t="s">
        <v>666</v>
      </c>
      <c r="P15" s="321" t="s">
        <v>74</v>
      </c>
    </row>
    <row r="16" spans="1:16" ht="64" x14ac:dyDescent="0.35">
      <c r="A16" s="393" t="s">
        <v>667</v>
      </c>
      <c r="B16" s="516">
        <v>64.995000000000005</v>
      </c>
      <c r="C16" s="516">
        <v>0</v>
      </c>
      <c r="D16" s="516">
        <v>0</v>
      </c>
      <c r="E16" s="516">
        <v>0</v>
      </c>
      <c r="F16" s="516">
        <v>0</v>
      </c>
      <c r="G16" s="391">
        <v>64.995000000000005</v>
      </c>
      <c r="H16" s="516">
        <v>82.212999999999994</v>
      </c>
      <c r="I16" s="516">
        <v>0</v>
      </c>
      <c r="J16" s="516">
        <v>0</v>
      </c>
      <c r="K16" s="516">
        <v>0</v>
      </c>
      <c r="L16" s="516">
        <v>0</v>
      </c>
      <c r="M16" s="391">
        <v>82.212999999999994</v>
      </c>
      <c r="N16" s="392">
        <v>0.26491268559119913</v>
      </c>
      <c r="O16" s="329" t="s">
        <v>668</v>
      </c>
      <c r="P16" s="330" t="s">
        <v>669</v>
      </c>
    </row>
    <row r="17" spans="1:16" ht="32" x14ac:dyDescent="0.35">
      <c r="A17" s="393" t="s">
        <v>670</v>
      </c>
      <c r="B17" s="516">
        <v>0</v>
      </c>
      <c r="C17" s="516">
        <v>0</v>
      </c>
      <c r="D17" s="516">
        <v>0.2</v>
      </c>
      <c r="E17" s="516">
        <v>0</v>
      </c>
      <c r="F17" s="516">
        <v>0</v>
      </c>
      <c r="G17" s="391">
        <v>0.2</v>
      </c>
      <c r="H17" s="516">
        <v>0</v>
      </c>
      <c r="I17" s="516">
        <v>0</v>
      </c>
      <c r="J17" s="516">
        <v>0.2</v>
      </c>
      <c r="K17" s="516">
        <v>0</v>
      </c>
      <c r="L17" s="516">
        <v>0</v>
      </c>
      <c r="M17" s="391">
        <v>0.2</v>
      </c>
      <c r="N17" s="525">
        <v>0</v>
      </c>
      <c r="O17" s="329" t="s">
        <v>671</v>
      </c>
      <c r="P17" s="330" t="s">
        <v>74</v>
      </c>
    </row>
    <row r="18" spans="1:16" ht="16" x14ac:dyDescent="0.35">
      <c r="A18" s="393" t="s">
        <v>672</v>
      </c>
      <c r="B18" s="516">
        <v>0.42099999999999999</v>
      </c>
      <c r="C18" s="516">
        <v>0</v>
      </c>
      <c r="D18" s="516">
        <v>0</v>
      </c>
      <c r="E18" s="516">
        <v>0</v>
      </c>
      <c r="F18" s="516">
        <v>0</v>
      </c>
      <c r="G18" s="391">
        <v>0.42099999999999999</v>
      </c>
      <c r="H18" s="516">
        <v>0.34100000000000003</v>
      </c>
      <c r="I18" s="516">
        <v>0</v>
      </c>
      <c r="J18" s="516">
        <v>0</v>
      </c>
      <c r="K18" s="516">
        <v>0</v>
      </c>
      <c r="L18" s="516">
        <v>0</v>
      </c>
      <c r="M18" s="391">
        <v>0.34100000000000003</v>
      </c>
      <c r="N18" s="392">
        <v>-0.19002375296912105</v>
      </c>
      <c r="O18" s="329" t="s">
        <v>673</v>
      </c>
      <c r="P18" s="330" t="s">
        <v>674</v>
      </c>
    </row>
    <row r="19" spans="1:16" ht="112" x14ac:dyDescent="0.35">
      <c r="A19" s="526" t="s">
        <v>675</v>
      </c>
      <c r="B19" s="516">
        <v>13.621</v>
      </c>
      <c r="C19" s="516">
        <v>0</v>
      </c>
      <c r="D19" s="516">
        <v>0</v>
      </c>
      <c r="E19" s="516">
        <v>0</v>
      </c>
      <c r="F19" s="516">
        <v>0</v>
      </c>
      <c r="G19" s="391">
        <v>13.621</v>
      </c>
      <c r="H19" s="516">
        <v>57.043999999999997</v>
      </c>
      <c r="I19" s="516">
        <v>0</v>
      </c>
      <c r="J19" s="516">
        <v>0</v>
      </c>
      <c r="K19" s="516">
        <v>0</v>
      </c>
      <c r="L19" s="516">
        <v>0</v>
      </c>
      <c r="M19" s="391">
        <v>57.043999999999997</v>
      </c>
      <c r="N19" s="392">
        <v>3.187945084795536</v>
      </c>
      <c r="O19" s="329" t="s">
        <v>676</v>
      </c>
      <c r="P19" s="330" t="s">
        <v>677</v>
      </c>
    </row>
    <row r="20" spans="1:16" ht="96" x14ac:dyDescent="0.35">
      <c r="A20" s="393" t="s">
        <v>678</v>
      </c>
      <c r="B20" s="516">
        <v>25.352</v>
      </c>
      <c r="C20" s="516">
        <v>0</v>
      </c>
      <c r="D20" s="516">
        <v>43.01</v>
      </c>
      <c r="E20" s="516">
        <v>0</v>
      </c>
      <c r="F20" s="516">
        <v>0</v>
      </c>
      <c r="G20" s="391">
        <v>68.361999999999995</v>
      </c>
      <c r="H20" s="1018">
        <v>49.95</v>
      </c>
      <c r="I20" s="516">
        <v>0</v>
      </c>
      <c r="J20" s="516">
        <v>0</v>
      </c>
      <c r="K20" s="516">
        <v>0</v>
      </c>
      <c r="L20" s="516">
        <v>0</v>
      </c>
      <c r="M20" s="1022">
        <v>49.95</v>
      </c>
      <c r="N20" s="1021">
        <v>-0.26933091483572735</v>
      </c>
      <c r="O20" s="329" t="s">
        <v>679</v>
      </c>
      <c r="P20" s="330" t="s">
        <v>680</v>
      </c>
    </row>
    <row r="21" spans="1:16" ht="32" x14ac:dyDescent="0.35">
      <c r="A21" s="322" t="s">
        <v>681</v>
      </c>
      <c r="B21" s="288">
        <v>104.57300000000001</v>
      </c>
      <c r="C21" s="288">
        <v>0</v>
      </c>
      <c r="D21" s="288">
        <v>43.21</v>
      </c>
      <c r="E21" s="288">
        <v>0</v>
      </c>
      <c r="F21" s="288">
        <v>0</v>
      </c>
      <c r="G21" s="288">
        <v>147.78300000000002</v>
      </c>
      <c r="H21" s="1019">
        <v>189.73199999999997</v>
      </c>
      <c r="I21" s="288">
        <v>0</v>
      </c>
      <c r="J21" s="288">
        <v>0.2</v>
      </c>
      <c r="K21" s="288">
        <v>0</v>
      </c>
      <c r="L21" s="288">
        <v>0</v>
      </c>
      <c r="M21" s="1019">
        <v>189.93199999999996</v>
      </c>
      <c r="N21" s="1020">
        <v>0.28520871818815385</v>
      </c>
      <c r="O21" s="521"/>
      <c r="P21" s="522"/>
    </row>
    <row r="22" spans="1:16" ht="16" x14ac:dyDescent="0.35">
      <c r="A22" s="508"/>
      <c r="B22" s="509"/>
      <c r="C22" s="509"/>
      <c r="D22" s="509"/>
      <c r="E22" s="509"/>
      <c r="F22" s="509"/>
      <c r="G22" s="509"/>
      <c r="H22" s="509"/>
      <c r="I22" s="509"/>
      <c r="J22" s="509"/>
      <c r="K22" s="509"/>
      <c r="L22" s="509"/>
      <c r="M22" s="509"/>
      <c r="N22" s="510"/>
      <c r="O22" s="104"/>
      <c r="P22" s="104"/>
    </row>
    <row r="23" spans="1:16" ht="32" x14ac:dyDescent="0.35">
      <c r="A23" s="527" t="s">
        <v>682</v>
      </c>
      <c r="B23" s="166"/>
      <c r="C23" s="166"/>
      <c r="D23" s="166"/>
      <c r="E23" s="166"/>
      <c r="F23" s="166"/>
      <c r="G23" s="166"/>
      <c r="H23" s="166"/>
      <c r="I23" s="166"/>
      <c r="J23" s="166"/>
      <c r="K23" s="166"/>
      <c r="L23" s="166"/>
      <c r="M23" s="166"/>
      <c r="N23" s="258"/>
      <c r="O23" s="327"/>
      <c r="P23" s="327"/>
    </row>
    <row r="24" spans="1:16" ht="64" x14ac:dyDescent="0.35">
      <c r="A24" s="518" t="s">
        <v>683</v>
      </c>
      <c r="B24" s="516">
        <v>165.11500000000001</v>
      </c>
      <c r="C24" s="516">
        <v>0</v>
      </c>
      <c r="D24" s="516">
        <v>0</v>
      </c>
      <c r="E24" s="516">
        <v>0</v>
      </c>
      <c r="F24" s="516">
        <v>0</v>
      </c>
      <c r="G24" s="391">
        <v>165.11500000000001</v>
      </c>
      <c r="H24" s="516">
        <v>212.571</v>
      </c>
      <c r="I24" s="516">
        <v>0</v>
      </c>
      <c r="J24" s="516">
        <v>0</v>
      </c>
      <c r="K24" s="516">
        <v>0</v>
      </c>
      <c r="L24" s="516">
        <v>0</v>
      </c>
      <c r="M24" s="391">
        <v>212.571</v>
      </c>
      <c r="N24" s="517">
        <v>0.28741180389425541</v>
      </c>
      <c r="O24" s="518" t="s">
        <v>684</v>
      </c>
      <c r="P24" s="321" t="s">
        <v>685</v>
      </c>
    </row>
    <row r="25" spans="1:16" ht="48" x14ac:dyDescent="0.35">
      <c r="A25" s="518" t="s">
        <v>686</v>
      </c>
      <c r="B25" s="516">
        <v>0</v>
      </c>
      <c r="C25" s="516">
        <v>0</v>
      </c>
      <c r="D25" s="516">
        <v>0</v>
      </c>
      <c r="E25" s="516">
        <v>0</v>
      </c>
      <c r="F25" s="516">
        <v>0</v>
      </c>
      <c r="G25" s="391">
        <v>0</v>
      </c>
      <c r="H25" s="516">
        <v>243.8</v>
      </c>
      <c r="I25" s="516">
        <v>0</v>
      </c>
      <c r="J25" s="516">
        <v>0</v>
      </c>
      <c r="K25" s="516">
        <v>0</v>
      </c>
      <c r="L25" s="516">
        <v>0</v>
      </c>
      <c r="M25" s="391">
        <v>243.8</v>
      </c>
      <c r="N25" s="517" t="s">
        <v>50</v>
      </c>
      <c r="O25" s="518" t="s">
        <v>687</v>
      </c>
      <c r="P25" s="321" t="s">
        <v>688</v>
      </c>
    </row>
    <row r="26" spans="1:16" ht="80" x14ac:dyDescent="0.35">
      <c r="A26" s="393" t="s">
        <v>689</v>
      </c>
      <c r="B26" s="516">
        <v>0.1</v>
      </c>
      <c r="C26" s="516">
        <v>0</v>
      </c>
      <c r="D26" s="516">
        <v>0</v>
      </c>
      <c r="E26" s="516">
        <v>0</v>
      </c>
      <c r="F26" s="516">
        <v>0</v>
      </c>
      <c r="G26" s="391">
        <v>0.1</v>
      </c>
      <c r="H26" s="516">
        <v>0.4</v>
      </c>
      <c r="I26" s="516">
        <v>0</v>
      </c>
      <c r="J26" s="516">
        <v>0</v>
      </c>
      <c r="K26" s="516">
        <v>0</v>
      </c>
      <c r="L26" s="516">
        <v>0</v>
      </c>
      <c r="M26" s="391">
        <v>0.4</v>
      </c>
      <c r="N26" s="392">
        <v>3.0000000000000004</v>
      </c>
      <c r="O26" s="393" t="s">
        <v>690</v>
      </c>
      <c r="P26" s="330" t="s">
        <v>691</v>
      </c>
    </row>
    <row r="27" spans="1:16" ht="64" x14ac:dyDescent="0.35">
      <c r="A27" s="393" t="s">
        <v>692</v>
      </c>
      <c r="B27" s="516">
        <v>6.31</v>
      </c>
      <c r="C27" s="516">
        <v>0</v>
      </c>
      <c r="D27" s="516">
        <v>10</v>
      </c>
      <c r="E27" s="516">
        <v>0</v>
      </c>
      <c r="F27" s="516">
        <v>0</v>
      </c>
      <c r="G27" s="391">
        <v>16.309999999999999</v>
      </c>
      <c r="H27" s="516">
        <v>6.31</v>
      </c>
      <c r="I27" s="516">
        <v>0</v>
      </c>
      <c r="J27" s="516">
        <v>10</v>
      </c>
      <c r="K27" s="516">
        <v>0</v>
      </c>
      <c r="L27" s="516">
        <v>0</v>
      </c>
      <c r="M27" s="391">
        <v>16.309999999999999</v>
      </c>
      <c r="N27" s="392">
        <v>0</v>
      </c>
      <c r="O27" s="393" t="s">
        <v>693</v>
      </c>
      <c r="P27" s="330" t="s">
        <v>74</v>
      </c>
    </row>
    <row r="28" spans="1:16" ht="45" customHeight="1" x14ac:dyDescent="0.35">
      <c r="A28" s="393" t="s">
        <v>694</v>
      </c>
      <c r="B28" s="516">
        <v>81.834999999999994</v>
      </c>
      <c r="C28" s="516">
        <v>0</v>
      </c>
      <c r="D28" s="516">
        <v>0</v>
      </c>
      <c r="E28" s="516">
        <v>0</v>
      </c>
      <c r="F28" s="516">
        <v>0</v>
      </c>
      <c r="G28" s="391">
        <v>81.834999999999994</v>
      </c>
      <c r="H28" s="516">
        <v>99.44</v>
      </c>
      <c r="I28" s="516">
        <v>0</v>
      </c>
      <c r="J28" s="516">
        <v>0</v>
      </c>
      <c r="K28" s="516">
        <v>0</v>
      </c>
      <c r="L28" s="516">
        <v>0</v>
      </c>
      <c r="M28" s="391">
        <v>99.44</v>
      </c>
      <c r="N28" s="525">
        <v>0.21512800146636532</v>
      </c>
      <c r="O28" s="393" t="s">
        <v>695</v>
      </c>
      <c r="P28" s="330" t="s">
        <v>696</v>
      </c>
    </row>
    <row r="29" spans="1:16" ht="45" customHeight="1" x14ac:dyDescent="0.35">
      <c r="A29" s="393" t="s">
        <v>697</v>
      </c>
      <c r="B29" s="516">
        <v>8.0559999999999992</v>
      </c>
      <c r="C29" s="516">
        <v>0</v>
      </c>
      <c r="D29" s="516">
        <v>0</v>
      </c>
      <c r="E29" s="516">
        <v>0</v>
      </c>
      <c r="F29" s="516">
        <v>0</v>
      </c>
      <c r="G29" s="391">
        <v>8.0559999999999992</v>
      </c>
      <c r="H29" s="516">
        <v>9.36</v>
      </c>
      <c r="I29" s="516">
        <v>0</v>
      </c>
      <c r="J29" s="516">
        <v>0</v>
      </c>
      <c r="K29" s="516">
        <v>0</v>
      </c>
      <c r="L29" s="516">
        <v>0</v>
      </c>
      <c r="M29" s="391">
        <v>9.36</v>
      </c>
      <c r="N29" s="392">
        <v>0.16186693147964254</v>
      </c>
      <c r="O29" s="329" t="s">
        <v>698</v>
      </c>
      <c r="P29" s="330" t="s">
        <v>699</v>
      </c>
    </row>
    <row r="30" spans="1:16" ht="45" customHeight="1" x14ac:dyDescent="0.35">
      <c r="A30" s="393" t="s">
        <v>700</v>
      </c>
      <c r="B30" s="516">
        <v>0</v>
      </c>
      <c r="C30" s="516">
        <v>0</v>
      </c>
      <c r="D30" s="516">
        <v>0.38300000000000001</v>
      </c>
      <c r="E30" s="516">
        <v>0</v>
      </c>
      <c r="F30" s="516">
        <v>0</v>
      </c>
      <c r="G30" s="391">
        <v>0.38300000000000001</v>
      </c>
      <c r="H30" s="516">
        <v>0</v>
      </c>
      <c r="I30" s="516">
        <v>0</v>
      </c>
      <c r="J30" s="516">
        <v>1.27</v>
      </c>
      <c r="K30" s="516">
        <v>0</v>
      </c>
      <c r="L30" s="516">
        <v>0</v>
      </c>
      <c r="M30" s="391">
        <v>1.27</v>
      </c>
      <c r="N30" s="525">
        <v>2.3159268929503916</v>
      </c>
      <c r="O30" s="329" t="s">
        <v>701</v>
      </c>
      <c r="P30" s="330" t="s">
        <v>702</v>
      </c>
    </row>
    <row r="31" spans="1:16" ht="45" customHeight="1" x14ac:dyDescent="0.35">
      <c r="A31" s="393" t="s">
        <v>703</v>
      </c>
      <c r="B31" s="516">
        <v>1.6</v>
      </c>
      <c r="C31" s="516">
        <v>0</v>
      </c>
      <c r="D31" s="516">
        <v>0</v>
      </c>
      <c r="E31" s="516">
        <v>0</v>
      </c>
      <c r="F31" s="516">
        <v>0</v>
      </c>
      <c r="G31" s="391">
        <v>1.6</v>
      </c>
      <c r="H31" s="516">
        <v>1.9</v>
      </c>
      <c r="I31" s="516">
        <v>0</v>
      </c>
      <c r="J31" s="516">
        <v>0</v>
      </c>
      <c r="K31" s="516">
        <v>0</v>
      </c>
      <c r="L31" s="516">
        <v>0</v>
      </c>
      <c r="M31" s="391">
        <v>1.9</v>
      </c>
      <c r="N31" s="392">
        <v>0.18749999999999989</v>
      </c>
      <c r="O31" s="329" t="s">
        <v>704</v>
      </c>
      <c r="P31" s="330" t="s">
        <v>705</v>
      </c>
    </row>
    <row r="32" spans="1:16" ht="48" customHeight="1" x14ac:dyDescent="0.35">
      <c r="A32" s="393" t="s">
        <v>706</v>
      </c>
      <c r="B32" s="516">
        <v>0.33600000000000002</v>
      </c>
      <c r="C32" s="516">
        <v>0</v>
      </c>
      <c r="D32" s="516">
        <v>0</v>
      </c>
      <c r="E32" s="516">
        <v>0</v>
      </c>
      <c r="F32" s="516">
        <v>0</v>
      </c>
      <c r="G32" s="391">
        <v>0.33600000000000002</v>
      </c>
      <c r="H32" s="516">
        <v>0.56799999999999995</v>
      </c>
      <c r="I32" s="516">
        <v>0</v>
      </c>
      <c r="J32" s="516">
        <v>0</v>
      </c>
      <c r="K32" s="516">
        <v>0</v>
      </c>
      <c r="L32" s="516">
        <v>0</v>
      </c>
      <c r="M32" s="391">
        <v>0.56799999999999995</v>
      </c>
      <c r="N32" s="520">
        <v>0.69047619047619024</v>
      </c>
      <c r="O32" s="329" t="s">
        <v>707</v>
      </c>
      <c r="P32" s="330" t="s">
        <v>708</v>
      </c>
    </row>
    <row r="33" spans="1:16" ht="32" x14ac:dyDescent="0.35">
      <c r="A33" s="528" t="s">
        <v>709</v>
      </c>
      <c r="B33" s="288">
        <v>263.35200000000003</v>
      </c>
      <c r="C33" s="288">
        <v>0</v>
      </c>
      <c r="D33" s="288">
        <v>10.382999999999999</v>
      </c>
      <c r="E33" s="288">
        <v>0</v>
      </c>
      <c r="F33" s="288">
        <v>0</v>
      </c>
      <c r="G33" s="288">
        <v>273.73500000000001</v>
      </c>
      <c r="H33" s="288">
        <v>574.34899999999993</v>
      </c>
      <c r="I33" s="288">
        <v>0</v>
      </c>
      <c r="J33" s="288">
        <v>11.27</v>
      </c>
      <c r="K33" s="288">
        <v>0</v>
      </c>
      <c r="L33" s="288">
        <v>0</v>
      </c>
      <c r="M33" s="288">
        <v>585.61899999999991</v>
      </c>
      <c r="N33" s="200">
        <v>1.1393647140482579</v>
      </c>
      <c r="O33" s="521"/>
      <c r="P33" s="522"/>
    </row>
    <row r="34" spans="1:16" ht="16" x14ac:dyDescent="0.35">
      <c r="A34" s="64"/>
      <c r="B34" s="523"/>
      <c r="C34" s="523"/>
      <c r="D34" s="523"/>
      <c r="E34" s="523"/>
      <c r="F34" s="523"/>
      <c r="G34" s="523"/>
      <c r="H34" s="523"/>
      <c r="I34" s="523"/>
      <c r="J34" s="523"/>
      <c r="K34" s="523"/>
      <c r="L34" s="523"/>
      <c r="M34" s="523"/>
      <c r="N34" s="515"/>
      <c r="O34" s="104"/>
      <c r="P34" s="104"/>
    </row>
    <row r="35" spans="1:16" ht="16" x14ac:dyDescent="0.35">
      <c r="A35" s="529" t="s">
        <v>710</v>
      </c>
      <c r="B35" s="530">
        <v>371.64700000000005</v>
      </c>
      <c r="C35" s="530">
        <v>0</v>
      </c>
      <c r="D35" s="530">
        <v>54.774000000000001</v>
      </c>
      <c r="E35" s="530">
        <v>0</v>
      </c>
      <c r="F35" s="530">
        <v>0</v>
      </c>
      <c r="G35" s="530">
        <v>426.42100000000005</v>
      </c>
      <c r="H35" s="530">
        <v>765.40699999999993</v>
      </c>
      <c r="I35" s="530">
        <v>0</v>
      </c>
      <c r="J35" s="530">
        <v>13.122999999999999</v>
      </c>
      <c r="K35" s="530">
        <v>0</v>
      </c>
      <c r="L35" s="530">
        <v>0</v>
      </c>
      <c r="M35" s="530">
        <v>778.52999999999986</v>
      </c>
      <c r="N35" s="531">
        <v>0.82573090912501912</v>
      </c>
      <c r="O35" s="532"/>
      <c r="P35" s="533"/>
    </row>
    <row r="36" spans="1:16" ht="16" x14ac:dyDescent="0.35">
      <c r="A36" s="64"/>
      <c r="B36" s="534"/>
      <c r="C36" s="534"/>
      <c r="D36" s="534"/>
      <c r="E36" s="534"/>
      <c r="F36" s="534"/>
      <c r="G36" s="534"/>
      <c r="H36" s="534"/>
      <c r="I36" s="534"/>
      <c r="J36" s="534"/>
      <c r="K36" s="534"/>
      <c r="L36" s="534"/>
      <c r="M36" s="534"/>
      <c r="N36" s="535"/>
      <c r="O36" s="524"/>
      <c r="P36" s="64"/>
    </row>
    <row r="37" spans="1:16" ht="16" x14ac:dyDescent="0.35">
      <c r="A37" s="338" t="s">
        <v>711</v>
      </c>
      <c r="B37" s="511"/>
      <c r="C37" s="511"/>
      <c r="D37" s="511"/>
      <c r="E37" s="511"/>
      <c r="F37" s="511"/>
      <c r="G37" s="511"/>
      <c r="H37" s="511"/>
      <c r="I37" s="511"/>
      <c r="J37" s="511"/>
      <c r="K37" s="511"/>
      <c r="L37" s="511"/>
      <c r="M37" s="511"/>
      <c r="N37" s="512"/>
      <c r="O37" s="314"/>
      <c r="P37" s="314"/>
    </row>
    <row r="38" spans="1:16" ht="16" x14ac:dyDescent="0.35">
      <c r="A38" s="513"/>
      <c r="B38" s="523"/>
      <c r="C38" s="523"/>
      <c r="D38" s="523"/>
      <c r="E38" s="523"/>
      <c r="F38" s="523"/>
      <c r="G38" s="523"/>
      <c r="H38" s="523"/>
      <c r="I38" s="523"/>
      <c r="J38" s="523"/>
      <c r="K38" s="523"/>
      <c r="L38" s="523"/>
      <c r="M38" s="523"/>
      <c r="N38" s="515"/>
      <c r="O38" s="104"/>
      <c r="P38" s="104"/>
    </row>
    <row r="39" spans="1:16" ht="16" x14ac:dyDescent="0.35">
      <c r="A39" s="315" t="s">
        <v>712</v>
      </c>
      <c r="B39" s="166"/>
      <c r="C39" s="166"/>
      <c r="D39" s="166"/>
      <c r="E39" s="166"/>
      <c r="F39" s="166"/>
      <c r="G39" s="166"/>
      <c r="H39" s="166"/>
      <c r="I39" s="166"/>
      <c r="J39" s="166"/>
      <c r="K39" s="166"/>
      <c r="L39" s="166"/>
      <c r="M39" s="166"/>
      <c r="N39" s="258"/>
      <c r="O39" s="327"/>
      <c r="P39" s="327"/>
    </row>
    <row r="40" spans="1:16" ht="48" x14ac:dyDescent="0.35">
      <c r="A40" s="518" t="s">
        <v>713</v>
      </c>
      <c r="B40" s="516">
        <v>9.4390000000000001</v>
      </c>
      <c r="C40" s="516">
        <v>0</v>
      </c>
      <c r="D40" s="516">
        <v>0</v>
      </c>
      <c r="E40" s="516">
        <v>0</v>
      </c>
      <c r="F40" s="516">
        <v>0</v>
      </c>
      <c r="G40" s="391">
        <v>9.4390000000000001</v>
      </c>
      <c r="H40" s="516">
        <v>31.715</v>
      </c>
      <c r="I40" s="516">
        <v>0</v>
      </c>
      <c r="J40" s="516">
        <v>0</v>
      </c>
      <c r="K40" s="516">
        <v>0</v>
      </c>
      <c r="L40" s="516">
        <v>0</v>
      </c>
      <c r="M40" s="391">
        <v>31.715</v>
      </c>
      <c r="N40" s="517">
        <v>2.3599957622629515</v>
      </c>
      <c r="O40" s="318" t="s">
        <v>714</v>
      </c>
      <c r="P40" s="321" t="s">
        <v>688</v>
      </c>
    </row>
    <row r="41" spans="1:16" ht="16" x14ac:dyDescent="0.35">
      <c r="A41" s="322" t="s">
        <v>715</v>
      </c>
      <c r="B41" s="288">
        <v>9.4390000000000001</v>
      </c>
      <c r="C41" s="288">
        <v>0</v>
      </c>
      <c r="D41" s="288">
        <v>0</v>
      </c>
      <c r="E41" s="288">
        <v>0</v>
      </c>
      <c r="F41" s="288">
        <v>0</v>
      </c>
      <c r="G41" s="288">
        <v>9.4390000000000001</v>
      </c>
      <c r="H41" s="288">
        <v>31.715</v>
      </c>
      <c r="I41" s="288">
        <v>0</v>
      </c>
      <c r="J41" s="288">
        <v>0</v>
      </c>
      <c r="K41" s="288">
        <v>0</v>
      </c>
      <c r="L41" s="288">
        <v>0</v>
      </c>
      <c r="M41" s="288">
        <v>31.715</v>
      </c>
      <c r="N41" s="200">
        <v>2.3599957622629515</v>
      </c>
      <c r="O41" s="521"/>
      <c r="P41" s="522"/>
    </row>
    <row r="42" spans="1:16" ht="16" x14ac:dyDescent="0.35">
      <c r="A42" s="524"/>
      <c r="B42" s="523"/>
      <c r="C42" s="523"/>
      <c r="D42" s="523"/>
      <c r="E42" s="523"/>
      <c r="F42" s="523"/>
      <c r="G42" s="523"/>
      <c r="H42" s="523"/>
      <c r="I42" s="523"/>
      <c r="J42" s="523"/>
      <c r="K42" s="523"/>
      <c r="L42" s="523"/>
      <c r="M42" s="523"/>
      <c r="N42" s="515"/>
      <c r="O42" s="104"/>
      <c r="P42" s="104"/>
    </row>
    <row r="43" spans="1:16" ht="16" x14ac:dyDescent="0.35">
      <c r="A43" s="527" t="s">
        <v>711</v>
      </c>
      <c r="B43" s="166"/>
      <c r="C43" s="166"/>
      <c r="D43" s="166"/>
      <c r="E43" s="166"/>
      <c r="F43" s="166"/>
      <c r="G43" s="166"/>
      <c r="H43" s="166"/>
      <c r="I43" s="166"/>
      <c r="J43" s="166"/>
      <c r="K43" s="166"/>
      <c r="L43" s="166"/>
      <c r="M43" s="166"/>
      <c r="N43" s="258"/>
      <c r="O43" s="327"/>
      <c r="P43" s="327"/>
    </row>
    <row r="44" spans="1:16" ht="64" x14ac:dyDescent="0.35">
      <c r="A44" s="393" t="s">
        <v>716</v>
      </c>
      <c r="B44" s="536">
        <v>12.006</v>
      </c>
      <c r="C44" s="536">
        <v>0</v>
      </c>
      <c r="D44" s="536">
        <v>0</v>
      </c>
      <c r="E44" s="536">
        <v>0</v>
      </c>
      <c r="F44" s="536">
        <v>0</v>
      </c>
      <c r="G44" s="391">
        <v>12.006</v>
      </c>
      <c r="H44" s="516">
        <v>15.254</v>
      </c>
      <c r="I44" s="516">
        <v>0</v>
      </c>
      <c r="J44" s="516">
        <v>1.623</v>
      </c>
      <c r="K44" s="516">
        <v>0</v>
      </c>
      <c r="L44" s="516">
        <v>0</v>
      </c>
      <c r="M44" s="391">
        <v>16.876999999999999</v>
      </c>
      <c r="N44" s="525">
        <v>0.40571380976178567</v>
      </c>
      <c r="O44" s="393" t="s">
        <v>717</v>
      </c>
      <c r="P44" s="330" t="s">
        <v>718</v>
      </c>
    </row>
    <row r="45" spans="1:16" ht="32" x14ac:dyDescent="0.35">
      <c r="A45" s="393" t="s">
        <v>719</v>
      </c>
      <c r="B45" s="516">
        <v>3.6</v>
      </c>
      <c r="C45" s="516">
        <v>0</v>
      </c>
      <c r="D45" s="516">
        <v>0</v>
      </c>
      <c r="E45" s="516">
        <v>0</v>
      </c>
      <c r="F45" s="516">
        <v>0</v>
      </c>
      <c r="G45" s="391">
        <v>3.6</v>
      </c>
      <c r="H45" s="516">
        <v>3.6</v>
      </c>
      <c r="I45" s="516">
        <v>0</v>
      </c>
      <c r="J45" s="516">
        <v>0</v>
      </c>
      <c r="K45" s="516">
        <v>0</v>
      </c>
      <c r="L45" s="516">
        <v>0</v>
      </c>
      <c r="M45" s="391">
        <v>3.6</v>
      </c>
      <c r="N45" s="392">
        <v>0</v>
      </c>
      <c r="O45" s="329" t="s">
        <v>720</v>
      </c>
      <c r="P45" s="330" t="s">
        <v>50</v>
      </c>
    </row>
    <row r="46" spans="1:16" ht="45" customHeight="1" x14ac:dyDescent="0.35">
      <c r="A46" s="393" t="s">
        <v>721</v>
      </c>
      <c r="B46" s="516">
        <v>19.844000000000001</v>
      </c>
      <c r="C46" s="516">
        <v>4.7190000000000003</v>
      </c>
      <c r="D46" s="516">
        <v>0</v>
      </c>
      <c r="E46" s="516">
        <v>0</v>
      </c>
      <c r="F46" s="516">
        <v>0</v>
      </c>
      <c r="G46" s="391">
        <v>24.563000000000002</v>
      </c>
      <c r="H46" s="516">
        <v>18.818999999999999</v>
      </c>
      <c r="I46" s="516">
        <v>5.3</v>
      </c>
      <c r="J46" s="516">
        <v>0</v>
      </c>
      <c r="K46" s="516">
        <v>0</v>
      </c>
      <c r="L46" s="516">
        <v>0</v>
      </c>
      <c r="M46" s="391">
        <v>24.119</v>
      </c>
      <c r="N46" s="392">
        <v>-1.8075967919228213E-2</v>
      </c>
      <c r="O46" s="329" t="s">
        <v>722</v>
      </c>
      <c r="P46" s="537" t="s">
        <v>723</v>
      </c>
    </row>
    <row r="47" spans="1:16" ht="45" customHeight="1" x14ac:dyDescent="0.35">
      <c r="A47" s="393" t="s">
        <v>724</v>
      </c>
      <c r="B47" s="516">
        <v>0</v>
      </c>
      <c r="C47" s="516">
        <v>0</v>
      </c>
      <c r="D47" s="516">
        <v>3.87</v>
      </c>
      <c r="E47" s="516">
        <v>0</v>
      </c>
      <c r="F47" s="516">
        <v>0</v>
      </c>
      <c r="G47" s="391">
        <v>3.87</v>
      </c>
      <c r="H47" s="516">
        <v>0</v>
      </c>
      <c r="I47" s="516">
        <v>0</v>
      </c>
      <c r="J47" s="516">
        <v>8.4949999999999992</v>
      </c>
      <c r="K47" s="516">
        <v>0</v>
      </c>
      <c r="L47" s="516">
        <v>0</v>
      </c>
      <c r="M47" s="391">
        <v>8.4949999999999992</v>
      </c>
      <c r="N47" s="392">
        <v>1.1950904392764856</v>
      </c>
      <c r="O47" s="329" t="s">
        <v>725</v>
      </c>
      <c r="P47" s="538" t="s">
        <v>726</v>
      </c>
    </row>
    <row r="48" spans="1:16" ht="16" x14ac:dyDescent="0.35">
      <c r="A48" s="528" t="s">
        <v>727</v>
      </c>
      <c r="B48" s="288">
        <v>35.450000000000003</v>
      </c>
      <c r="C48" s="288">
        <v>4.7190000000000003</v>
      </c>
      <c r="D48" s="288">
        <v>3.87</v>
      </c>
      <c r="E48" s="288">
        <v>0</v>
      </c>
      <c r="F48" s="288">
        <v>0</v>
      </c>
      <c r="G48" s="288">
        <v>44.039000000000001</v>
      </c>
      <c r="H48" s="288">
        <v>37.673000000000002</v>
      </c>
      <c r="I48" s="288">
        <v>5.3</v>
      </c>
      <c r="J48" s="288">
        <v>10.117999999999999</v>
      </c>
      <c r="K48" s="288">
        <v>0</v>
      </c>
      <c r="L48" s="288">
        <v>0</v>
      </c>
      <c r="M48" s="288">
        <v>53.091000000000001</v>
      </c>
      <c r="N48" s="200">
        <v>0.20554508503826152</v>
      </c>
      <c r="O48" s="521"/>
      <c r="P48" s="522"/>
    </row>
    <row r="49" spans="1:16" ht="16" x14ac:dyDescent="0.35">
      <c r="A49" s="64"/>
      <c r="B49" s="523"/>
      <c r="C49" s="523"/>
      <c r="D49" s="523"/>
      <c r="E49" s="523"/>
      <c r="F49" s="523"/>
      <c r="G49" s="523"/>
      <c r="H49" s="523"/>
      <c r="I49" s="523"/>
      <c r="J49" s="523"/>
      <c r="K49" s="523"/>
      <c r="L49" s="523"/>
      <c r="M49" s="523"/>
      <c r="N49" s="515"/>
      <c r="O49" s="524"/>
      <c r="P49" s="104"/>
    </row>
    <row r="50" spans="1:16" ht="16" x14ac:dyDescent="0.35">
      <c r="A50" s="524"/>
      <c r="B50" s="523"/>
      <c r="C50" s="523"/>
      <c r="D50" s="523"/>
      <c r="E50" s="523"/>
      <c r="F50" s="523"/>
      <c r="G50" s="523"/>
      <c r="H50" s="523"/>
      <c r="I50" s="523"/>
      <c r="J50" s="523"/>
      <c r="K50" s="523"/>
      <c r="L50" s="523"/>
      <c r="M50" s="523"/>
      <c r="N50" s="515"/>
      <c r="O50" s="104"/>
      <c r="P50" s="104"/>
    </row>
    <row r="51" spans="1:16" ht="16" x14ac:dyDescent="0.35">
      <c r="A51" s="529" t="s">
        <v>727</v>
      </c>
      <c r="B51" s="530">
        <v>44.889000000000003</v>
      </c>
      <c r="C51" s="530">
        <v>4.7190000000000003</v>
      </c>
      <c r="D51" s="530">
        <v>3.87</v>
      </c>
      <c r="E51" s="530">
        <v>0</v>
      </c>
      <c r="F51" s="530">
        <v>0</v>
      </c>
      <c r="G51" s="530">
        <v>53.478000000000002</v>
      </c>
      <c r="H51" s="530">
        <v>69.388000000000005</v>
      </c>
      <c r="I51" s="530">
        <v>5.3</v>
      </c>
      <c r="J51" s="530">
        <v>10.117999999999999</v>
      </c>
      <c r="K51" s="530">
        <v>0</v>
      </c>
      <c r="L51" s="530">
        <v>0</v>
      </c>
      <c r="M51" s="530">
        <v>84.805999999999997</v>
      </c>
      <c r="N51" s="531">
        <v>0.58581098769587481</v>
      </c>
      <c r="O51" s="532"/>
      <c r="P51" s="533"/>
    </row>
    <row r="52" spans="1:16" ht="16" x14ac:dyDescent="0.35">
      <c r="A52" s="64"/>
      <c r="B52" s="523"/>
      <c r="C52" s="523"/>
      <c r="D52" s="523"/>
      <c r="E52" s="523"/>
      <c r="F52" s="523"/>
      <c r="G52" s="523"/>
      <c r="H52" s="523"/>
      <c r="I52" s="523"/>
      <c r="J52" s="523"/>
      <c r="K52" s="523"/>
      <c r="L52" s="523"/>
      <c r="M52" s="523"/>
      <c r="N52" s="515"/>
      <c r="O52" s="524"/>
      <c r="P52" s="104"/>
    </row>
    <row r="53" spans="1:16" ht="16" x14ac:dyDescent="0.35">
      <c r="A53" s="338" t="s">
        <v>728</v>
      </c>
      <c r="B53" s="462"/>
      <c r="C53" s="462"/>
      <c r="D53" s="462"/>
      <c r="E53" s="462"/>
      <c r="F53" s="462"/>
      <c r="G53" s="462"/>
      <c r="H53" s="462"/>
      <c r="I53" s="462"/>
      <c r="J53" s="462"/>
      <c r="K53" s="462"/>
      <c r="L53" s="462"/>
      <c r="M53" s="462"/>
      <c r="N53" s="512"/>
      <c r="O53" s="314"/>
      <c r="P53" s="314"/>
    </row>
    <row r="54" spans="1:16" ht="16" x14ac:dyDescent="0.35">
      <c r="A54" s="64"/>
      <c r="B54" s="534"/>
      <c r="C54" s="534"/>
      <c r="D54" s="534"/>
      <c r="E54" s="534"/>
      <c r="F54" s="534"/>
      <c r="G54" s="534"/>
      <c r="H54" s="534"/>
      <c r="I54" s="534"/>
      <c r="J54" s="534"/>
      <c r="K54" s="534"/>
      <c r="L54" s="534"/>
      <c r="M54" s="534"/>
      <c r="N54" s="535"/>
      <c r="O54" s="524"/>
      <c r="P54" s="64"/>
    </row>
    <row r="55" spans="1:16" ht="16" x14ac:dyDescent="0.35">
      <c r="A55" s="315" t="s">
        <v>728</v>
      </c>
      <c r="B55" s="327"/>
      <c r="C55" s="327"/>
      <c r="D55" s="327"/>
      <c r="E55" s="327"/>
      <c r="F55" s="327"/>
      <c r="G55" s="327"/>
      <c r="H55" s="327"/>
      <c r="I55" s="327"/>
      <c r="J55" s="327"/>
      <c r="K55" s="327"/>
      <c r="L55" s="327"/>
      <c r="M55" s="327"/>
      <c r="N55" s="327"/>
      <c r="O55" s="327"/>
      <c r="P55" s="327"/>
    </row>
    <row r="56" spans="1:16" ht="16" x14ac:dyDescent="0.35">
      <c r="A56" s="518" t="s">
        <v>729</v>
      </c>
      <c r="B56" s="516">
        <v>-0.94899999999999995</v>
      </c>
      <c r="C56" s="516">
        <v>0</v>
      </c>
      <c r="D56" s="516">
        <v>0</v>
      </c>
      <c r="E56" s="516">
        <v>0</v>
      </c>
      <c r="F56" s="516">
        <v>0</v>
      </c>
      <c r="G56" s="391">
        <v>-0.94899999999999995</v>
      </c>
      <c r="H56" s="516">
        <v>-0.94899999999999995</v>
      </c>
      <c r="I56" s="516">
        <v>0</v>
      </c>
      <c r="J56" s="516">
        <v>0</v>
      </c>
      <c r="K56" s="516">
        <v>0</v>
      </c>
      <c r="L56" s="516">
        <v>0</v>
      </c>
      <c r="M56" s="391">
        <v>-0.94899999999999995</v>
      </c>
      <c r="N56" s="517">
        <v>0</v>
      </c>
      <c r="O56" s="318" t="s">
        <v>237</v>
      </c>
      <c r="P56" s="321" t="s">
        <v>74</v>
      </c>
    </row>
    <row r="57" spans="1:16" ht="48" x14ac:dyDescent="0.35">
      <c r="A57" s="393" t="s">
        <v>730</v>
      </c>
      <c r="B57" s="516">
        <v>22.835999999999999</v>
      </c>
      <c r="C57" s="516">
        <v>0</v>
      </c>
      <c r="D57" s="516">
        <v>0</v>
      </c>
      <c r="E57" s="516">
        <v>0</v>
      </c>
      <c r="F57" s="516">
        <v>0</v>
      </c>
      <c r="G57" s="391">
        <v>22.835999999999999</v>
      </c>
      <c r="H57" s="516">
        <v>24.358000000000001</v>
      </c>
      <c r="I57" s="516">
        <v>0</v>
      </c>
      <c r="J57" s="516">
        <v>0</v>
      </c>
      <c r="K57" s="516">
        <v>0</v>
      </c>
      <c r="L57" s="516">
        <v>0</v>
      </c>
      <c r="M57" s="391">
        <v>24.358000000000001</v>
      </c>
      <c r="N57" s="392">
        <v>6.6649150464179463E-2</v>
      </c>
      <c r="O57" s="329" t="s">
        <v>731</v>
      </c>
      <c r="P57" s="330" t="s">
        <v>732</v>
      </c>
    </row>
    <row r="58" spans="1:16" ht="32" x14ac:dyDescent="0.35">
      <c r="A58" s="393" t="s">
        <v>733</v>
      </c>
      <c r="B58" s="516">
        <v>6.3849999999999998</v>
      </c>
      <c r="C58" s="516">
        <v>0</v>
      </c>
      <c r="D58" s="516">
        <v>0</v>
      </c>
      <c r="E58" s="516">
        <v>0</v>
      </c>
      <c r="F58" s="516">
        <v>0</v>
      </c>
      <c r="G58" s="391">
        <v>6.3849999999999998</v>
      </c>
      <c r="H58" s="516">
        <v>4.9640000000000004</v>
      </c>
      <c r="I58" s="516">
        <v>0</v>
      </c>
      <c r="J58" s="516">
        <v>0</v>
      </c>
      <c r="K58" s="516">
        <v>0</v>
      </c>
      <c r="L58" s="516">
        <v>0</v>
      </c>
      <c r="M58" s="391">
        <v>4.9640000000000004</v>
      </c>
      <c r="N58" s="392">
        <v>-0.22255285826155041</v>
      </c>
      <c r="O58" s="329" t="s">
        <v>734</v>
      </c>
      <c r="P58" s="330" t="s">
        <v>735</v>
      </c>
    </row>
    <row r="59" spans="1:16" ht="16" x14ac:dyDescent="0.35">
      <c r="A59" s="519" t="s">
        <v>736</v>
      </c>
      <c r="B59" s="516">
        <v>0</v>
      </c>
      <c r="C59" s="516">
        <v>2.625</v>
      </c>
      <c r="D59" s="516">
        <v>0</v>
      </c>
      <c r="E59" s="516">
        <v>0</v>
      </c>
      <c r="F59" s="516">
        <v>0</v>
      </c>
      <c r="G59" s="391">
        <v>2.625</v>
      </c>
      <c r="H59" s="516">
        <v>0</v>
      </c>
      <c r="I59" s="516">
        <v>2.6640000000000001</v>
      </c>
      <c r="J59" s="516">
        <v>0</v>
      </c>
      <c r="K59" s="516">
        <v>0</v>
      </c>
      <c r="L59" s="516">
        <v>0</v>
      </c>
      <c r="M59" s="391">
        <v>2.6640000000000001</v>
      </c>
      <c r="N59" s="392">
        <v>1.4857142857142912E-2</v>
      </c>
      <c r="O59" s="329" t="s">
        <v>737</v>
      </c>
      <c r="P59" s="330" t="s">
        <v>738</v>
      </c>
    </row>
    <row r="60" spans="1:16" ht="16" x14ac:dyDescent="0.35">
      <c r="A60" s="322" t="s">
        <v>739</v>
      </c>
      <c r="B60" s="288">
        <v>28.271999999999998</v>
      </c>
      <c r="C60" s="288">
        <v>2.625</v>
      </c>
      <c r="D60" s="288">
        <v>0</v>
      </c>
      <c r="E60" s="288">
        <v>0</v>
      </c>
      <c r="F60" s="288">
        <v>0</v>
      </c>
      <c r="G60" s="288">
        <v>30.896999999999998</v>
      </c>
      <c r="H60" s="288">
        <v>28.372999999999998</v>
      </c>
      <c r="I60" s="288">
        <v>2.6640000000000001</v>
      </c>
      <c r="J60" s="288">
        <v>0</v>
      </c>
      <c r="K60" s="288">
        <v>0</v>
      </c>
      <c r="L60" s="288">
        <v>0</v>
      </c>
      <c r="M60" s="288">
        <v>31.036999999999999</v>
      </c>
      <c r="N60" s="200">
        <v>4.5311842573712846E-3</v>
      </c>
      <c r="O60" s="521"/>
      <c r="P60" s="522"/>
    </row>
    <row r="61" spans="1:16" ht="16" x14ac:dyDescent="0.35">
      <c r="A61" s="64"/>
      <c r="B61" s="534"/>
      <c r="C61" s="534"/>
      <c r="D61" s="534"/>
      <c r="E61" s="534"/>
      <c r="F61" s="534"/>
      <c r="G61" s="534"/>
      <c r="H61" s="534"/>
      <c r="I61" s="534"/>
      <c r="J61" s="534"/>
      <c r="K61" s="534"/>
      <c r="L61" s="534"/>
      <c r="M61" s="534"/>
      <c r="N61" s="535"/>
      <c r="O61" s="524"/>
      <c r="P61" s="64"/>
    </row>
    <row r="62" spans="1:16" ht="16" x14ac:dyDescent="0.35">
      <c r="A62" s="529" t="s">
        <v>739</v>
      </c>
      <c r="B62" s="539">
        <v>28.271999999999998</v>
      </c>
      <c r="C62" s="539">
        <v>2.625</v>
      </c>
      <c r="D62" s="539">
        <v>0</v>
      </c>
      <c r="E62" s="539">
        <v>0</v>
      </c>
      <c r="F62" s="539">
        <v>0</v>
      </c>
      <c r="G62" s="539">
        <v>30.896999999999998</v>
      </c>
      <c r="H62" s="539">
        <v>28.372999999999998</v>
      </c>
      <c r="I62" s="539">
        <v>2.6640000000000001</v>
      </c>
      <c r="J62" s="539">
        <v>0</v>
      </c>
      <c r="K62" s="539">
        <v>0</v>
      </c>
      <c r="L62" s="539">
        <v>0</v>
      </c>
      <c r="M62" s="539">
        <v>31.036999999999999</v>
      </c>
      <c r="N62" s="540">
        <v>4.5311842573712846E-3</v>
      </c>
      <c r="O62" s="541"/>
      <c r="P62" s="541"/>
    </row>
    <row r="63" spans="1:16" ht="16" x14ac:dyDescent="0.35">
      <c r="A63" s="508"/>
      <c r="B63" s="523"/>
      <c r="C63" s="523"/>
      <c r="D63" s="523"/>
      <c r="E63" s="523"/>
      <c r="F63" s="523"/>
      <c r="G63" s="523"/>
      <c r="H63" s="523"/>
      <c r="I63" s="523"/>
      <c r="J63" s="523"/>
      <c r="K63" s="523"/>
      <c r="L63" s="523"/>
      <c r="M63" s="523"/>
      <c r="N63" s="515"/>
      <c r="O63" s="524"/>
      <c r="P63" s="104"/>
    </row>
    <row r="64" spans="1:16" ht="16" x14ac:dyDescent="0.35">
      <c r="A64" s="338" t="s">
        <v>740</v>
      </c>
      <c r="B64" s="462"/>
      <c r="C64" s="462"/>
      <c r="D64" s="462"/>
      <c r="E64" s="462"/>
      <c r="F64" s="462"/>
      <c r="G64" s="462"/>
      <c r="H64" s="462"/>
      <c r="I64" s="462"/>
      <c r="J64" s="462"/>
      <c r="K64" s="462"/>
      <c r="L64" s="462"/>
      <c r="M64" s="462"/>
      <c r="N64" s="512"/>
      <c r="O64" s="314"/>
      <c r="P64" s="314"/>
    </row>
    <row r="65" spans="1:16" ht="16" x14ac:dyDescent="0.35">
      <c r="A65" s="64"/>
      <c r="B65" s="534"/>
      <c r="C65" s="534"/>
      <c r="D65" s="534"/>
      <c r="E65" s="534"/>
      <c r="F65" s="534"/>
      <c r="G65" s="534"/>
      <c r="H65" s="534"/>
      <c r="I65" s="534"/>
      <c r="J65" s="534"/>
      <c r="K65" s="534"/>
      <c r="L65" s="534"/>
      <c r="M65" s="534"/>
      <c r="N65" s="535"/>
      <c r="O65" s="524"/>
      <c r="P65" s="64"/>
    </row>
    <row r="66" spans="1:16" ht="32" x14ac:dyDescent="0.35">
      <c r="A66" s="527" t="s">
        <v>741</v>
      </c>
      <c r="B66" s="166"/>
      <c r="C66" s="166"/>
      <c r="D66" s="166"/>
      <c r="E66" s="166"/>
      <c r="F66" s="166"/>
      <c r="G66" s="166"/>
      <c r="H66" s="166"/>
      <c r="I66" s="166"/>
      <c r="J66" s="166"/>
      <c r="K66" s="166"/>
      <c r="L66" s="166"/>
      <c r="M66" s="166"/>
      <c r="N66" s="258"/>
      <c r="O66" s="327"/>
      <c r="P66" s="327"/>
    </row>
    <row r="67" spans="1:16" ht="112" x14ac:dyDescent="0.35">
      <c r="A67" s="518" t="s">
        <v>742</v>
      </c>
      <c r="B67" s="516">
        <v>28.344999999999999</v>
      </c>
      <c r="C67" s="516">
        <v>2.597</v>
      </c>
      <c r="D67" s="516">
        <v>0</v>
      </c>
      <c r="E67" s="516">
        <v>0</v>
      </c>
      <c r="F67" s="516">
        <v>0</v>
      </c>
      <c r="G67" s="391">
        <v>30.942</v>
      </c>
      <c r="H67" s="516">
        <v>24.318000000000001</v>
      </c>
      <c r="I67" s="516">
        <v>3.319</v>
      </c>
      <c r="J67" s="516">
        <v>0</v>
      </c>
      <c r="K67" s="516">
        <v>0</v>
      </c>
      <c r="L67" s="516">
        <v>0.159</v>
      </c>
      <c r="M67" s="391">
        <v>27.795999999999999</v>
      </c>
      <c r="N67" s="517">
        <v>-0.10167409992889925</v>
      </c>
      <c r="O67" s="518" t="s">
        <v>743</v>
      </c>
      <c r="P67" s="321" t="s">
        <v>744</v>
      </c>
    </row>
    <row r="68" spans="1:16" ht="32" x14ac:dyDescent="0.35">
      <c r="A68" s="393" t="s">
        <v>745</v>
      </c>
      <c r="B68" s="516">
        <v>0</v>
      </c>
      <c r="C68" s="516">
        <v>0</v>
      </c>
      <c r="D68" s="516">
        <v>2.9</v>
      </c>
      <c r="E68" s="516">
        <v>0</v>
      </c>
      <c r="F68" s="516">
        <v>0</v>
      </c>
      <c r="G68" s="391">
        <v>2.9</v>
      </c>
      <c r="H68" s="516">
        <v>0</v>
      </c>
      <c r="I68" s="516">
        <v>0</v>
      </c>
      <c r="J68" s="516">
        <v>4.6870000000000003</v>
      </c>
      <c r="K68" s="516">
        <v>0</v>
      </c>
      <c r="L68" s="516">
        <v>0</v>
      </c>
      <c r="M68" s="391">
        <v>4.6870000000000003</v>
      </c>
      <c r="N68" s="525">
        <v>0.61620689655172434</v>
      </c>
      <c r="O68" s="393" t="s">
        <v>746</v>
      </c>
      <c r="P68" s="330" t="s">
        <v>747</v>
      </c>
    </row>
    <row r="69" spans="1:16" ht="112" x14ac:dyDescent="0.35">
      <c r="A69" s="393" t="s">
        <v>748</v>
      </c>
      <c r="B69" s="516">
        <v>7.0750000000000002</v>
      </c>
      <c r="C69" s="516">
        <v>0.45</v>
      </c>
      <c r="D69" s="516">
        <v>0</v>
      </c>
      <c r="E69" s="516">
        <v>0</v>
      </c>
      <c r="F69" s="516">
        <v>0</v>
      </c>
      <c r="G69" s="391">
        <v>7.5250000000000004</v>
      </c>
      <c r="H69" s="516">
        <v>4.5759999999999996</v>
      </c>
      <c r="I69" s="516">
        <v>0.51</v>
      </c>
      <c r="J69" s="516">
        <v>0</v>
      </c>
      <c r="K69" s="516">
        <v>0</v>
      </c>
      <c r="L69" s="516">
        <v>0</v>
      </c>
      <c r="M69" s="391">
        <v>5.0859999999999994</v>
      </c>
      <c r="N69" s="392">
        <v>-0.32411960132890377</v>
      </c>
      <c r="O69" s="393" t="s">
        <v>749</v>
      </c>
      <c r="P69" s="330" t="s">
        <v>750</v>
      </c>
    </row>
    <row r="70" spans="1:16" ht="80" x14ac:dyDescent="0.35">
      <c r="A70" s="393" t="s">
        <v>751</v>
      </c>
      <c r="B70" s="516">
        <v>0</v>
      </c>
      <c r="C70" s="516">
        <v>0</v>
      </c>
      <c r="D70" s="516">
        <v>0.77700000000000002</v>
      </c>
      <c r="E70" s="516">
        <v>0</v>
      </c>
      <c r="F70" s="516">
        <v>0</v>
      </c>
      <c r="G70" s="391">
        <v>0.77700000000000002</v>
      </c>
      <c r="H70" s="516">
        <v>0</v>
      </c>
      <c r="I70" s="516">
        <v>0</v>
      </c>
      <c r="J70" s="516">
        <v>0.80300000000000005</v>
      </c>
      <c r="K70" s="516">
        <v>0</v>
      </c>
      <c r="L70" s="516">
        <v>0</v>
      </c>
      <c r="M70" s="391">
        <v>0.80300000000000005</v>
      </c>
      <c r="N70" s="392">
        <v>3.346203346203349E-2</v>
      </c>
      <c r="O70" s="393" t="s">
        <v>752</v>
      </c>
      <c r="P70" s="330" t="s">
        <v>753</v>
      </c>
    </row>
    <row r="71" spans="1:16" ht="64" x14ac:dyDescent="0.35">
      <c r="A71" s="393" t="s">
        <v>754</v>
      </c>
      <c r="B71" s="516">
        <v>4.05</v>
      </c>
      <c r="C71" s="516">
        <v>0</v>
      </c>
      <c r="D71" s="516">
        <v>0</v>
      </c>
      <c r="E71" s="516">
        <v>0</v>
      </c>
      <c r="F71" s="516">
        <v>0</v>
      </c>
      <c r="G71" s="391">
        <v>4.05</v>
      </c>
      <c r="H71" s="516">
        <v>4.05</v>
      </c>
      <c r="I71" s="516">
        <v>0</v>
      </c>
      <c r="J71" s="516">
        <v>0</v>
      </c>
      <c r="K71" s="516">
        <v>0</v>
      </c>
      <c r="L71" s="516">
        <v>0</v>
      </c>
      <c r="M71" s="391">
        <v>4.05</v>
      </c>
      <c r="N71" s="392">
        <v>0</v>
      </c>
      <c r="O71" s="393" t="s">
        <v>755</v>
      </c>
      <c r="P71" s="330" t="s">
        <v>489</v>
      </c>
    </row>
    <row r="72" spans="1:16" ht="97.4" customHeight="1" x14ac:dyDescent="0.35">
      <c r="A72" s="329" t="s">
        <v>756</v>
      </c>
      <c r="B72" s="516">
        <v>10.451000000000001</v>
      </c>
      <c r="C72" s="516">
        <v>0</v>
      </c>
      <c r="D72" s="516">
        <v>1.61</v>
      </c>
      <c r="E72" s="516">
        <v>0</v>
      </c>
      <c r="F72" s="516">
        <v>0</v>
      </c>
      <c r="G72" s="391">
        <v>12.061</v>
      </c>
      <c r="H72" s="516">
        <v>5.5389999999999997</v>
      </c>
      <c r="I72" s="516">
        <v>0</v>
      </c>
      <c r="J72" s="516">
        <v>1</v>
      </c>
      <c r="K72" s="516">
        <v>0</v>
      </c>
      <c r="L72" s="516">
        <v>0</v>
      </c>
      <c r="M72" s="391">
        <v>6.5389999999999997</v>
      </c>
      <c r="N72" s="392">
        <v>-0.45783931680623502</v>
      </c>
      <c r="O72" s="393" t="s">
        <v>757</v>
      </c>
      <c r="P72" s="330" t="s">
        <v>758</v>
      </c>
    </row>
    <row r="73" spans="1:16" ht="96" x14ac:dyDescent="0.35">
      <c r="A73" s="393" t="s">
        <v>759</v>
      </c>
      <c r="B73" s="516">
        <v>2.2829999999999999</v>
      </c>
      <c r="C73" s="516">
        <v>0</v>
      </c>
      <c r="D73" s="516">
        <v>0</v>
      </c>
      <c r="E73" s="516">
        <v>0</v>
      </c>
      <c r="F73" s="516">
        <v>0</v>
      </c>
      <c r="G73" s="391">
        <v>2.2829999999999999</v>
      </c>
      <c r="H73" s="516">
        <v>3.883</v>
      </c>
      <c r="I73" s="516">
        <v>0</v>
      </c>
      <c r="J73" s="516">
        <v>0</v>
      </c>
      <c r="K73" s="516">
        <v>0</v>
      </c>
      <c r="L73" s="516">
        <v>0</v>
      </c>
      <c r="M73" s="391">
        <v>3.883</v>
      </c>
      <c r="N73" s="392">
        <v>0.70083223828296104</v>
      </c>
      <c r="O73" s="393" t="s">
        <v>760</v>
      </c>
      <c r="P73" s="330" t="s">
        <v>761</v>
      </c>
    </row>
    <row r="74" spans="1:16" ht="112" x14ac:dyDescent="0.35">
      <c r="A74" s="542" t="s">
        <v>762</v>
      </c>
      <c r="B74" s="516">
        <v>8.7870000000000008</v>
      </c>
      <c r="C74" s="516">
        <v>0</v>
      </c>
      <c r="D74" s="516">
        <v>0</v>
      </c>
      <c r="E74" s="516">
        <v>0</v>
      </c>
      <c r="F74" s="516">
        <v>0</v>
      </c>
      <c r="G74" s="391">
        <v>8.7870000000000008</v>
      </c>
      <c r="H74" s="516">
        <v>3.4260000000000002</v>
      </c>
      <c r="I74" s="516">
        <v>0</v>
      </c>
      <c r="J74" s="516">
        <v>0</v>
      </c>
      <c r="K74" s="516">
        <v>0</v>
      </c>
      <c r="L74" s="516">
        <v>0</v>
      </c>
      <c r="M74" s="391">
        <v>3.4260000000000002</v>
      </c>
      <c r="N74" s="543">
        <v>-0.61010583817002395</v>
      </c>
      <c r="O74" s="393" t="s">
        <v>763</v>
      </c>
      <c r="P74" s="330" t="s">
        <v>764</v>
      </c>
    </row>
    <row r="75" spans="1:16" ht="32" x14ac:dyDescent="0.35">
      <c r="A75" s="528" t="s">
        <v>765</v>
      </c>
      <c r="B75" s="288">
        <v>60.991</v>
      </c>
      <c r="C75" s="288">
        <v>3.0470000000000002</v>
      </c>
      <c r="D75" s="288">
        <v>5.2869999999999999</v>
      </c>
      <c r="E75" s="288">
        <v>0</v>
      </c>
      <c r="F75" s="288">
        <v>0</v>
      </c>
      <c r="G75" s="288">
        <v>69.325000000000003</v>
      </c>
      <c r="H75" s="288">
        <v>45.792000000000009</v>
      </c>
      <c r="I75" s="288">
        <v>3.8289999999999997</v>
      </c>
      <c r="J75" s="288">
        <v>6.49</v>
      </c>
      <c r="K75" s="288">
        <v>0</v>
      </c>
      <c r="L75" s="288">
        <v>0.159</v>
      </c>
      <c r="M75" s="288">
        <v>56.269999999999996</v>
      </c>
      <c r="N75" s="200">
        <v>-0.18831590335376858</v>
      </c>
      <c r="O75" s="521"/>
      <c r="P75" s="522"/>
    </row>
    <row r="76" spans="1:16" ht="16" x14ac:dyDescent="0.35">
      <c r="A76" s="508"/>
      <c r="B76" s="523"/>
      <c r="C76" s="523"/>
      <c r="D76" s="523"/>
      <c r="E76" s="523"/>
      <c r="F76" s="523"/>
      <c r="G76" s="523"/>
      <c r="H76" s="523"/>
      <c r="I76" s="523"/>
      <c r="J76" s="523"/>
      <c r="K76" s="523"/>
      <c r="L76" s="523"/>
      <c r="M76" s="523"/>
      <c r="N76" s="515"/>
      <c r="O76" s="524"/>
      <c r="P76" s="104"/>
    </row>
    <row r="77" spans="1:16" ht="16" x14ac:dyDescent="0.35">
      <c r="A77" s="315" t="s">
        <v>766</v>
      </c>
      <c r="B77" s="166"/>
      <c r="C77" s="166"/>
      <c r="D77" s="166"/>
      <c r="E77" s="166"/>
      <c r="F77" s="166"/>
      <c r="G77" s="166"/>
      <c r="H77" s="166"/>
      <c r="I77" s="166"/>
      <c r="J77" s="166"/>
      <c r="K77" s="166"/>
      <c r="L77" s="166"/>
      <c r="M77" s="166"/>
      <c r="N77" s="258"/>
      <c r="O77" s="327"/>
      <c r="P77" s="327"/>
    </row>
    <row r="78" spans="1:16" ht="48" x14ac:dyDescent="0.35">
      <c r="A78" s="393" t="s">
        <v>767</v>
      </c>
      <c r="B78" s="536">
        <v>4.0410000000000004</v>
      </c>
      <c r="C78" s="536">
        <v>0</v>
      </c>
      <c r="D78" s="536">
        <v>0</v>
      </c>
      <c r="E78" s="536">
        <v>0</v>
      </c>
      <c r="F78" s="536">
        <v>0</v>
      </c>
      <c r="G78" s="391">
        <v>4.0410000000000004</v>
      </c>
      <c r="H78" s="516">
        <v>4.2409999999999997</v>
      </c>
      <c r="I78" s="516">
        <v>0</v>
      </c>
      <c r="J78" s="516">
        <v>0</v>
      </c>
      <c r="K78" s="516">
        <v>0</v>
      </c>
      <c r="L78" s="516">
        <v>0</v>
      </c>
      <c r="M78" s="391">
        <v>4.2409999999999997</v>
      </c>
      <c r="N78" s="392">
        <v>4.9492699826775371E-2</v>
      </c>
      <c r="O78" s="393" t="s">
        <v>768</v>
      </c>
      <c r="P78" s="330" t="s">
        <v>769</v>
      </c>
    </row>
    <row r="79" spans="1:16" ht="80" x14ac:dyDescent="0.35">
      <c r="A79" s="393" t="s">
        <v>770</v>
      </c>
      <c r="B79" s="536">
        <v>0</v>
      </c>
      <c r="C79" s="536">
        <v>0</v>
      </c>
      <c r="D79" s="536">
        <v>0.79500000000000004</v>
      </c>
      <c r="E79" s="536">
        <v>0</v>
      </c>
      <c r="F79" s="536">
        <v>0</v>
      </c>
      <c r="G79" s="391">
        <v>0.79500000000000004</v>
      </c>
      <c r="H79" s="516">
        <v>0</v>
      </c>
      <c r="I79" s="516">
        <v>0</v>
      </c>
      <c r="J79" s="516">
        <v>25</v>
      </c>
      <c r="K79" s="516">
        <v>0</v>
      </c>
      <c r="L79" s="516">
        <v>0</v>
      </c>
      <c r="M79" s="391">
        <v>25</v>
      </c>
      <c r="N79" s="392">
        <v>30.446540880503139</v>
      </c>
      <c r="O79" s="393" t="s">
        <v>771</v>
      </c>
      <c r="P79" s="330" t="s">
        <v>772</v>
      </c>
    </row>
    <row r="80" spans="1:16" ht="80" x14ac:dyDescent="0.35">
      <c r="A80" s="393" t="s">
        <v>773</v>
      </c>
      <c r="B80" s="536">
        <v>18.3</v>
      </c>
      <c r="C80" s="536">
        <v>0</v>
      </c>
      <c r="D80" s="536">
        <v>0</v>
      </c>
      <c r="E80" s="536">
        <v>0</v>
      </c>
      <c r="F80" s="536">
        <v>0</v>
      </c>
      <c r="G80" s="391">
        <v>18.3</v>
      </c>
      <c r="H80" s="516">
        <v>18.25</v>
      </c>
      <c r="I80" s="516">
        <v>0</v>
      </c>
      <c r="J80" s="516">
        <v>0</v>
      </c>
      <c r="K80" s="516">
        <v>0</v>
      </c>
      <c r="L80" s="516">
        <v>0</v>
      </c>
      <c r="M80" s="391">
        <v>18.25</v>
      </c>
      <c r="N80" s="392">
        <v>-2.7322404371585085E-3</v>
      </c>
      <c r="O80" s="393" t="s">
        <v>774</v>
      </c>
      <c r="P80" s="330" t="s">
        <v>775</v>
      </c>
    </row>
    <row r="81" spans="1:16" ht="80" x14ac:dyDescent="0.35">
      <c r="A81" s="393" t="s">
        <v>776</v>
      </c>
      <c r="B81" s="536">
        <v>1.2649999999999999</v>
      </c>
      <c r="C81" s="536">
        <v>0</v>
      </c>
      <c r="D81" s="536">
        <v>0</v>
      </c>
      <c r="E81" s="536">
        <v>0</v>
      </c>
      <c r="F81" s="536">
        <v>0</v>
      </c>
      <c r="G81" s="391">
        <v>1.2649999999999999</v>
      </c>
      <c r="H81" s="516">
        <v>1.2649999999999999</v>
      </c>
      <c r="I81" s="516">
        <v>0</v>
      </c>
      <c r="J81" s="516">
        <v>0</v>
      </c>
      <c r="K81" s="516">
        <v>0</v>
      </c>
      <c r="L81" s="516">
        <v>0</v>
      </c>
      <c r="M81" s="391">
        <v>1.2649999999999999</v>
      </c>
      <c r="N81" s="392">
        <v>0</v>
      </c>
      <c r="O81" s="393" t="s">
        <v>777</v>
      </c>
      <c r="P81" s="330" t="s">
        <v>489</v>
      </c>
    </row>
    <row r="82" spans="1:16" ht="32" x14ac:dyDescent="0.35">
      <c r="A82" s="393" t="s">
        <v>778</v>
      </c>
      <c r="B82" s="536">
        <v>3.48</v>
      </c>
      <c r="C82" s="536">
        <v>0</v>
      </c>
      <c r="D82" s="536">
        <v>0</v>
      </c>
      <c r="E82" s="536">
        <v>0</v>
      </c>
      <c r="F82" s="536">
        <v>0</v>
      </c>
      <c r="G82" s="391">
        <v>3.48</v>
      </c>
      <c r="H82" s="516">
        <v>5.88</v>
      </c>
      <c r="I82" s="516">
        <v>0</v>
      </c>
      <c r="J82" s="516">
        <v>0</v>
      </c>
      <c r="K82" s="516">
        <v>0</v>
      </c>
      <c r="L82" s="516">
        <v>0</v>
      </c>
      <c r="M82" s="391">
        <v>5.88</v>
      </c>
      <c r="N82" s="392">
        <v>0.68965517241379304</v>
      </c>
      <c r="O82" s="393" t="s">
        <v>779</v>
      </c>
      <c r="P82" s="330" t="s">
        <v>780</v>
      </c>
    </row>
    <row r="83" spans="1:16" ht="32" x14ac:dyDescent="0.35">
      <c r="A83" s="393" t="s">
        <v>781</v>
      </c>
      <c r="B83" s="536">
        <v>0.54900000000000004</v>
      </c>
      <c r="C83" s="536">
        <v>0</v>
      </c>
      <c r="D83" s="536">
        <v>0</v>
      </c>
      <c r="E83" s="536">
        <v>0</v>
      </c>
      <c r="F83" s="536">
        <v>0</v>
      </c>
      <c r="G83" s="391">
        <v>0.54900000000000004</v>
      </c>
      <c r="H83" s="516">
        <v>0.54900000000000004</v>
      </c>
      <c r="I83" s="516">
        <v>0</v>
      </c>
      <c r="J83" s="516">
        <v>0</v>
      </c>
      <c r="K83" s="516">
        <v>0</v>
      </c>
      <c r="L83" s="516">
        <v>0</v>
      </c>
      <c r="M83" s="391">
        <v>0.54900000000000004</v>
      </c>
      <c r="N83" s="520">
        <v>0</v>
      </c>
      <c r="O83" s="393" t="s">
        <v>782</v>
      </c>
      <c r="P83" s="330" t="s">
        <v>489</v>
      </c>
    </row>
    <row r="84" spans="1:16" ht="16" x14ac:dyDescent="0.35">
      <c r="A84" s="322" t="s">
        <v>783</v>
      </c>
      <c r="B84" s="288">
        <v>27.635000000000002</v>
      </c>
      <c r="C84" s="288">
        <v>0</v>
      </c>
      <c r="D84" s="288">
        <v>0.79500000000000004</v>
      </c>
      <c r="E84" s="288">
        <v>0</v>
      </c>
      <c r="F84" s="288">
        <v>0</v>
      </c>
      <c r="G84" s="288">
        <v>28.430000000000003</v>
      </c>
      <c r="H84" s="288">
        <v>30.184999999999999</v>
      </c>
      <c r="I84" s="288">
        <v>0</v>
      </c>
      <c r="J84" s="288">
        <v>25</v>
      </c>
      <c r="K84" s="288">
        <v>0</v>
      </c>
      <c r="L84" s="288">
        <v>0</v>
      </c>
      <c r="M84" s="288">
        <v>55.185000000000002</v>
      </c>
      <c r="N84" s="200">
        <v>0.94108336264509307</v>
      </c>
      <c r="O84" s="521"/>
      <c r="P84" s="522"/>
    </row>
    <row r="85" spans="1:16" ht="16" x14ac:dyDescent="0.35">
      <c r="A85" s="64"/>
      <c r="B85" s="544"/>
      <c r="C85" s="544"/>
      <c r="D85" s="544"/>
      <c r="E85" s="544"/>
      <c r="F85" s="544"/>
      <c r="G85" s="544"/>
      <c r="H85" s="544"/>
      <c r="I85" s="544"/>
      <c r="J85" s="544"/>
      <c r="K85" s="544"/>
      <c r="L85" s="544"/>
      <c r="M85" s="544"/>
      <c r="N85" s="510"/>
      <c r="O85" s="524"/>
      <c r="P85" s="104"/>
    </row>
    <row r="86" spans="1:16" ht="16" x14ac:dyDescent="0.35">
      <c r="A86" s="315" t="s">
        <v>784</v>
      </c>
      <c r="B86" s="166"/>
      <c r="C86" s="166"/>
      <c r="D86" s="166"/>
      <c r="E86" s="166"/>
      <c r="F86" s="166"/>
      <c r="G86" s="166"/>
      <c r="H86" s="166"/>
      <c r="I86" s="166"/>
      <c r="J86" s="166"/>
      <c r="K86" s="166"/>
      <c r="L86" s="166"/>
      <c r="M86" s="166"/>
      <c r="N86" s="258"/>
      <c r="O86" s="327"/>
      <c r="P86" s="327"/>
    </row>
    <row r="87" spans="1:16" ht="112" x14ac:dyDescent="0.35">
      <c r="A87" s="393" t="s">
        <v>785</v>
      </c>
      <c r="B87" s="536">
        <v>13.478</v>
      </c>
      <c r="C87" s="536">
        <v>8.8000000000000007</v>
      </c>
      <c r="D87" s="536">
        <v>7</v>
      </c>
      <c r="E87" s="536">
        <v>0</v>
      </c>
      <c r="F87" s="536">
        <v>0</v>
      </c>
      <c r="G87" s="391">
        <v>29.277999999999999</v>
      </c>
      <c r="H87" s="516">
        <v>8.0079999999999991</v>
      </c>
      <c r="I87" s="516">
        <v>7.5</v>
      </c>
      <c r="J87" s="516">
        <v>9.4</v>
      </c>
      <c r="K87" s="516">
        <v>0</v>
      </c>
      <c r="L87" s="516">
        <v>0.91400000000000003</v>
      </c>
      <c r="M87" s="391">
        <v>25.822000000000003</v>
      </c>
      <c r="N87" s="392">
        <v>-0.11804084978482124</v>
      </c>
      <c r="O87" s="393" t="s">
        <v>786</v>
      </c>
      <c r="P87" s="330" t="s">
        <v>787</v>
      </c>
    </row>
    <row r="88" spans="1:16" ht="16" x14ac:dyDescent="0.35">
      <c r="A88" s="322" t="s">
        <v>788</v>
      </c>
      <c r="B88" s="288">
        <v>13.478</v>
      </c>
      <c r="C88" s="288">
        <v>8.8000000000000007</v>
      </c>
      <c r="D88" s="288">
        <v>7</v>
      </c>
      <c r="E88" s="288">
        <v>0</v>
      </c>
      <c r="F88" s="288">
        <v>0</v>
      </c>
      <c r="G88" s="288">
        <v>29.277999999999999</v>
      </c>
      <c r="H88" s="288">
        <v>8.0079999999999991</v>
      </c>
      <c r="I88" s="288">
        <v>7.5</v>
      </c>
      <c r="J88" s="288">
        <v>9.4</v>
      </c>
      <c r="K88" s="288">
        <v>0</v>
      </c>
      <c r="L88" s="288">
        <v>0.91400000000000003</v>
      </c>
      <c r="M88" s="288">
        <v>25.822000000000003</v>
      </c>
      <c r="N88" s="200">
        <v>-0.11804084978482124</v>
      </c>
      <c r="O88" s="521"/>
      <c r="P88" s="522"/>
    </row>
    <row r="89" spans="1:16" ht="16" x14ac:dyDescent="0.35">
      <c r="A89" s="64"/>
      <c r="B89" s="545"/>
      <c r="C89" s="545"/>
      <c r="D89" s="545"/>
      <c r="E89" s="545"/>
      <c r="F89" s="545"/>
      <c r="G89" s="545"/>
      <c r="H89" s="545"/>
      <c r="I89" s="545"/>
      <c r="J89" s="545"/>
      <c r="K89" s="545"/>
      <c r="L89" s="545"/>
      <c r="M89" s="545"/>
      <c r="N89" s="510"/>
      <c r="O89" s="524"/>
      <c r="P89" s="104"/>
    </row>
    <row r="90" spans="1:16" ht="32" x14ac:dyDescent="0.35">
      <c r="A90" s="315" t="s">
        <v>789</v>
      </c>
      <c r="B90" s="166"/>
      <c r="C90" s="166"/>
      <c r="D90" s="166"/>
      <c r="E90" s="166"/>
      <c r="F90" s="166"/>
      <c r="G90" s="166"/>
      <c r="H90" s="166"/>
      <c r="I90" s="166"/>
      <c r="J90" s="166"/>
      <c r="K90" s="166"/>
      <c r="L90" s="166"/>
      <c r="M90" s="166"/>
      <c r="N90" s="258"/>
      <c r="O90" s="327"/>
      <c r="P90" s="327"/>
    </row>
    <row r="91" spans="1:16" ht="97.4" customHeight="1" x14ac:dyDescent="0.35">
      <c r="A91" s="393" t="s">
        <v>790</v>
      </c>
      <c r="B91" s="536">
        <v>20.334</v>
      </c>
      <c r="C91" s="536">
        <v>0.755</v>
      </c>
      <c r="D91" s="536">
        <v>0</v>
      </c>
      <c r="E91" s="536">
        <v>0</v>
      </c>
      <c r="F91" s="536">
        <v>0</v>
      </c>
      <c r="G91" s="391">
        <v>21.088999999999999</v>
      </c>
      <c r="H91" s="516">
        <v>15.340999999999999</v>
      </c>
      <c r="I91" s="516">
        <v>0.114</v>
      </c>
      <c r="J91" s="516">
        <v>0.16200000000000001</v>
      </c>
      <c r="K91" s="516">
        <v>0</v>
      </c>
      <c r="L91" s="516">
        <v>0</v>
      </c>
      <c r="M91" s="391">
        <v>15.617000000000001</v>
      </c>
      <c r="N91" s="392">
        <v>-0.25947176253022897</v>
      </c>
      <c r="O91" s="393" t="s">
        <v>791</v>
      </c>
      <c r="P91" s="330" t="s">
        <v>792</v>
      </c>
    </row>
    <row r="92" spans="1:16" ht="48.65" customHeight="1" x14ac:dyDescent="0.35">
      <c r="A92" s="393" t="s">
        <v>793</v>
      </c>
      <c r="B92" s="536">
        <v>4.8860000000000001</v>
      </c>
      <c r="C92" s="536">
        <v>0</v>
      </c>
      <c r="D92" s="536">
        <v>0</v>
      </c>
      <c r="E92" s="536">
        <v>0</v>
      </c>
      <c r="F92" s="536">
        <v>0</v>
      </c>
      <c r="G92" s="391">
        <v>4.8860000000000001</v>
      </c>
      <c r="H92" s="516">
        <v>39.091999999999999</v>
      </c>
      <c r="I92" s="516">
        <v>0</v>
      </c>
      <c r="J92" s="516">
        <v>0</v>
      </c>
      <c r="K92" s="516">
        <v>0</v>
      </c>
      <c r="L92" s="516">
        <v>0</v>
      </c>
      <c r="M92" s="391">
        <v>39.091999999999999</v>
      </c>
      <c r="N92" s="392">
        <v>7.0008186655751112</v>
      </c>
      <c r="O92" s="393" t="s">
        <v>794</v>
      </c>
      <c r="P92" s="330" t="s">
        <v>795</v>
      </c>
    </row>
    <row r="93" spans="1:16" ht="32" x14ac:dyDescent="0.35">
      <c r="A93" s="322" t="s">
        <v>796</v>
      </c>
      <c r="B93" s="288">
        <v>25.22</v>
      </c>
      <c r="C93" s="288">
        <v>0.755</v>
      </c>
      <c r="D93" s="288">
        <v>0</v>
      </c>
      <c r="E93" s="288">
        <v>0</v>
      </c>
      <c r="F93" s="288">
        <v>0</v>
      </c>
      <c r="G93" s="288">
        <v>25.974999999999998</v>
      </c>
      <c r="H93" s="288">
        <v>54.433</v>
      </c>
      <c r="I93" s="288">
        <v>0.114</v>
      </c>
      <c r="J93" s="288">
        <v>0.16200000000000001</v>
      </c>
      <c r="K93" s="288">
        <v>0</v>
      </c>
      <c r="L93" s="288">
        <v>0</v>
      </c>
      <c r="M93" s="288">
        <v>54.709000000000003</v>
      </c>
      <c r="N93" s="200">
        <v>1.1062175168431188</v>
      </c>
      <c r="O93" s="521"/>
      <c r="P93" s="522"/>
    </row>
    <row r="94" spans="1:16" ht="16" x14ac:dyDescent="0.35">
      <c r="A94" s="64"/>
      <c r="B94" s="545"/>
      <c r="C94" s="545"/>
      <c r="D94" s="545"/>
      <c r="E94" s="545"/>
      <c r="F94" s="545"/>
      <c r="G94" s="545"/>
      <c r="H94" s="545"/>
      <c r="I94" s="545"/>
      <c r="J94" s="545"/>
      <c r="K94" s="545"/>
      <c r="L94" s="545"/>
      <c r="M94" s="545"/>
      <c r="N94" s="510"/>
      <c r="O94" s="524"/>
      <c r="P94" s="104"/>
    </row>
    <row r="95" spans="1:16" ht="32" x14ac:dyDescent="0.35">
      <c r="A95" s="527" t="s">
        <v>797</v>
      </c>
      <c r="B95" s="166"/>
      <c r="C95" s="166"/>
      <c r="D95" s="166"/>
      <c r="E95" s="166"/>
      <c r="F95" s="166"/>
      <c r="G95" s="166"/>
      <c r="H95" s="166"/>
      <c r="I95" s="166"/>
      <c r="J95" s="166"/>
      <c r="K95" s="166"/>
      <c r="L95" s="166"/>
      <c r="M95" s="166"/>
      <c r="N95" s="258"/>
      <c r="O95" s="327"/>
      <c r="P95" s="327"/>
    </row>
    <row r="96" spans="1:16" ht="32" x14ac:dyDescent="0.35">
      <c r="A96" s="546" t="s">
        <v>798</v>
      </c>
      <c r="B96" s="536">
        <v>0</v>
      </c>
      <c r="C96" s="536">
        <v>0</v>
      </c>
      <c r="D96" s="536">
        <v>0</v>
      </c>
      <c r="E96" s="536">
        <v>0</v>
      </c>
      <c r="F96" s="536">
        <v>0</v>
      </c>
      <c r="G96" s="391">
        <v>0</v>
      </c>
      <c r="H96" s="516">
        <v>0</v>
      </c>
      <c r="I96" s="516">
        <v>0</v>
      </c>
      <c r="J96" s="516">
        <v>0</v>
      </c>
      <c r="K96" s="516">
        <v>0</v>
      </c>
      <c r="L96" s="516">
        <v>0</v>
      </c>
      <c r="M96" s="391">
        <v>0</v>
      </c>
      <c r="N96" s="543" t="s">
        <v>50</v>
      </c>
      <c r="O96" s="393" t="s">
        <v>237</v>
      </c>
      <c r="P96" s="330" t="s">
        <v>799</v>
      </c>
    </row>
    <row r="97" spans="1:16" ht="32" x14ac:dyDescent="0.35">
      <c r="A97" s="393" t="s">
        <v>800</v>
      </c>
      <c r="B97" s="536">
        <v>0.55200000000000005</v>
      </c>
      <c r="C97" s="536">
        <v>0</v>
      </c>
      <c r="D97" s="536">
        <v>0</v>
      </c>
      <c r="E97" s="536">
        <v>0</v>
      </c>
      <c r="F97" s="536">
        <v>0</v>
      </c>
      <c r="G97" s="391">
        <v>0.55200000000000005</v>
      </c>
      <c r="H97" s="516">
        <v>0.55200000000000005</v>
      </c>
      <c r="I97" s="516">
        <v>0</v>
      </c>
      <c r="J97" s="516">
        <v>0</v>
      </c>
      <c r="K97" s="516">
        <v>0</v>
      </c>
      <c r="L97" s="516">
        <v>0</v>
      </c>
      <c r="M97" s="391">
        <v>0.55200000000000005</v>
      </c>
      <c r="N97" s="392">
        <v>0</v>
      </c>
      <c r="O97" s="393" t="s">
        <v>801</v>
      </c>
      <c r="P97" s="330" t="s">
        <v>489</v>
      </c>
    </row>
    <row r="98" spans="1:16" ht="80" x14ac:dyDescent="0.35">
      <c r="A98" s="546" t="s">
        <v>802</v>
      </c>
      <c r="B98" s="536">
        <v>21.175999999999998</v>
      </c>
      <c r="C98" s="536">
        <v>0</v>
      </c>
      <c r="D98" s="536">
        <v>0</v>
      </c>
      <c r="E98" s="536">
        <v>0</v>
      </c>
      <c r="F98" s="536">
        <v>0</v>
      </c>
      <c r="G98" s="391">
        <v>21.175999999999998</v>
      </c>
      <c r="H98" s="516">
        <v>36.643000000000001</v>
      </c>
      <c r="I98" s="516">
        <v>0</v>
      </c>
      <c r="J98" s="516">
        <v>0</v>
      </c>
      <c r="K98" s="516">
        <v>0</v>
      </c>
      <c r="L98" s="516">
        <v>0</v>
      </c>
      <c r="M98" s="391">
        <v>36.643000000000001</v>
      </c>
      <c r="N98" s="543">
        <v>0.73040234227427292</v>
      </c>
      <c r="O98" s="393" t="s">
        <v>803</v>
      </c>
      <c r="P98" s="330" t="s">
        <v>804</v>
      </c>
    </row>
    <row r="99" spans="1:16" ht="80" x14ac:dyDescent="0.35">
      <c r="A99" s="546" t="s">
        <v>805</v>
      </c>
      <c r="B99" s="536">
        <v>16.454999999999998</v>
      </c>
      <c r="C99" s="536">
        <v>0</v>
      </c>
      <c r="D99" s="536">
        <v>0</v>
      </c>
      <c r="E99" s="536">
        <v>0</v>
      </c>
      <c r="F99" s="536">
        <v>0</v>
      </c>
      <c r="G99" s="391">
        <v>16.454999999999998</v>
      </c>
      <c r="H99" s="516">
        <v>50</v>
      </c>
      <c r="I99" s="516">
        <v>0</v>
      </c>
      <c r="J99" s="516">
        <v>0</v>
      </c>
      <c r="K99" s="516">
        <v>0</v>
      </c>
      <c r="L99" s="516">
        <v>0</v>
      </c>
      <c r="M99" s="391">
        <v>50</v>
      </c>
      <c r="N99" s="543">
        <v>2.0385900941962931</v>
      </c>
      <c r="O99" s="393" t="s">
        <v>806</v>
      </c>
      <c r="P99" s="330" t="s">
        <v>807</v>
      </c>
    </row>
    <row r="100" spans="1:16" ht="32" x14ac:dyDescent="0.35">
      <c r="A100" s="528" t="s">
        <v>808</v>
      </c>
      <c r="B100" s="288">
        <v>38.182999999999993</v>
      </c>
      <c r="C100" s="288">
        <v>0</v>
      </c>
      <c r="D100" s="288">
        <v>0</v>
      </c>
      <c r="E100" s="288">
        <v>0</v>
      </c>
      <c r="F100" s="288">
        <v>0</v>
      </c>
      <c r="G100" s="288">
        <v>38.182999999999993</v>
      </c>
      <c r="H100" s="288">
        <v>87.194999999999993</v>
      </c>
      <c r="I100" s="288">
        <v>0</v>
      </c>
      <c r="J100" s="288">
        <v>0</v>
      </c>
      <c r="K100" s="288">
        <v>0</v>
      </c>
      <c r="L100" s="288">
        <v>0</v>
      </c>
      <c r="M100" s="288">
        <v>87.194999999999993</v>
      </c>
      <c r="N100" s="200">
        <v>1.2836078883272664</v>
      </c>
      <c r="O100" s="521"/>
      <c r="P100" s="522"/>
    </row>
    <row r="101" spans="1:16" ht="16" x14ac:dyDescent="0.35">
      <c r="A101" s="64"/>
      <c r="B101" s="545"/>
      <c r="C101" s="545"/>
      <c r="D101" s="545"/>
      <c r="E101" s="545"/>
      <c r="F101" s="545"/>
      <c r="G101" s="545"/>
      <c r="H101" s="545"/>
      <c r="I101" s="545"/>
      <c r="J101" s="545"/>
      <c r="K101" s="545"/>
      <c r="L101" s="545"/>
      <c r="M101" s="545"/>
      <c r="N101" s="510"/>
      <c r="O101" s="524"/>
      <c r="P101" s="104"/>
    </row>
    <row r="102" spans="1:16" ht="16" x14ac:dyDescent="0.35">
      <c r="A102" s="508"/>
      <c r="B102" s="545"/>
      <c r="C102" s="545"/>
      <c r="D102" s="545"/>
      <c r="E102" s="545"/>
      <c r="F102" s="545"/>
      <c r="G102" s="545"/>
      <c r="H102" s="545"/>
      <c r="I102" s="545"/>
      <c r="J102" s="545"/>
      <c r="K102" s="545"/>
      <c r="L102" s="545"/>
      <c r="M102" s="545"/>
      <c r="N102" s="510"/>
      <c r="O102" s="524"/>
      <c r="P102" s="104"/>
    </row>
    <row r="103" spans="1:16" ht="16" x14ac:dyDescent="0.35">
      <c r="A103" s="315" t="s">
        <v>809</v>
      </c>
      <c r="B103" s="166"/>
      <c r="C103" s="166"/>
      <c r="D103" s="166"/>
      <c r="E103" s="166"/>
      <c r="F103" s="166"/>
      <c r="G103" s="166"/>
      <c r="H103" s="166"/>
      <c r="I103" s="166"/>
      <c r="J103" s="166"/>
      <c r="K103" s="166"/>
      <c r="L103" s="166"/>
      <c r="M103" s="166"/>
      <c r="N103" s="258"/>
      <c r="O103" s="327"/>
      <c r="P103" s="327"/>
    </row>
    <row r="104" spans="1:16" ht="112" x14ac:dyDescent="0.35">
      <c r="A104" s="393" t="s">
        <v>810</v>
      </c>
      <c r="B104" s="536">
        <v>8.59</v>
      </c>
      <c r="C104" s="536">
        <v>0</v>
      </c>
      <c r="D104" s="536">
        <v>5.3070000000000004</v>
      </c>
      <c r="E104" s="536">
        <v>0</v>
      </c>
      <c r="F104" s="536">
        <v>0</v>
      </c>
      <c r="G104" s="391">
        <v>13.897</v>
      </c>
      <c r="H104" s="516">
        <v>36.616999999999997</v>
      </c>
      <c r="I104" s="516">
        <v>0</v>
      </c>
      <c r="J104" s="516">
        <v>0.23</v>
      </c>
      <c r="K104" s="516">
        <v>0</v>
      </c>
      <c r="L104" s="516">
        <v>0</v>
      </c>
      <c r="M104" s="391">
        <v>36.846999999999994</v>
      </c>
      <c r="N104" s="392">
        <v>1.6514355616320067</v>
      </c>
      <c r="O104" s="393" t="s">
        <v>811</v>
      </c>
      <c r="P104" s="330" t="s">
        <v>812</v>
      </c>
    </row>
    <row r="105" spans="1:16" ht="160" x14ac:dyDescent="0.35">
      <c r="A105" s="393" t="s">
        <v>813</v>
      </c>
      <c r="B105" s="536">
        <v>16.166</v>
      </c>
      <c r="C105" s="536">
        <v>0</v>
      </c>
      <c r="D105" s="536">
        <v>4.7050000000000001</v>
      </c>
      <c r="E105" s="536">
        <v>0</v>
      </c>
      <c r="F105" s="536">
        <v>0</v>
      </c>
      <c r="G105" s="391">
        <v>20.871000000000002</v>
      </c>
      <c r="H105" s="516">
        <v>18.381</v>
      </c>
      <c r="I105" s="516">
        <v>0</v>
      </c>
      <c r="J105" s="516">
        <v>7</v>
      </c>
      <c r="K105" s="516">
        <v>0</v>
      </c>
      <c r="L105" s="516">
        <v>0</v>
      </c>
      <c r="M105" s="391">
        <v>25.381</v>
      </c>
      <c r="N105" s="392">
        <v>0.21608931052656785</v>
      </c>
      <c r="O105" s="393" t="s">
        <v>814</v>
      </c>
      <c r="P105" s="330" t="s">
        <v>815</v>
      </c>
    </row>
    <row r="106" spans="1:16" ht="82.5" customHeight="1" x14ac:dyDescent="0.35">
      <c r="A106" s="547" t="s">
        <v>816</v>
      </c>
      <c r="B106" s="536">
        <v>0</v>
      </c>
      <c r="C106" s="536">
        <v>0</v>
      </c>
      <c r="D106" s="536">
        <v>0</v>
      </c>
      <c r="E106" s="536">
        <v>0</v>
      </c>
      <c r="F106" s="536">
        <v>0</v>
      </c>
      <c r="G106" s="391">
        <v>0</v>
      </c>
      <c r="H106" s="516">
        <v>21.75</v>
      </c>
      <c r="I106" s="516">
        <v>0</v>
      </c>
      <c r="J106" s="516">
        <v>0</v>
      </c>
      <c r="K106" s="516">
        <v>0</v>
      </c>
      <c r="L106" s="516">
        <v>0</v>
      </c>
      <c r="M106" s="391">
        <v>21.75</v>
      </c>
      <c r="N106" s="392" t="s">
        <v>50</v>
      </c>
      <c r="O106" s="393" t="s">
        <v>817</v>
      </c>
      <c r="P106" s="330" t="s">
        <v>818</v>
      </c>
    </row>
    <row r="107" spans="1:16" ht="32" x14ac:dyDescent="0.35">
      <c r="A107" s="322" t="s">
        <v>819</v>
      </c>
      <c r="B107" s="288">
        <v>24.756</v>
      </c>
      <c r="C107" s="288">
        <v>0</v>
      </c>
      <c r="D107" s="288">
        <v>10.012</v>
      </c>
      <c r="E107" s="288">
        <v>0</v>
      </c>
      <c r="F107" s="288">
        <v>0</v>
      </c>
      <c r="G107" s="288">
        <v>34.768000000000001</v>
      </c>
      <c r="H107" s="288">
        <v>76.74799999999999</v>
      </c>
      <c r="I107" s="288">
        <v>0</v>
      </c>
      <c r="J107" s="288">
        <v>7.23</v>
      </c>
      <c r="K107" s="288">
        <v>0</v>
      </c>
      <c r="L107" s="288">
        <v>0</v>
      </c>
      <c r="M107" s="288">
        <v>83.977999999999994</v>
      </c>
      <c r="N107" s="200">
        <v>1.4153819604233777</v>
      </c>
      <c r="O107" s="521"/>
      <c r="P107" s="522"/>
    </row>
    <row r="108" spans="1:16" ht="16" x14ac:dyDescent="0.35">
      <c r="A108" s="524"/>
      <c r="B108" s="523"/>
      <c r="C108" s="523"/>
      <c r="D108" s="523"/>
      <c r="E108" s="523"/>
      <c r="F108" s="523"/>
      <c r="G108" s="523"/>
      <c r="H108" s="523"/>
      <c r="I108" s="523"/>
      <c r="J108" s="523"/>
      <c r="K108" s="523"/>
      <c r="L108" s="523"/>
      <c r="M108" s="523"/>
      <c r="N108" s="514"/>
      <c r="O108" s="524"/>
      <c r="P108" s="104"/>
    </row>
    <row r="109" spans="1:16" ht="16" x14ac:dyDescent="0.35">
      <c r="A109" s="548" t="s">
        <v>820</v>
      </c>
      <c r="B109" s="530">
        <v>190.26299999999998</v>
      </c>
      <c r="C109" s="530">
        <v>12.602000000000002</v>
      </c>
      <c r="D109" s="530">
        <v>23.094000000000001</v>
      </c>
      <c r="E109" s="530">
        <v>0</v>
      </c>
      <c r="F109" s="530">
        <v>0</v>
      </c>
      <c r="G109" s="530">
        <v>225.959</v>
      </c>
      <c r="H109" s="530">
        <v>302.36099999999999</v>
      </c>
      <c r="I109" s="530">
        <v>11.443</v>
      </c>
      <c r="J109" s="530">
        <v>48.282000000000004</v>
      </c>
      <c r="K109" s="530">
        <v>0</v>
      </c>
      <c r="L109" s="530">
        <v>1.073</v>
      </c>
      <c r="M109" s="530">
        <v>363.15899999999999</v>
      </c>
      <c r="N109" s="531">
        <v>0.60718979991945432</v>
      </c>
      <c r="O109" s="549"/>
      <c r="P109" s="550"/>
    </row>
    <row r="110" spans="1:16" ht="16" x14ac:dyDescent="0.35">
      <c r="A110" s="524"/>
      <c r="B110" s="523"/>
      <c r="C110" s="523"/>
      <c r="D110" s="523"/>
      <c r="E110" s="523"/>
      <c r="F110" s="523"/>
      <c r="G110" s="523"/>
      <c r="H110" s="523"/>
      <c r="I110" s="523"/>
      <c r="J110" s="523"/>
      <c r="K110" s="523"/>
      <c r="L110" s="523"/>
      <c r="M110" s="523"/>
      <c r="N110" s="515"/>
      <c r="O110" s="524"/>
      <c r="P110" s="104"/>
    </row>
    <row r="111" spans="1:16" ht="32" x14ac:dyDescent="0.35">
      <c r="A111" s="338" t="s">
        <v>821</v>
      </c>
      <c r="B111" s="462"/>
      <c r="C111" s="462"/>
      <c r="D111" s="462"/>
      <c r="E111" s="462"/>
      <c r="F111" s="462"/>
      <c r="G111" s="462"/>
      <c r="H111" s="462"/>
      <c r="I111" s="462"/>
      <c r="J111" s="462"/>
      <c r="K111" s="462"/>
      <c r="L111" s="462"/>
      <c r="M111" s="462"/>
      <c r="N111" s="512"/>
      <c r="O111" s="314"/>
      <c r="P111" s="314"/>
    </row>
    <row r="112" spans="1:16" ht="16" x14ac:dyDescent="0.35">
      <c r="A112" s="64"/>
      <c r="B112" s="534"/>
      <c r="C112" s="534"/>
      <c r="D112" s="534"/>
      <c r="E112" s="534"/>
      <c r="F112" s="534"/>
      <c r="G112" s="534"/>
      <c r="H112" s="534"/>
      <c r="I112" s="534"/>
      <c r="J112" s="534"/>
      <c r="K112" s="534"/>
      <c r="L112" s="534"/>
      <c r="M112" s="534"/>
      <c r="N112" s="535"/>
      <c r="O112" s="551"/>
      <c r="P112" s="104"/>
    </row>
    <row r="113" spans="1:16" ht="16" x14ac:dyDescent="0.35">
      <c r="A113" s="322" t="s">
        <v>822</v>
      </c>
      <c r="B113" s="288"/>
      <c r="C113" s="288"/>
      <c r="D113" s="288"/>
      <c r="E113" s="288"/>
      <c r="F113" s="288"/>
      <c r="G113" s="288"/>
      <c r="H113" s="288"/>
      <c r="I113" s="288"/>
      <c r="J113" s="288"/>
      <c r="K113" s="288"/>
      <c r="L113" s="288"/>
      <c r="M113" s="288"/>
      <c r="N113" s="552"/>
      <c r="O113" s="521"/>
      <c r="P113" s="522"/>
    </row>
    <row r="114" spans="1:16" ht="48" x14ac:dyDescent="0.35">
      <c r="A114" s="519" t="s">
        <v>823</v>
      </c>
      <c r="B114" s="536">
        <v>321.60899999999998</v>
      </c>
      <c r="C114" s="536">
        <v>0</v>
      </c>
      <c r="D114" s="536">
        <v>0</v>
      </c>
      <c r="E114" s="536">
        <v>0</v>
      </c>
      <c r="F114" s="536">
        <v>0</v>
      </c>
      <c r="G114" s="391">
        <v>321.60899999999998</v>
      </c>
      <c r="H114" s="516">
        <v>287.80900000000003</v>
      </c>
      <c r="I114" s="516">
        <v>0</v>
      </c>
      <c r="J114" s="516">
        <v>0</v>
      </c>
      <c r="K114" s="516">
        <v>0</v>
      </c>
      <c r="L114" s="516">
        <v>0</v>
      </c>
      <c r="M114" s="391">
        <v>287.80900000000003</v>
      </c>
      <c r="N114" s="392">
        <v>-0.10509656135244957</v>
      </c>
      <c r="O114" s="393" t="s">
        <v>824</v>
      </c>
      <c r="P114" s="330" t="s">
        <v>825</v>
      </c>
    </row>
    <row r="115" spans="1:16" ht="32" x14ac:dyDescent="0.35">
      <c r="A115" s="393" t="s">
        <v>826</v>
      </c>
      <c r="B115" s="536">
        <v>6.4</v>
      </c>
      <c r="C115" s="536">
        <v>0</v>
      </c>
      <c r="D115" s="536">
        <v>0</v>
      </c>
      <c r="E115" s="536">
        <v>0</v>
      </c>
      <c r="F115" s="536">
        <v>0</v>
      </c>
      <c r="G115" s="391">
        <v>6.4</v>
      </c>
      <c r="H115" s="516">
        <v>5.4</v>
      </c>
      <c r="I115" s="516">
        <v>0</v>
      </c>
      <c r="J115" s="516">
        <v>0</v>
      </c>
      <c r="K115" s="516">
        <v>0</v>
      </c>
      <c r="L115" s="516">
        <v>0</v>
      </c>
      <c r="M115" s="391">
        <v>5.4</v>
      </c>
      <c r="N115" s="392">
        <v>-0.15625</v>
      </c>
      <c r="O115" s="393" t="s">
        <v>827</v>
      </c>
      <c r="P115" s="330" t="s">
        <v>828</v>
      </c>
    </row>
    <row r="116" spans="1:16" ht="32" x14ac:dyDescent="0.35">
      <c r="A116" s="393" t="s">
        <v>829</v>
      </c>
      <c r="B116" s="536">
        <v>4.8</v>
      </c>
      <c r="C116" s="536">
        <v>0</v>
      </c>
      <c r="D116" s="536">
        <v>0</v>
      </c>
      <c r="E116" s="536">
        <v>0</v>
      </c>
      <c r="F116" s="536">
        <v>0</v>
      </c>
      <c r="G116" s="391">
        <v>4.8</v>
      </c>
      <c r="H116" s="516">
        <v>3.3</v>
      </c>
      <c r="I116" s="516">
        <v>0</v>
      </c>
      <c r="J116" s="516">
        <v>0</v>
      </c>
      <c r="K116" s="516">
        <v>0</v>
      </c>
      <c r="L116" s="516">
        <v>0</v>
      </c>
      <c r="M116" s="391">
        <v>3.3</v>
      </c>
      <c r="N116" s="392">
        <v>-0.3125</v>
      </c>
      <c r="O116" s="393" t="s">
        <v>830</v>
      </c>
      <c r="P116" s="330" t="s">
        <v>828</v>
      </c>
    </row>
    <row r="117" spans="1:16" ht="32" x14ac:dyDescent="0.35">
      <c r="A117" s="519" t="s">
        <v>831</v>
      </c>
      <c r="B117" s="536">
        <v>0</v>
      </c>
      <c r="C117" s="536">
        <v>344.178</v>
      </c>
      <c r="D117" s="536">
        <v>0</v>
      </c>
      <c r="E117" s="536">
        <v>0</v>
      </c>
      <c r="F117" s="536">
        <v>0</v>
      </c>
      <c r="G117" s="391">
        <v>344.178</v>
      </c>
      <c r="H117" s="516">
        <v>0</v>
      </c>
      <c r="I117" s="516">
        <v>-396.65100000000001</v>
      </c>
      <c r="J117" s="516">
        <v>0</v>
      </c>
      <c r="K117" s="516">
        <v>0</v>
      </c>
      <c r="L117" s="516">
        <v>0</v>
      </c>
      <c r="M117" s="391">
        <v>-396.65100000000001</v>
      </c>
      <c r="N117" s="392">
        <v>-2.1524589020797378</v>
      </c>
      <c r="O117" s="393" t="s">
        <v>832</v>
      </c>
      <c r="P117" s="330" t="s">
        <v>833</v>
      </c>
    </row>
    <row r="118" spans="1:16" ht="48" x14ac:dyDescent="0.35">
      <c r="A118" s="393" t="s">
        <v>834</v>
      </c>
      <c r="B118" s="536">
        <v>11.802</v>
      </c>
      <c r="C118" s="536">
        <v>2.319</v>
      </c>
      <c r="D118" s="536">
        <v>0</v>
      </c>
      <c r="E118" s="536">
        <v>0</v>
      </c>
      <c r="F118" s="536">
        <v>0</v>
      </c>
      <c r="G118" s="391">
        <v>14.120999999999999</v>
      </c>
      <c r="H118" s="516">
        <v>11.13</v>
      </c>
      <c r="I118" s="516">
        <v>3.597</v>
      </c>
      <c r="J118" s="516">
        <v>0</v>
      </c>
      <c r="K118" s="516">
        <v>0</v>
      </c>
      <c r="L118" s="516">
        <v>0</v>
      </c>
      <c r="M118" s="391">
        <v>14.727</v>
      </c>
      <c r="N118" s="392">
        <v>4.2914807733163494E-2</v>
      </c>
      <c r="O118" s="393" t="s">
        <v>835</v>
      </c>
      <c r="P118" s="330" t="s">
        <v>836</v>
      </c>
    </row>
    <row r="119" spans="1:16" ht="32" x14ac:dyDescent="0.35">
      <c r="A119" s="393" t="s">
        <v>837</v>
      </c>
      <c r="B119" s="536">
        <v>0</v>
      </c>
      <c r="C119" s="536">
        <v>0</v>
      </c>
      <c r="D119" s="536">
        <v>6.9</v>
      </c>
      <c r="E119" s="536">
        <v>0</v>
      </c>
      <c r="F119" s="536">
        <v>0</v>
      </c>
      <c r="G119" s="391">
        <v>6.9</v>
      </c>
      <c r="H119" s="516">
        <v>0</v>
      </c>
      <c r="I119" s="516">
        <v>0</v>
      </c>
      <c r="J119" s="516">
        <v>6.9</v>
      </c>
      <c r="K119" s="516">
        <v>0</v>
      </c>
      <c r="L119" s="516">
        <v>0</v>
      </c>
      <c r="M119" s="391">
        <v>6.9</v>
      </c>
      <c r="N119" s="392">
        <v>0</v>
      </c>
      <c r="O119" s="393" t="s">
        <v>838</v>
      </c>
      <c r="P119" s="330" t="s">
        <v>60</v>
      </c>
    </row>
    <row r="120" spans="1:16" ht="16" x14ac:dyDescent="0.35">
      <c r="A120" s="322" t="s">
        <v>839</v>
      </c>
      <c r="B120" s="288">
        <v>344.61099999999999</v>
      </c>
      <c r="C120" s="288">
        <v>346.49700000000001</v>
      </c>
      <c r="D120" s="288">
        <v>6.9</v>
      </c>
      <c r="E120" s="288">
        <v>0</v>
      </c>
      <c r="F120" s="288">
        <v>0</v>
      </c>
      <c r="G120" s="288">
        <v>698.00799999999992</v>
      </c>
      <c r="H120" s="288">
        <v>307.63900000000001</v>
      </c>
      <c r="I120" s="288">
        <v>-393.05400000000003</v>
      </c>
      <c r="J120" s="288">
        <v>6.9</v>
      </c>
      <c r="K120" s="288">
        <v>0</v>
      </c>
      <c r="L120" s="288">
        <v>0</v>
      </c>
      <c r="M120" s="288">
        <v>-78.514999999999986</v>
      </c>
      <c r="N120" s="200">
        <v>-1.1124843841331331</v>
      </c>
      <c r="O120" s="521"/>
      <c r="P120" s="522"/>
    </row>
    <row r="121" spans="1:16" ht="16" x14ac:dyDescent="0.35">
      <c r="A121" s="508"/>
      <c r="B121" s="523"/>
      <c r="C121" s="523"/>
      <c r="D121" s="523"/>
      <c r="E121" s="523"/>
      <c r="F121" s="523"/>
      <c r="G121" s="523"/>
      <c r="H121" s="523"/>
      <c r="I121" s="523"/>
      <c r="J121" s="523"/>
      <c r="K121" s="523"/>
      <c r="L121" s="523"/>
      <c r="M121" s="523"/>
      <c r="N121" s="515"/>
      <c r="O121" s="524"/>
      <c r="P121" s="104"/>
    </row>
    <row r="122" spans="1:16" ht="16" x14ac:dyDescent="0.35">
      <c r="A122" s="315" t="s">
        <v>2</v>
      </c>
      <c r="B122" s="166"/>
      <c r="C122" s="166"/>
      <c r="D122" s="166"/>
      <c r="E122" s="166"/>
      <c r="F122" s="166"/>
      <c r="G122" s="166"/>
      <c r="H122" s="166"/>
      <c r="I122" s="166"/>
      <c r="J122" s="166"/>
      <c r="K122" s="166"/>
      <c r="L122" s="166"/>
      <c r="M122" s="166"/>
      <c r="N122" s="258"/>
      <c r="O122" s="327"/>
      <c r="P122" s="327"/>
    </row>
    <row r="123" spans="1:16" ht="64" x14ac:dyDescent="0.35">
      <c r="A123" s="519" t="s">
        <v>840</v>
      </c>
      <c r="B123" s="536">
        <v>0</v>
      </c>
      <c r="C123" s="536">
        <v>0</v>
      </c>
      <c r="D123" s="536">
        <v>0</v>
      </c>
      <c r="E123" s="536">
        <v>0</v>
      </c>
      <c r="F123" s="536">
        <v>865</v>
      </c>
      <c r="G123" s="391">
        <v>865</v>
      </c>
      <c r="H123" s="516">
        <v>0</v>
      </c>
      <c r="I123" s="516">
        <v>0</v>
      </c>
      <c r="J123" s="516">
        <v>0</v>
      </c>
      <c r="K123" s="516">
        <v>0</v>
      </c>
      <c r="L123" s="516">
        <v>935</v>
      </c>
      <c r="M123" s="391">
        <v>935</v>
      </c>
      <c r="N123" s="392">
        <v>8.0924855491329481E-2</v>
      </c>
      <c r="O123" s="393" t="s">
        <v>841</v>
      </c>
      <c r="P123" s="330" t="s">
        <v>842</v>
      </c>
    </row>
    <row r="124" spans="1:16" ht="32" x14ac:dyDescent="0.35">
      <c r="A124" s="393" t="s">
        <v>843</v>
      </c>
      <c r="B124" s="536">
        <v>0</v>
      </c>
      <c r="C124" s="536">
        <v>0</v>
      </c>
      <c r="D124" s="536">
        <v>0</v>
      </c>
      <c r="E124" s="536">
        <v>0</v>
      </c>
      <c r="F124" s="536">
        <v>-200</v>
      </c>
      <c r="G124" s="391">
        <v>-200</v>
      </c>
      <c r="H124" s="516">
        <v>0</v>
      </c>
      <c r="I124" s="516">
        <v>0</v>
      </c>
      <c r="J124" s="516">
        <v>0</v>
      </c>
      <c r="K124" s="516">
        <v>0</v>
      </c>
      <c r="L124" s="516">
        <v>-272</v>
      </c>
      <c r="M124" s="391">
        <v>-272</v>
      </c>
      <c r="N124" s="392">
        <v>0.36</v>
      </c>
      <c r="O124" s="393" t="s">
        <v>844</v>
      </c>
      <c r="P124" s="330" t="s">
        <v>845</v>
      </c>
    </row>
    <row r="125" spans="1:16" ht="48" x14ac:dyDescent="0.35">
      <c r="A125" s="393" t="s">
        <v>846</v>
      </c>
      <c r="B125" s="536">
        <v>0</v>
      </c>
      <c r="C125" s="536">
        <v>0</v>
      </c>
      <c r="D125" s="536">
        <v>0</v>
      </c>
      <c r="E125" s="536">
        <v>0</v>
      </c>
      <c r="F125" s="536">
        <v>144.107</v>
      </c>
      <c r="G125" s="391">
        <v>144.107</v>
      </c>
      <c r="H125" s="516">
        <v>0</v>
      </c>
      <c r="I125" s="516">
        <v>0</v>
      </c>
      <c r="J125" s="516">
        <v>0</v>
      </c>
      <c r="K125" s="516">
        <v>0</v>
      </c>
      <c r="L125" s="516">
        <v>213.505</v>
      </c>
      <c r="M125" s="391">
        <v>213.505</v>
      </c>
      <c r="N125" s="392">
        <v>0.48157272027035464</v>
      </c>
      <c r="O125" s="393" t="s">
        <v>847</v>
      </c>
      <c r="P125" s="330" t="s">
        <v>848</v>
      </c>
    </row>
    <row r="126" spans="1:16" ht="32" x14ac:dyDescent="0.35">
      <c r="A126" s="329" t="s">
        <v>849</v>
      </c>
      <c r="B126" s="536">
        <v>0</v>
      </c>
      <c r="C126" s="536">
        <v>0</v>
      </c>
      <c r="D126" s="536">
        <v>0</v>
      </c>
      <c r="E126" s="536">
        <v>0</v>
      </c>
      <c r="F126" s="536">
        <v>-5</v>
      </c>
      <c r="G126" s="391">
        <v>-5</v>
      </c>
      <c r="H126" s="516">
        <v>0</v>
      </c>
      <c r="I126" s="516">
        <v>0</v>
      </c>
      <c r="J126" s="516">
        <v>0</v>
      </c>
      <c r="K126" s="516">
        <v>0</v>
      </c>
      <c r="L126" s="516">
        <v>-3.3</v>
      </c>
      <c r="M126" s="391">
        <v>-3.3</v>
      </c>
      <c r="N126" s="392">
        <v>-0.34</v>
      </c>
      <c r="O126" s="393" t="s">
        <v>850</v>
      </c>
      <c r="P126" s="330" t="s">
        <v>851</v>
      </c>
    </row>
    <row r="127" spans="1:16" ht="16" x14ac:dyDescent="0.35">
      <c r="A127" s="322" t="s">
        <v>852</v>
      </c>
      <c r="B127" s="288">
        <v>0</v>
      </c>
      <c r="C127" s="288">
        <v>0</v>
      </c>
      <c r="D127" s="288">
        <v>0</v>
      </c>
      <c r="E127" s="288">
        <v>0</v>
      </c>
      <c r="F127" s="288">
        <v>804.10699999999997</v>
      </c>
      <c r="G127" s="288">
        <v>804.10699999999997</v>
      </c>
      <c r="H127" s="288">
        <v>0</v>
      </c>
      <c r="I127" s="288">
        <v>0</v>
      </c>
      <c r="J127" s="288">
        <v>0</v>
      </c>
      <c r="K127" s="288">
        <v>0</v>
      </c>
      <c r="L127" s="288">
        <v>873.20500000000004</v>
      </c>
      <c r="M127" s="288">
        <v>873.20500000000004</v>
      </c>
      <c r="N127" s="200">
        <v>8.5931349932285225E-2</v>
      </c>
      <c r="O127" s="521"/>
      <c r="P127" s="522"/>
    </row>
    <row r="128" spans="1:16" ht="16" x14ac:dyDescent="0.35">
      <c r="A128" s="524"/>
      <c r="B128" s="553"/>
      <c r="C128" s="553"/>
      <c r="D128" s="553"/>
      <c r="E128" s="553"/>
      <c r="F128" s="553"/>
      <c r="G128" s="553"/>
      <c r="H128" s="553"/>
      <c r="I128" s="553"/>
      <c r="J128" s="553"/>
      <c r="K128" s="553"/>
      <c r="L128" s="553"/>
      <c r="M128" s="553"/>
      <c r="N128" s="515"/>
      <c r="O128" s="524"/>
      <c r="P128" s="104"/>
    </row>
    <row r="129" spans="1:16" ht="32" x14ac:dyDescent="0.35">
      <c r="A129" s="529" t="s">
        <v>853</v>
      </c>
      <c r="B129" s="530">
        <v>344.61099999999999</v>
      </c>
      <c r="C129" s="530">
        <v>346.49700000000001</v>
      </c>
      <c r="D129" s="530">
        <v>6.9</v>
      </c>
      <c r="E129" s="530">
        <v>0</v>
      </c>
      <c r="F129" s="530">
        <v>804.10699999999997</v>
      </c>
      <c r="G129" s="530">
        <v>1502.1149999999998</v>
      </c>
      <c r="H129" s="530">
        <v>307.63900000000001</v>
      </c>
      <c r="I129" s="530">
        <v>-393.05400000000003</v>
      </c>
      <c r="J129" s="530">
        <v>6.9</v>
      </c>
      <c r="K129" s="530">
        <v>0</v>
      </c>
      <c r="L129" s="530">
        <v>873.20500000000004</v>
      </c>
      <c r="M129" s="530">
        <v>794.69</v>
      </c>
      <c r="N129" s="531">
        <v>-0.47095262346757727</v>
      </c>
      <c r="O129" s="554"/>
      <c r="P129" s="533"/>
    </row>
    <row r="130" spans="1:16" ht="16" x14ac:dyDescent="0.35">
      <c r="A130" s="555"/>
      <c r="B130" s="556"/>
      <c r="C130" s="556"/>
      <c r="D130" s="556"/>
      <c r="E130" s="556"/>
      <c r="F130" s="556"/>
      <c r="G130" s="556"/>
      <c r="H130" s="556"/>
      <c r="I130" s="556"/>
      <c r="J130" s="556"/>
      <c r="K130" s="556"/>
      <c r="L130" s="556"/>
      <c r="M130" s="556"/>
      <c r="N130" s="557"/>
      <c r="O130" s="524"/>
      <c r="P130" s="104"/>
    </row>
    <row r="131" spans="1:16" ht="16" x14ac:dyDescent="0.35">
      <c r="A131" s="338" t="s">
        <v>854</v>
      </c>
      <c r="B131" s="462"/>
      <c r="C131" s="462"/>
      <c r="D131" s="462"/>
      <c r="E131" s="462"/>
      <c r="F131" s="462"/>
      <c r="G131" s="462"/>
      <c r="H131" s="462"/>
      <c r="I131" s="462"/>
      <c r="J131" s="462"/>
      <c r="K131" s="462"/>
      <c r="L131" s="462"/>
      <c r="M131" s="462"/>
      <c r="N131" s="512"/>
      <c r="O131" s="314"/>
      <c r="P131" s="314"/>
    </row>
    <row r="132" spans="1:16" ht="16" x14ac:dyDescent="0.35">
      <c r="A132" s="64"/>
      <c r="B132" s="534"/>
      <c r="C132" s="534"/>
      <c r="D132" s="534"/>
      <c r="E132" s="534"/>
      <c r="F132" s="534"/>
      <c r="G132" s="534"/>
      <c r="H132" s="534"/>
      <c r="I132" s="534"/>
      <c r="J132" s="534"/>
      <c r="K132" s="534"/>
      <c r="L132" s="534"/>
      <c r="M132" s="534"/>
      <c r="N132" s="535"/>
      <c r="O132" s="551"/>
      <c r="P132" s="64"/>
    </row>
    <row r="133" spans="1:16" ht="32" x14ac:dyDescent="0.35">
      <c r="A133" s="558" t="s">
        <v>855</v>
      </c>
      <c r="B133" s="536">
        <v>7.4260000000000002</v>
      </c>
      <c r="C133" s="536">
        <v>0.15</v>
      </c>
      <c r="D133" s="536">
        <v>0</v>
      </c>
      <c r="E133" s="536">
        <v>0</v>
      </c>
      <c r="F133" s="536">
        <v>0.04</v>
      </c>
      <c r="G133" s="559">
        <v>7.6160000000000005</v>
      </c>
      <c r="H133" s="516">
        <v>7.3769999999999998</v>
      </c>
      <c r="I133" s="516">
        <v>0.47599999999999998</v>
      </c>
      <c r="J133" s="516">
        <v>0.8</v>
      </c>
      <c r="K133" s="516">
        <v>0</v>
      </c>
      <c r="L133" s="516">
        <v>0</v>
      </c>
      <c r="M133" s="559">
        <v>8.6530000000000005</v>
      </c>
      <c r="N133" s="560">
        <v>0.13616071428571427</v>
      </c>
      <c r="O133" s="393" t="s">
        <v>856</v>
      </c>
      <c r="P133" s="561" t="s">
        <v>857</v>
      </c>
    </row>
    <row r="134" spans="1:16" ht="64" x14ac:dyDescent="0.35">
      <c r="A134" s="542" t="s">
        <v>858</v>
      </c>
      <c r="B134" s="536">
        <v>833.89800000000002</v>
      </c>
      <c r="C134" s="536">
        <v>0</v>
      </c>
      <c r="D134" s="536">
        <v>0</v>
      </c>
      <c r="E134" s="536">
        <v>0</v>
      </c>
      <c r="F134" s="536">
        <v>0</v>
      </c>
      <c r="G134" s="391">
        <v>833.89800000000002</v>
      </c>
      <c r="H134" s="1018">
        <v>849.697</v>
      </c>
      <c r="I134" s="516">
        <v>0</v>
      </c>
      <c r="J134" s="516">
        <v>0</v>
      </c>
      <c r="K134" s="516">
        <v>0</v>
      </c>
      <c r="L134" s="516">
        <v>0</v>
      </c>
      <c r="M134" s="1022">
        <v>849.697</v>
      </c>
      <c r="N134" s="1021">
        <v>1.8945962216002411E-2</v>
      </c>
      <c r="O134" s="393" t="s">
        <v>859</v>
      </c>
      <c r="P134" s="1026" t="s">
        <v>1909</v>
      </c>
    </row>
    <row r="135" spans="1:16" ht="32" x14ac:dyDescent="0.35">
      <c r="A135" s="393" t="s">
        <v>860</v>
      </c>
      <c r="B135" s="536">
        <v>-190</v>
      </c>
      <c r="C135" s="536">
        <v>0</v>
      </c>
      <c r="D135" s="536">
        <v>0</v>
      </c>
      <c r="E135" s="536">
        <v>0</v>
      </c>
      <c r="F135" s="536">
        <v>0</v>
      </c>
      <c r="G135" s="391">
        <v>-190</v>
      </c>
      <c r="H135" s="516">
        <v>-190</v>
      </c>
      <c r="I135" s="516">
        <v>0</v>
      </c>
      <c r="J135" s="516">
        <v>0</v>
      </c>
      <c r="K135" s="516">
        <v>0</v>
      </c>
      <c r="L135" s="516">
        <v>0</v>
      </c>
      <c r="M135" s="391">
        <v>-190</v>
      </c>
      <c r="N135" s="392">
        <v>0</v>
      </c>
      <c r="O135" s="329" t="s">
        <v>861</v>
      </c>
      <c r="P135" s="330" t="s">
        <v>60</v>
      </c>
    </row>
    <row r="136" spans="1:16" ht="16" x14ac:dyDescent="0.35">
      <c r="A136" s="558" t="s">
        <v>862</v>
      </c>
      <c r="B136" s="562">
        <v>643.89800000000002</v>
      </c>
      <c r="C136" s="562">
        <v>0</v>
      </c>
      <c r="D136" s="562">
        <v>0</v>
      </c>
      <c r="E136" s="562">
        <v>0</v>
      </c>
      <c r="F136" s="562">
        <v>0</v>
      </c>
      <c r="G136" s="559">
        <v>643.89800000000002</v>
      </c>
      <c r="H136" s="1024">
        <v>659.697</v>
      </c>
      <c r="I136" s="562">
        <v>0</v>
      </c>
      <c r="J136" s="562">
        <v>0</v>
      </c>
      <c r="K136" s="562">
        <v>0</v>
      </c>
      <c r="L136" s="536">
        <v>0</v>
      </c>
      <c r="M136" s="1024">
        <v>659.697</v>
      </c>
      <c r="N136" s="1025">
        <v>2.4536494910684575E-2</v>
      </c>
      <c r="O136" s="393" t="s">
        <v>237</v>
      </c>
      <c r="P136" s="561" t="s">
        <v>237</v>
      </c>
    </row>
    <row r="137" spans="1:16" ht="32" x14ac:dyDescent="0.35">
      <c r="A137" s="393" t="s">
        <v>863</v>
      </c>
      <c r="B137" s="536">
        <v>29.3</v>
      </c>
      <c r="C137" s="536">
        <v>0</v>
      </c>
      <c r="D137" s="536">
        <v>0</v>
      </c>
      <c r="E137" s="536">
        <v>0</v>
      </c>
      <c r="F137" s="536">
        <v>0</v>
      </c>
      <c r="G137" s="391">
        <v>29.3</v>
      </c>
      <c r="H137" s="516">
        <v>31.632000000000001</v>
      </c>
      <c r="I137" s="516">
        <v>0</v>
      </c>
      <c r="J137" s="516">
        <v>0</v>
      </c>
      <c r="K137" s="516">
        <v>0</v>
      </c>
      <c r="L137" s="516">
        <v>0</v>
      </c>
      <c r="M137" s="391">
        <v>31.632000000000001</v>
      </c>
      <c r="N137" s="525">
        <v>7.9590443686006845E-2</v>
      </c>
      <c r="O137" s="547" t="s">
        <v>865</v>
      </c>
      <c r="P137" s="330" t="s">
        <v>866</v>
      </c>
    </row>
    <row r="138" spans="1:16" ht="16" x14ac:dyDescent="0.35">
      <c r="A138" s="542" t="s">
        <v>867</v>
      </c>
      <c r="B138" s="536">
        <v>0</v>
      </c>
      <c r="C138" s="536">
        <v>31.809000000000001</v>
      </c>
      <c r="D138" s="536">
        <v>0</v>
      </c>
      <c r="E138" s="536">
        <v>0</v>
      </c>
      <c r="F138" s="536">
        <v>0</v>
      </c>
      <c r="G138" s="391">
        <v>31.809000000000001</v>
      </c>
      <c r="H138" s="516">
        <v>0</v>
      </c>
      <c r="I138" s="516">
        <v>35.613999999999997</v>
      </c>
      <c r="J138" s="516">
        <v>0</v>
      </c>
      <c r="K138" s="516">
        <v>0</v>
      </c>
      <c r="L138" s="516">
        <v>0</v>
      </c>
      <c r="M138" s="391">
        <v>35.613999999999997</v>
      </c>
      <c r="N138" s="525">
        <v>0.11962023326731416</v>
      </c>
      <c r="O138" s="329" t="s">
        <v>868</v>
      </c>
      <c r="P138" s="330" t="s">
        <v>869</v>
      </c>
    </row>
    <row r="139" spans="1:16" ht="64" x14ac:dyDescent="0.35">
      <c r="A139" s="393" t="s">
        <v>870</v>
      </c>
      <c r="B139" s="536">
        <v>0</v>
      </c>
      <c r="C139" s="536">
        <v>0</v>
      </c>
      <c r="D139" s="536">
        <v>84.85</v>
      </c>
      <c r="E139" s="536">
        <v>0</v>
      </c>
      <c r="F139" s="536">
        <v>0</v>
      </c>
      <c r="G139" s="391">
        <v>84.85</v>
      </c>
      <c r="H139" s="516">
        <v>0</v>
      </c>
      <c r="I139" s="516">
        <v>0</v>
      </c>
      <c r="J139" s="516">
        <v>64.831999999999994</v>
      </c>
      <c r="K139" s="516">
        <v>0</v>
      </c>
      <c r="L139" s="516">
        <v>0</v>
      </c>
      <c r="M139" s="391">
        <v>64.831999999999994</v>
      </c>
      <c r="N139" s="392">
        <v>-0.23592221567472013</v>
      </c>
      <c r="O139" s="393" t="s">
        <v>871</v>
      </c>
      <c r="P139" s="330" t="s">
        <v>872</v>
      </c>
    </row>
    <row r="140" spans="1:16" ht="16" x14ac:dyDescent="0.35">
      <c r="A140" s="393" t="s">
        <v>873</v>
      </c>
      <c r="B140" s="536">
        <v>0</v>
      </c>
      <c r="C140" s="536">
        <v>0</v>
      </c>
      <c r="D140" s="536">
        <v>0</v>
      </c>
      <c r="E140" s="536">
        <v>0</v>
      </c>
      <c r="F140" s="536">
        <v>0</v>
      </c>
      <c r="G140" s="391">
        <v>0</v>
      </c>
      <c r="H140" s="516">
        <v>0</v>
      </c>
      <c r="I140" s="516">
        <v>0</v>
      </c>
      <c r="J140" s="516">
        <v>0</v>
      </c>
      <c r="K140" s="516">
        <v>0</v>
      </c>
      <c r="L140" s="516">
        <v>0</v>
      </c>
      <c r="M140" s="391">
        <v>0</v>
      </c>
      <c r="N140" s="392" t="s">
        <v>50</v>
      </c>
      <c r="O140" s="329" t="s">
        <v>874</v>
      </c>
      <c r="P140" s="330" t="s">
        <v>74</v>
      </c>
    </row>
    <row r="141" spans="1:16" ht="16" x14ac:dyDescent="0.35">
      <c r="A141" s="558" t="s">
        <v>875</v>
      </c>
      <c r="B141" s="536">
        <v>0</v>
      </c>
      <c r="C141" s="536">
        <v>0</v>
      </c>
      <c r="D141" s="536">
        <v>84.85</v>
      </c>
      <c r="E141" s="536">
        <v>0</v>
      </c>
      <c r="F141" s="536">
        <v>0</v>
      </c>
      <c r="G141" s="559">
        <v>84.85</v>
      </c>
      <c r="H141" s="536">
        <v>0</v>
      </c>
      <c r="I141" s="536">
        <v>0</v>
      </c>
      <c r="J141" s="536">
        <v>64.831999999999994</v>
      </c>
      <c r="K141" s="536">
        <v>0</v>
      </c>
      <c r="L141" s="536">
        <v>0</v>
      </c>
      <c r="M141" s="559">
        <v>64.831999999999994</v>
      </c>
      <c r="N141" s="560">
        <v>-0.23592221567472013</v>
      </c>
      <c r="O141" s="393" t="s">
        <v>237</v>
      </c>
      <c r="P141" s="330" t="s">
        <v>237</v>
      </c>
    </row>
    <row r="142" spans="1:16" ht="64" x14ac:dyDescent="0.35">
      <c r="A142" s="558" t="s">
        <v>876</v>
      </c>
      <c r="B142" s="536">
        <v>810.47199999999998</v>
      </c>
      <c r="C142" s="536">
        <v>0</v>
      </c>
      <c r="D142" s="536">
        <v>0</v>
      </c>
      <c r="E142" s="536">
        <v>0</v>
      </c>
      <c r="F142" s="536">
        <v>0</v>
      </c>
      <c r="G142" s="391">
        <v>810.47199999999998</v>
      </c>
      <c r="H142" s="516">
        <v>773.59</v>
      </c>
      <c r="I142" s="516">
        <v>0</v>
      </c>
      <c r="J142" s="516">
        <v>0</v>
      </c>
      <c r="K142" s="516">
        <v>0</v>
      </c>
      <c r="L142" s="516">
        <v>0</v>
      </c>
      <c r="M142" s="391">
        <v>773.59</v>
      </c>
      <c r="N142" s="392">
        <v>-4.5506815781421135E-2</v>
      </c>
      <c r="O142" s="393" t="s">
        <v>877</v>
      </c>
      <c r="P142" s="330" t="s">
        <v>878</v>
      </c>
    </row>
    <row r="143" spans="1:16" ht="48" x14ac:dyDescent="0.35">
      <c r="A143" s="558" t="s">
        <v>879</v>
      </c>
      <c r="B143" s="536">
        <v>0</v>
      </c>
      <c r="C143" s="536">
        <v>0</v>
      </c>
      <c r="D143" s="536">
        <v>356.89</v>
      </c>
      <c r="E143" s="536">
        <v>0</v>
      </c>
      <c r="F143" s="536">
        <v>0</v>
      </c>
      <c r="G143" s="391">
        <v>356.89</v>
      </c>
      <c r="H143" s="516">
        <v>0</v>
      </c>
      <c r="I143" s="516">
        <v>0</v>
      </c>
      <c r="J143" s="516">
        <v>368.27</v>
      </c>
      <c r="K143" s="516">
        <v>0</v>
      </c>
      <c r="L143" s="516">
        <v>0</v>
      </c>
      <c r="M143" s="391">
        <v>368.27</v>
      </c>
      <c r="N143" s="392">
        <v>3.1886575695592466E-2</v>
      </c>
      <c r="O143" s="393" t="s">
        <v>880</v>
      </c>
      <c r="P143" s="330" t="s">
        <v>881</v>
      </c>
    </row>
    <row r="144" spans="1:16" ht="75" customHeight="1" x14ac:dyDescent="0.35">
      <c r="A144" s="558" t="s">
        <v>882</v>
      </c>
      <c r="B144" s="536">
        <v>0</v>
      </c>
      <c r="C144" s="536">
        <v>0</v>
      </c>
      <c r="D144" s="536">
        <v>0</v>
      </c>
      <c r="E144" s="536">
        <v>0</v>
      </c>
      <c r="F144" s="536">
        <v>0</v>
      </c>
      <c r="G144" s="391">
        <v>0</v>
      </c>
      <c r="H144" s="516">
        <v>0</v>
      </c>
      <c r="I144" s="516">
        <v>0</v>
      </c>
      <c r="J144" s="516">
        <v>0</v>
      </c>
      <c r="K144" s="516">
        <v>0</v>
      </c>
      <c r="L144" s="516">
        <v>0</v>
      </c>
      <c r="M144" s="391">
        <v>0</v>
      </c>
      <c r="N144" s="525" t="s">
        <v>50</v>
      </c>
      <c r="O144" s="563" t="s">
        <v>237</v>
      </c>
      <c r="P144" s="564" t="s">
        <v>237</v>
      </c>
    </row>
    <row r="145" spans="1:16" ht="32" x14ac:dyDescent="0.35">
      <c r="A145" s="558" t="s">
        <v>883</v>
      </c>
      <c r="B145" s="536">
        <v>0</v>
      </c>
      <c r="C145" s="536">
        <v>0</v>
      </c>
      <c r="D145" s="536">
        <v>0</v>
      </c>
      <c r="E145" s="536">
        <v>-8.9</v>
      </c>
      <c r="F145" s="536">
        <v>0</v>
      </c>
      <c r="G145" s="391">
        <v>-8.9</v>
      </c>
      <c r="H145" s="516">
        <v>0</v>
      </c>
      <c r="I145" s="516">
        <v>0</v>
      </c>
      <c r="J145" s="516">
        <v>0</v>
      </c>
      <c r="K145" s="516">
        <v>-12.2</v>
      </c>
      <c r="L145" s="516">
        <v>0</v>
      </c>
      <c r="M145" s="391">
        <v>-12.2</v>
      </c>
      <c r="N145" s="525">
        <v>0.37078651685393244</v>
      </c>
      <c r="O145" s="563" t="s">
        <v>884</v>
      </c>
      <c r="P145" s="564" t="s">
        <v>885</v>
      </c>
    </row>
    <row r="146" spans="1:16" ht="16.399999999999999" customHeight="1" x14ac:dyDescent="0.35">
      <c r="A146" s="332" t="s">
        <v>886</v>
      </c>
      <c r="B146" s="530">
        <v>1491.0959999999998</v>
      </c>
      <c r="C146" s="530">
        <v>31.959</v>
      </c>
      <c r="D146" s="530">
        <v>441.74</v>
      </c>
      <c r="E146" s="530">
        <v>-8.9</v>
      </c>
      <c r="F146" s="530">
        <v>0.04</v>
      </c>
      <c r="G146" s="530">
        <v>1894.826</v>
      </c>
      <c r="H146" s="1017">
        <v>1472.296</v>
      </c>
      <c r="I146" s="530">
        <v>36.089999999999996</v>
      </c>
      <c r="J146" s="530">
        <v>433.90199999999999</v>
      </c>
      <c r="K146" s="530">
        <v>-12.2</v>
      </c>
      <c r="L146" s="530">
        <v>0</v>
      </c>
      <c r="M146" s="1017">
        <v>1930.088</v>
      </c>
      <c r="N146" s="1023">
        <v>-1.3214651816139074E-2</v>
      </c>
      <c r="O146" s="554"/>
      <c r="P146" s="533"/>
    </row>
    <row r="147" spans="1:16" ht="16" x14ac:dyDescent="0.35">
      <c r="A147" s="524"/>
      <c r="B147" s="523"/>
      <c r="C147" s="523"/>
      <c r="D147" s="523"/>
      <c r="E147" s="523"/>
      <c r="F147" s="523"/>
      <c r="G147" s="523"/>
      <c r="H147" s="523"/>
      <c r="I147" s="523"/>
      <c r="J147" s="523"/>
      <c r="K147" s="523"/>
      <c r="L147" s="523"/>
      <c r="M147" s="523"/>
      <c r="N147" s="515"/>
      <c r="O147" s="524"/>
      <c r="P147" s="104"/>
    </row>
    <row r="148" spans="1:16" ht="16" x14ac:dyDescent="0.35">
      <c r="A148" s="565" t="s">
        <v>887</v>
      </c>
      <c r="B148" s="462"/>
      <c r="C148" s="462"/>
      <c r="D148" s="462"/>
      <c r="E148" s="462"/>
      <c r="F148" s="462"/>
      <c r="G148" s="462"/>
      <c r="H148" s="462"/>
      <c r="I148" s="462"/>
      <c r="J148" s="462"/>
      <c r="K148" s="462"/>
      <c r="L148" s="462"/>
      <c r="M148" s="462"/>
      <c r="N148" s="512"/>
      <c r="O148" s="314"/>
      <c r="P148" s="314"/>
    </row>
    <row r="149" spans="1:16" ht="16" x14ac:dyDescent="0.35">
      <c r="A149" s="64"/>
      <c r="B149" s="534"/>
      <c r="C149" s="534"/>
      <c r="D149" s="534"/>
      <c r="E149" s="534"/>
      <c r="F149" s="534"/>
      <c r="G149" s="534"/>
      <c r="H149" s="534"/>
      <c r="I149" s="534"/>
      <c r="J149" s="534"/>
      <c r="K149" s="534"/>
      <c r="L149" s="534"/>
      <c r="M149" s="534"/>
      <c r="N149" s="535"/>
      <c r="O149" s="551"/>
      <c r="P149" s="64"/>
    </row>
    <row r="150" spans="1:16" ht="16" x14ac:dyDescent="0.35">
      <c r="A150" s="315" t="s">
        <v>888</v>
      </c>
      <c r="B150" s="166"/>
      <c r="C150" s="166"/>
      <c r="D150" s="166"/>
      <c r="E150" s="166"/>
      <c r="F150" s="166"/>
      <c r="G150" s="166"/>
      <c r="H150" s="166"/>
      <c r="I150" s="166"/>
      <c r="J150" s="166"/>
      <c r="K150" s="166"/>
      <c r="L150" s="166"/>
      <c r="M150" s="166"/>
      <c r="N150" s="258"/>
      <c r="O150" s="327"/>
      <c r="P150" s="327"/>
    </row>
    <row r="151" spans="1:16" ht="160" x14ac:dyDescent="0.35">
      <c r="A151" s="393" t="s">
        <v>889</v>
      </c>
      <c r="B151" s="536">
        <v>0.61299999999999999</v>
      </c>
      <c r="C151" s="536">
        <v>0</v>
      </c>
      <c r="D151" s="536">
        <v>0</v>
      </c>
      <c r="E151" s="536">
        <v>0</v>
      </c>
      <c r="F151" s="536">
        <v>0</v>
      </c>
      <c r="G151" s="391">
        <v>0.61299999999999999</v>
      </c>
      <c r="H151" s="516">
        <v>1</v>
      </c>
      <c r="I151" s="516">
        <v>0</v>
      </c>
      <c r="J151" s="516">
        <v>0</v>
      </c>
      <c r="K151" s="516">
        <v>0</v>
      </c>
      <c r="L151" s="516">
        <v>0</v>
      </c>
      <c r="M151" s="391">
        <v>1</v>
      </c>
      <c r="N151" s="392">
        <v>0.63132137030995106</v>
      </c>
      <c r="O151" s="393" t="s">
        <v>890</v>
      </c>
      <c r="P151" s="330" t="s">
        <v>891</v>
      </c>
    </row>
    <row r="152" spans="1:16" ht="64" x14ac:dyDescent="0.35">
      <c r="A152" s="393" t="s">
        <v>892</v>
      </c>
      <c r="B152" s="536">
        <v>0.46</v>
      </c>
      <c r="C152" s="536">
        <v>0</v>
      </c>
      <c r="D152" s="536">
        <v>0</v>
      </c>
      <c r="E152" s="536">
        <v>0</v>
      </c>
      <c r="F152" s="536">
        <v>0</v>
      </c>
      <c r="G152" s="391">
        <v>0.46</v>
      </c>
      <c r="H152" s="516">
        <v>0.46</v>
      </c>
      <c r="I152" s="516">
        <v>0</v>
      </c>
      <c r="J152" s="516">
        <v>0</v>
      </c>
      <c r="K152" s="516">
        <v>0</v>
      </c>
      <c r="L152" s="516">
        <v>0</v>
      </c>
      <c r="M152" s="391">
        <v>0.46</v>
      </c>
      <c r="N152" s="392">
        <v>0</v>
      </c>
      <c r="O152" s="393" t="s">
        <v>893</v>
      </c>
      <c r="P152" s="330" t="s">
        <v>74</v>
      </c>
    </row>
    <row r="153" spans="1:16" ht="32" x14ac:dyDescent="0.35">
      <c r="A153" s="329" t="s">
        <v>894</v>
      </c>
      <c r="B153" s="536">
        <v>2.2290000000000001</v>
      </c>
      <c r="C153" s="536">
        <v>0</v>
      </c>
      <c r="D153" s="536">
        <v>0</v>
      </c>
      <c r="E153" s="536">
        <v>0</v>
      </c>
      <c r="F153" s="536">
        <v>0</v>
      </c>
      <c r="G153" s="391">
        <v>2.2290000000000001</v>
      </c>
      <c r="H153" s="516">
        <v>2.1619999999999999</v>
      </c>
      <c r="I153" s="516">
        <v>0</v>
      </c>
      <c r="J153" s="516">
        <v>0</v>
      </c>
      <c r="K153" s="516">
        <v>0</v>
      </c>
      <c r="L153" s="516">
        <v>0</v>
      </c>
      <c r="M153" s="391">
        <v>2.1619999999999999</v>
      </c>
      <c r="N153" s="392">
        <v>-3.0058322117541572E-2</v>
      </c>
      <c r="O153" s="393" t="s">
        <v>895</v>
      </c>
      <c r="P153" s="330" t="s">
        <v>896</v>
      </c>
    </row>
    <row r="154" spans="1:16" ht="32" x14ac:dyDescent="0.35">
      <c r="A154" s="393" t="s">
        <v>897</v>
      </c>
      <c r="B154" s="536">
        <v>9.9000000000000005E-2</v>
      </c>
      <c r="C154" s="536">
        <v>0</v>
      </c>
      <c r="D154" s="536">
        <v>0</v>
      </c>
      <c r="E154" s="536">
        <v>0</v>
      </c>
      <c r="F154" s="536">
        <v>0</v>
      </c>
      <c r="G154" s="391">
        <v>9.9000000000000005E-2</v>
      </c>
      <c r="H154" s="516">
        <v>2.718</v>
      </c>
      <c r="I154" s="516">
        <v>0</v>
      </c>
      <c r="J154" s="516">
        <v>0</v>
      </c>
      <c r="K154" s="516">
        <v>0</v>
      </c>
      <c r="L154" s="516">
        <v>0</v>
      </c>
      <c r="M154" s="391">
        <v>2.718</v>
      </c>
      <c r="N154" s="392">
        <v>26.45454545454545</v>
      </c>
      <c r="O154" s="393" t="s">
        <v>898</v>
      </c>
      <c r="P154" s="330" t="s">
        <v>899</v>
      </c>
    </row>
    <row r="155" spans="1:16" ht="48" x14ac:dyDescent="0.35">
      <c r="A155" s="329" t="s">
        <v>900</v>
      </c>
      <c r="B155" s="536">
        <v>0.86299999999999999</v>
      </c>
      <c r="C155" s="536">
        <v>0</v>
      </c>
      <c r="D155" s="536">
        <v>0</v>
      </c>
      <c r="E155" s="536">
        <v>0</v>
      </c>
      <c r="F155" s="536">
        <v>0</v>
      </c>
      <c r="G155" s="391">
        <v>0.86299999999999999</v>
      </c>
      <c r="H155" s="1018">
        <v>2.7480000000000002</v>
      </c>
      <c r="I155" s="516">
        <v>0</v>
      </c>
      <c r="J155" s="516">
        <v>0</v>
      </c>
      <c r="K155" s="516">
        <v>0</v>
      </c>
      <c r="L155" s="516">
        <v>0</v>
      </c>
      <c r="M155" s="1022">
        <v>2.7480000000000002</v>
      </c>
      <c r="N155" s="1021">
        <v>2.1842410196987259</v>
      </c>
      <c r="O155" s="393" t="s">
        <v>901</v>
      </c>
      <c r="P155" s="330" t="s">
        <v>891</v>
      </c>
    </row>
    <row r="156" spans="1:16" ht="32" x14ac:dyDescent="0.35">
      <c r="A156" s="393" t="s">
        <v>902</v>
      </c>
      <c r="B156" s="536">
        <v>8.3420000000000005</v>
      </c>
      <c r="C156" s="536">
        <v>0</v>
      </c>
      <c r="D156" s="536">
        <v>0</v>
      </c>
      <c r="E156" s="536">
        <v>0</v>
      </c>
      <c r="F156" s="536">
        <v>0</v>
      </c>
      <c r="G156" s="391">
        <v>8.3420000000000005</v>
      </c>
      <c r="H156" s="516">
        <v>9.1660000000000004</v>
      </c>
      <c r="I156" s="516">
        <v>0</v>
      </c>
      <c r="J156" s="516">
        <v>0</v>
      </c>
      <c r="K156" s="516">
        <v>0</v>
      </c>
      <c r="L156" s="516">
        <v>0</v>
      </c>
      <c r="M156" s="391">
        <v>9.1660000000000004</v>
      </c>
      <c r="N156" s="392">
        <v>9.8777271637496972E-2</v>
      </c>
      <c r="O156" s="566" t="s">
        <v>903</v>
      </c>
      <c r="P156" s="537" t="s">
        <v>904</v>
      </c>
    </row>
    <row r="157" spans="1:16" ht="16" x14ac:dyDescent="0.35">
      <c r="A157" s="322" t="s">
        <v>905</v>
      </c>
      <c r="B157" s="288">
        <v>12.606000000000002</v>
      </c>
      <c r="C157" s="288">
        <v>0</v>
      </c>
      <c r="D157" s="288">
        <v>0</v>
      </c>
      <c r="E157" s="288">
        <v>0</v>
      </c>
      <c r="F157" s="288">
        <v>0</v>
      </c>
      <c r="G157" s="288">
        <v>12.606000000000002</v>
      </c>
      <c r="H157" s="1019">
        <v>18.254000000000001</v>
      </c>
      <c r="I157" s="288">
        <v>0</v>
      </c>
      <c r="J157" s="288">
        <v>0</v>
      </c>
      <c r="K157" s="288">
        <v>0</v>
      </c>
      <c r="L157" s="288">
        <v>0</v>
      </c>
      <c r="M157" s="1019">
        <v>18.254000000000001</v>
      </c>
      <c r="N157" s="1020">
        <v>0.44804061557988251</v>
      </c>
      <c r="O157" s="521"/>
      <c r="P157" s="522"/>
    </row>
    <row r="158" spans="1:16" ht="16" x14ac:dyDescent="0.35">
      <c r="A158" s="64"/>
      <c r="B158" s="545"/>
      <c r="C158" s="545"/>
      <c r="D158" s="545"/>
      <c r="E158" s="545"/>
      <c r="F158" s="545"/>
      <c r="G158" s="545"/>
      <c r="H158" s="545"/>
      <c r="I158" s="545"/>
      <c r="J158" s="545"/>
      <c r="K158" s="545"/>
      <c r="L158" s="545"/>
      <c r="M158" s="545"/>
      <c r="N158" s="510"/>
      <c r="O158" s="524"/>
      <c r="P158" s="104"/>
    </row>
    <row r="159" spans="1:16" ht="16" x14ac:dyDescent="0.35">
      <c r="A159" s="64"/>
      <c r="B159" s="534"/>
      <c r="C159" s="534"/>
      <c r="D159" s="534"/>
      <c r="E159" s="534"/>
      <c r="F159" s="534"/>
      <c r="G159" s="534"/>
      <c r="H159" s="534"/>
      <c r="I159" s="534"/>
      <c r="J159" s="534"/>
      <c r="K159" s="534"/>
      <c r="L159" s="534"/>
      <c r="M159" s="534"/>
      <c r="N159" s="535"/>
      <c r="O159" s="551"/>
      <c r="P159" s="64"/>
    </row>
    <row r="160" spans="1:16" ht="16" x14ac:dyDescent="0.35">
      <c r="A160" s="315" t="s">
        <v>906</v>
      </c>
      <c r="B160" s="166"/>
      <c r="C160" s="166"/>
      <c r="D160" s="166"/>
      <c r="E160" s="166"/>
      <c r="F160" s="166"/>
      <c r="G160" s="166"/>
      <c r="H160" s="166"/>
      <c r="I160" s="166"/>
      <c r="J160" s="166"/>
      <c r="K160" s="166"/>
      <c r="L160" s="166"/>
      <c r="M160" s="166"/>
      <c r="N160" s="258"/>
      <c r="O160" s="327"/>
      <c r="P160" s="327"/>
    </row>
    <row r="161" spans="1:17" ht="128" x14ac:dyDescent="0.35">
      <c r="A161" s="329" t="s">
        <v>907</v>
      </c>
      <c r="B161" s="536">
        <v>16.356999999999999</v>
      </c>
      <c r="C161" s="536">
        <v>0</v>
      </c>
      <c r="D161" s="536">
        <v>0</v>
      </c>
      <c r="E161" s="536">
        <v>0</v>
      </c>
      <c r="F161" s="536">
        <v>0</v>
      </c>
      <c r="G161" s="391">
        <v>16.356999999999999</v>
      </c>
      <c r="H161" s="516">
        <v>16.628</v>
      </c>
      <c r="I161" s="516">
        <v>0</v>
      </c>
      <c r="J161" s="516">
        <v>0</v>
      </c>
      <c r="K161" s="516">
        <v>0</v>
      </c>
      <c r="L161" s="516">
        <v>0</v>
      </c>
      <c r="M161" s="391">
        <v>16.628</v>
      </c>
      <c r="N161" s="392">
        <v>1.6567830286727446E-2</v>
      </c>
      <c r="O161" s="393" t="s">
        <v>908</v>
      </c>
      <c r="P161" s="330" t="s">
        <v>909</v>
      </c>
    </row>
    <row r="162" spans="1:17" ht="48" x14ac:dyDescent="0.35">
      <c r="A162" s="329" t="s">
        <v>910</v>
      </c>
      <c r="B162" s="536">
        <v>18.959</v>
      </c>
      <c r="C162" s="536">
        <v>0</v>
      </c>
      <c r="D162" s="536">
        <v>0</v>
      </c>
      <c r="E162" s="536">
        <v>0</v>
      </c>
      <c r="F162" s="536">
        <v>0</v>
      </c>
      <c r="G162" s="391">
        <v>18.959</v>
      </c>
      <c r="H162" s="516">
        <v>18.7</v>
      </c>
      <c r="I162" s="516">
        <v>0</v>
      </c>
      <c r="J162" s="516">
        <v>0</v>
      </c>
      <c r="K162" s="516">
        <v>0</v>
      </c>
      <c r="L162" s="516">
        <v>0</v>
      </c>
      <c r="M162" s="391">
        <v>18.7</v>
      </c>
      <c r="N162" s="392">
        <v>-1.3661058072683177E-2</v>
      </c>
      <c r="O162" s="393" t="s">
        <v>911</v>
      </c>
      <c r="P162" s="330" t="s">
        <v>912</v>
      </c>
    </row>
    <row r="163" spans="1:17" ht="16" x14ac:dyDescent="0.35">
      <c r="A163" s="322" t="s">
        <v>913</v>
      </c>
      <c r="B163" s="288">
        <v>35.316000000000003</v>
      </c>
      <c r="C163" s="288">
        <v>0</v>
      </c>
      <c r="D163" s="288">
        <v>0</v>
      </c>
      <c r="E163" s="288">
        <v>0</v>
      </c>
      <c r="F163" s="288">
        <v>0</v>
      </c>
      <c r="G163" s="288">
        <v>35.316000000000003</v>
      </c>
      <c r="H163" s="288">
        <v>35.328000000000003</v>
      </c>
      <c r="I163" s="288">
        <v>0</v>
      </c>
      <c r="J163" s="288">
        <v>0</v>
      </c>
      <c r="K163" s="288">
        <v>0</v>
      </c>
      <c r="L163" s="288">
        <v>0</v>
      </c>
      <c r="M163" s="288">
        <v>35.328000000000003</v>
      </c>
      <c r="N163" s="200">
        <v>3.3978933061503156E-4</v>
      </c>
      <c r="O163" s="521"/>
      <c r="P163" s="522"/>
    </row>
    <row r="164" spans="1:17" ht="16" x14ac:dyDescent="0.35">
      <c r="A164" s="555"/>
      <c r="B164" s="556"/>
      <c r="C164" s="556"/>
      <c r="D164" s="556"/>
      <c r="E164" s="556"/>
      <c r="F164" s="556"/>
      <c r="G164" s="556"/>
      <c r="H164" s="556"/>
      <c r="I164" s="556"/>
      <c r="J164" s="556"/>
      <c r="K164" s="556"/>
      <c r="L164" s="556"/>
      <c r="M164" s="556"/>
      <c r="N164" s="557"/>
      <c r="O164" s="524"/>
      <c r="P164" s="104"/>
    </row>
    <row r="165" spans="1:17" ht="16" x14ac:dyDescent="0.35">
      <c r="A165" s="315" t="s">
        <v>914</v>
      </c>
      <c r="B165" s="166"/>
      <c r="C165" s="166"/>
      <c r="D165" s="166"/>
      <c r="E165" s="166"/>
      <c r="F165" s="166"/>
      <c r="G165" s="166"/>
      <c r="H165" s="166"/>
      <c r="I165" s="166"/>
      <c r="J165" s="166"/>
      <c r="K165" s="166"/>
      <c r="L165" s="166"/>
      <c r="M165" s="166"/>
      <c r="N165" s="258"/>
      <c r="O165" s="327"/>
      <c r="P165" s="327"/>
    </row>
    <row r="166" spans="1:17" ht="65.150000000000006" customHeight="1" x14ac:dyDescent="0.35">
      <c r="A166" s="542" t="s">
        <v>914</v>
      </c>
      <c r="B166" s="536">
        <v>198.822</v>
      </c>
      <c r="C166" s="536">
        <v>3.3759999999999999</v>
      </c>
      <c r="D166" s="536">
        <v>0.19400000000000001</v>
      </c>
      <c r="E166" s="536">
        <v>0</v>
      </c>
      <c r="F166" s="536">
        <v>0</v>
      </c>
      <c r="G166" s="391">
        <v>202.392</v>
      </c>
      <c r="H166" s="516">
        <v>199.22200000000001</v>
      </c>
      <c r="I166" s="516">
        <v>2.887</v>
      </c>
      <c r="J166" s="516">
        <v>0.17499999999999999</v>
      </c>
      <c r="K166" s="516">
        <v>0</v>
      </c>
      <c r="L166" s="516">
        <v>0</v>
      </c>
      <c r="M166" s="391">
        <v>202.28400000000002</v>
      </c>
      <c r="N166" s="543">
        <v>-5.3361792956231309E-4</v>
      </c>
      <c r="O166" s="393" t="s">
        <v>915</v>
      </c>
      <c r="P166" s="567" t="s">
        <v>343</v>
      </c>
    </row>
    <row r="167" spans="1:17" ht="32" x14ac:dyDescent="0.35">
      <c r="A167" s="322" t="s">
        <v>916</v>
      </c>
      <c r="B167" s="288">
        <v>198.822</v>
      </c>
      <c r="C167" s="288">
        <v>3.3759999999999999</v>
      </c>
      <c r="D167" s="288">
        <v>0.19400000000000001</v>
      </c>
      <c r="E167" s="288">
        <v>0</v>
      </c>
      <c r="F167" s="288">
        <v>0</v>
      </c>
      <c r="G167" s="288">
        <v>202.392</v>
      </c>
      <c r="H167" s="288">
        <v>199.22200000000001</v>
      </c>
      <c r="I167" s="288">
        <v>2.887</v>
      </c>
      <c r="J167" s="288">
        <v>0.17499999999999999</v>
      </c>
      <c r="K167" s="288">
        <v>0</v>
      </c>
      <c r="L167" s="288">
        <v>0</v>
      </c>
      <c r="M167" s="288">
        <v>202.28400000000002</v>
      </c>
      <c r="N167" s="200">
        <v>-5.3361792956231309E-4</v>
      </c>
      <c r="O167" s="521"/>
      <c r="P167" s="522"/>
    </row>
    <row r="168" spans="1:17" ht="16" x14ac:dyDescent="0.35">
      <c r="A168" s="555"/>
      <c r="B168" s="568"/>
      <c r="C168" s="568"/>
      <c r="D168" s="568"/>
      <c r="E168" s="568"/>
      <c r="F168" s="568"/>
      <c r="G168" s="568"/>
      <c r="H168" s="568"/>
      <c r="I168" s="568"/>
      <c r="J168" s="568"/>
      <c r="K168" s="568"/>
      <c r="L168" s="568"/>
      <c r="M168" s="568"/>
      <c r="N168" s="557"/>
      <c r="O168" s="524"/>
      <c r="P168" s="104"/>
    </row>
    <row r="169" spans="1:17" ht="32" x14ac:dyDescent="0.35">
      <c r="A169" s="529" t="s">
        <v>917</v>
      </c>
      <c r="B169" s="530">
        <v>246.744</v>
      </c>
      <c r="C169" s="530">
        <v>3.3759999999999999</v>
      </c>
      <c r="D169" s="530">
        <v>0.19400000000000001</v>
      </c>
      <c r="E169" s="530">
        <v>0</v>
      </c>
      <c r="F169" s="530">
        <v>0</v>
      </c>
      <c r="G169" s="530">
        <v>250.31399999999999</v>
      </c>
      <c r="H169" s="1024">
        <v>252.80400000000003</v>
      </c>
      <c r="I169" s="530">
        <v>2.887</v>
      </c>
      <c r="J169" s="530">
        <v>0.17499999999999999</v>
      </c>
      <c r="K169" s="530">
        <v>0</v>
      </c>
      <c r="L169" s="530">
        <v>0</v>
      </c>
      <c r="M169" s="1024">
        <v>255.86600000000004</v>
      </c>
      <c r="N169" s="1043">
        <v>2.2180141741972279E-2</v>
      </c>
      <c r="O169" s="554"/>
      <c r="P169" s="533"/>
    </row>
    <row r="170" spans="1:17" ht="16" x14ac:dyDescent="0.35">
      <c r="A170" s="64"/>
      <c r="B170" s="545"/>
      <c r="C170" s="545"/>
      <c r="D170" s="545"/>
      <c r="E170" s="545"/>
      <c r="F170" s="545"/>
      <c r="G170" s="545"/>
      <c r="H170" s="545"/>
      <c r="I170" s="545"/>
      <c r="J170" s="545"/>
      <c r="K170" s="545"/>
      <c r="L170" s="545"/>
      <c r="M170" s="545"/>
      <c r="N170" s="510"/>
      <c r="O170" s="524"/>
      <c r="P170" s="104"/>
    </row>
    <row r="171" spans="1:17" ht="16" x14ac:dyDescent="0.35">
      <c r="A171" s="524"/>
      <c r="B171" s="523"/>
      <c r="C171" s="523"/>
      <c r="D171" s="523"/>
      <c r="E171" s="523"/>
      <c r="F171" s="523"/>
      <c r="G171" s="523"/>
      <c r="H171" s="523"/>
      <c r="I171" s="523"/>
      <c r="J171" s="523"/>
      <c r="K171" s="523"/>
      <c r="L171" s="523"/>
      <c r="M171" s="523"/>
      <c r="N171" s="515"/>
      <c r="O171" s="524"/>
      <c r="P171" s="104"/>
    </row>
    <row r="172" spans="1:17" ht="16" x14ac:dyDescent="0.35">
      <c r="A172" s="286" t="s">
        <v>338</v>
      </c>
      <c r="B172" s="287"/>
      <c r="C172" s="287"/>
      <c r="D172" s="287"/>
      <c r="E172" s="287"/>
      <c r="F172" s="287"/>
      <c r="G172" s="391">
        <v>0</v>
      </c>
      <c r="H172" s="287"/>
      <c r="I172" s="287"/>
      <c r="J172" s="287"/>
      <c r="K172" s="287"/>
      <c r="L172" s="287"/>
      <c r="M172" s="288"/>
      <c r="N172" s="515"/>
      <c r="O172" s="524"/>
      <c r="P172" s="104"/>
    </row>
    <row r="173" spans="1:17" s="411" customFormat="1" ht="19" x14ac:dyDescent="0.45">
      <c r="A173" s="570"/>
      <c r="B173" s="571"/>
      <c r="C173" s="571"/>
      <c r="D173" s="571"/>
      <c r="E173" s="571"/>
      <c r="F173" s="571"/>
      <c r="G173" s="571"/>
      <c r="H173" s="571"/>
      <c r="I173" s="571"/>
      <c r="J173" s="571"/>
      <c r="K173" s="571"/>
      <c r="L173" s="571"/>
      <c r="M173" s="571"/>
      <c r="N173" s="572"/>
      <c r="O173" s="570"/>
      <c r="P173" s="573"/>
      <c r="Q173" s="410"/>
    </row>
    <row r="174" spans="1:17" ht="16" x14ac:dyDescent="0.35">
      <c r="A174" s="574" t="s">
        <v>918</v>
      </c>
      <c r="B174" s="530">
        <v>2717.5219999999999</v>
      </c>
      <c r="C174" s="530">
        <v>401.77799999999996</v>
      </c>
      <c r="D174" s="530">
        <v>530.572</v>
      </c>
      <c r="E174" s="530">
        <v>-8.9</v>
      </c>
      <c r="F174" s="530">
        <v>804.14699999999993</v>
      </c>
      <c r="G174" s="530">
        <v>4384.0099999999993</v>
      </c>
      <c r="H174" s="1024">
        <v>3201.2679999999996</v>
      </c>
      <c r="I174" s="530">
        <v>-334.67000000000007</v>
      </c>
      <c r="J174" s="530">
        <v>512.5</v>
      </c>
      <c r="K174" s="530">
        <v>-12.2</v>
      </c>
      <c r="L174" s="530">
        <v>874.27800000000002</v>
      </c>
      <c r="M174" s="1024">
        <v>4241.1760000000004</v>
      </c>
      <c r="N174" s="1043">
        <v>-4.5880211530894742E-2</v>
      </c>
      <c r="O174" s="414"/>
      <c r="P174" s="414"/>
    </row>
    <row r="175" spans="1:17" ht="15" x14ac:dyDescent="0.35">
      <c r="A175" s="281"/>
      <c r="B175" s="283"/>
      <c r="C175" s="283"/>
      <c r="D175" s="283"/>
      <c r="E175" s="283"/>
      <c r="F175" s="283"/>
      <c r="G175" s="283"/>
      <c r="H175" s="283"/>
      <c r="I175" s="283"/>
      <c r="J175" s="283"/>
      <c r="K175" s="283"/>
      <c r="L175" s="283"/>
      <c r="M175" s="283"/>
      <c r="N175" s="283"/>
      <c r="O175" s="283"/>
      <c r="P175" s="283"/>
    </row>
    <row r="176" spans="1:17" ht="16" x14ac:dyDescent="0.35">
      <c r="A176" s="575"/>
      <c r="B176" s="576"/>
      <c r="C176" s="576"/>
      <c r="D176" s="576"/>
      <c r="E176" s="576"/>
      <c r="F176" s="576"/>
      <c r="G176" s="576"/>
      <c r="H176" s="576"/>
      <c r="I176" s="576"/>
      <c r="J176" s="576"/>
      <c r="K176" s="576"/>
      <c r="L176" s="576"/>
      <c r="M176" s="576"/>
      <c r="N176" s="577"/>
      <c r="O176" s="578"/>
      <c r="P176" s="578"/>
    </row>
    <row r="177" spans="1:16" ht="16" x14ac:dyDescent="0.35">
      <c r="A177" s="579" t="s">
        <v>919</v>
      </c>
      <c r="B177" s="580"/>
      <c r="C177" s="580"/>
      <c r="D177" s="580"/>
      <c r="E177" s="580"/>
      <c r="F177" s="580"/>
      <c r="G177" s="580"/>
      <c r="H177" s="580"/>
      <c r="I177" s="580"/>
      <c r="J177" s="580"/>
      <c r="K177" s="580"/>
      <c r="L177" s="580"/>
      <c r="M177" s="580"/>
      <c r="N177" s="581"/>
      <c r="O177" s="578"/>
      <c r="P177" s="578"/>
    </row>
    <row r="178" spans="1:16" ht="16" x14ac:dyDescent="0.35">
      <c r="A178" s="575"/>
      <c r="B178" s="576"/>
      <c r="C178" s="576"/>
      <c r="D178" s="576"/>
      <c r="E178" s="576"/>
      <c r="F178" s="576"/>
      <c r="G178" s="576"/>
      <c r="H178" s="576"/>
      <c r="I178" s="576"/>
      <c r="J178" s="576"/>
      <c r="K178" s="576"/>
      <c r="L178" s="576"/>
      <c r="M178" s="576"/>
      <c r="N178" s="577"/>
      <c r="O178" s="578"/>
      <c r="P178" s="578"/>
    </row>
    <row r="179" spans="1:16" ht="48" x14ac:dyDescent="0.35">
      <c r="A179" s="547" t="s">
        <v>920</v>
      </c>
      <c r="B179" s="536">
        <v>130.614</v>
      </c>
      <c r="C179" s="536">
        <v>0</v>
      </c>
      <c r="D179" s="536">
        <v>0</v>
      </c>
      <c r="E179" s="536">
        <v>0</v>
      </c>
      <c r="F179" s="536"/>
      <c r="G179" s="559">
        <v>130.614</v>
      </c>
      <c r="H179" s="536">
        <v>120</v>
      </c>
      <c r="I179" s="536">
        <v>0</v>
      </c>
      <c r="J179" s="536">
        <v>0</v>
      </c>
      <c r="K179" s="536">
        <v>0</v>
      </c>
      <c r="L179" s="536">
        <v>0</v>
      </c>
      <c r="M179" s="559">
        <v>120</v>
      </c>
      <c r="N179" s="582">
        <v>-8.126234553723187E-2</v>
      </c>
      <c r="O179" s="393" t="s">
        <v>921</v>
      </c>
      <c r="P179" s="330" t="s">
        <v>922</v>
      </c>
    </row>
    <row r="180" spans="1:16" ht="16" x14ac:dyDescent="0.35">
      <c r="A180" s="583" t="s">
        <v>923</v>
      </c>
      <c r="B180" s="584">
        <v>130.614</v>
      </c>
      <c r="C180" s="584">
        <v>0</v>
      </c>
      <c r="D180" s="584">
        <v>0</v>
      </c>
      <c r="E180" s="584">
        <v>0</v>
      </c>
      <c r="F180" s="584">
        <v>0</v>
      </c>
      <c r="G180" s="584">
        <v>130.614</v>
      </c>
      <c r="H180" s="584">
        <v>120</v>
      </c>
      <c r="I180" s="584">
        <v>0</v>
      </c>
      <c r="J180" s="584">
        <v>0</v>
      </c>
      <c r="K180" s="584">
        <v>0</v>
      </c>
      <c r="L180" s="584">
        <v>0</v>
      </c>
      <c r="M180" s="584">
        <v>120</v>
      </c>
      <c r="N180" s="585">
        <v>-8.126234553723187E-2</v>
      </c>
      <c r="O180" s="578" t="s">
        <v>237</v>
      </c>
      <c r="P180" s="578" t="s">
        <v>237</v>
      </c>
    </row>
    <row r="181" spans="1:16" ht="16" x14ac:dyDescent="0.35">
      <c r="A181" s="575"/>
      <c r="B181" s="586"/>
      <c r="C181" s="586"/>
      <c r="D181" s="586"/>
      <c r="E181" s="586"/>
      <c r="F181" s="586"/>
      <c r="G181" s="586"/>
      <c r="H181" s="586"/>
      <c r="I181" s="586"/>
      <c r="J181" s="586"/>
      <c r="K181" s="586"/>
      <c r="L181" s="586"/>
      <c r="M181" s="586"/>
      <c r="N181" s="587"/>
      <c r="O181" s="578"/>
      <c r="P181" s="578"/>
    </row>
    <row r="182" spans="1:16" ht="16" x14ac:dyDescent="0.35">
      <c r="A182" s="548" t="s">
        <v>924</v>
      </c>
      <c r="B182" s="588">
        <v>130.614</v>
      </c>
      <c r="C182" s="588">
        <v>0</v>
      </c>
      <c r="D182" s="588">
        <v>0</v>
      </c>
      <c r="E182" s="588">
        <v>0</v>
      </c>
      <c r="F182" s="588">
        <v>0</v>
      </c>
      <c r="G182" s="588">
        <v>130.614</v>
      </c>
      <c r="H182" s="588">
        <v>120</v>
      </c>
      <c r="I182" s="588">
        <v>0</v>
      </c>
      <c r="J182" s="588">
        <v>0</v>
      </c>
      <c r="K182" s="588">
        <v>0</v>
      </c>
      <c r="L182" s="588">
        <v>0</v>
      </c>
      <c r="M182" s="588">
        <v>120</v>
      </c>
      <c r="N182" s="569">
        <v>-8.126234553723187E-2</v>
      </c>
      <c r="O182" s="578"/>
      <c r="P182" s="578"/>
    </row>
    <row r="183" spans="1:16" ht="16" x14ac:dyDescent="0.35">
      <c r="A183" s="575"/>
      <c r="B183" s="576"/>
      <c r="C183" s="576"/>
      <c r="D183" s="576"/>
      <c r="E183" s="576"/>
      <c r="F183" s="576"/>
      <c r="G183" s="576"/>
      <c r="H183" s="576"/>
      <c r="I183" s="576"/>
      <c r="J183" s="576"/>
      <c r="K183" s="576"/>
      <c r="L183" s="576"/>
      <c r="M183" s="576"/>
      <c r="N183" s="577"/>
      <c r="O183" s="578"/>
      <c r="P183" s="57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53772-035F-4763-8BB7-F493962C9BF1}">
  <dimension ref="A1:Q173"/>
  <sheetViews>
    <sheetView showGridLines="0" zoomScale="60" zoomScaleNormal="60" workbookViewId="0">
      <selection activeCell="R5" sqref="R5"/>
    </sheetView>
  </sheetViews>
  <sheetFormatPr defaultColWidth="41" defaultRowHeight="14.5" outlineLevelCol="1" x14ac:dyDescent="0.35"/>
  <cols>
    <col min="1" max="1" width="44.81640625" style="1" bestFit="1" customWidth="1"/>
    <col min="2" max="2" width="14.81640625" bestFit="1" customWidth="1" outlineLevel="1"/>
    <col min="3" max="3" width="13.1796875" bestFit="1" customWidth="1" outlineLevel="1"/>
    <col min="4" max="4" width="12.6328125" bestFit="1" customWidth="1" outlineLevel="1"/>
    <col min="5" max="5" width="17.6328125" bestFit="1" customWidth="1" outlineLevel="1"/>
    <col min="6" max="6" width="15.453125" bestFit="1" customWidth="1" outlineLevel="1"/>
    <col min="7" max="8" width="14.81640625" bestFit="1" customWidth="1" outlineLevel="1"/>
    <col min="9" max="9" width="13.1796875" bestFit="1" customWidth="1" outlineLevel="1"/>
    <col min="10" max="10" width="12.6328125" bestFit="1" customWidth="1" outlineLevel="1"/>
    <col min="11" max="11" width="17.6328125" bestFit="1" customWidth="1" outlineLevel="1"/>
    <col min="12" max="12" width="15.453125" bestFit="1" customWidth="1" outlineLevel="1"/>
    <col min="13" max="13" width="14.81640625" bestFit="1" customWidth="1" outlineLevel="1"/>
    <col min="14" max="14" width="13.453125" bestFit="1" customWidth="1" outlineLevel="1"/>
    <col min="15" max="15" width="77.90625" bestFit="1" customWidth="1" outlineLevel="1"/>
    <col min="16" max="16" width="77" bestFit="1" customWidth="1" outlineLevel="1"/>
    <col min="17" max="17" width="2.54296875" style="126" customWidth="1"/>
  </cols>
  <sheetData>
    <row r="1" spans="1:16" ht="15" thickBot="1" x14ac:dyDescent="0.4"/>
    <row r="2" spans="1:16" ht="21.5" x14ac:dyDescent="0.35">
      <c r="A2" s="127"/>
      <c r="B2" s="128"/>
      <c r="C2" s="129"/>
      <c r="D2" s="129"/>
      <c r="E2" s="129"/>
      <c r="F2" s="129"/>
      <c r="G2" s="130"/>
      <c r="H2" s="128"/>
      <c r="I2" s="129"/>
      <c r="J2" s="129"/>
      <c r="K2" s="129"/>
      <c r="L2" s="129"/>
      <c r="M2" s="130"/>
      <c r="N2" s="131"/>
      <c r="O2" s="132"/>
      <c r="P2" s="133"/>
    </row>
    <row r="3" spans="1:16" ht="128" x14ac:dyDescent="0.35">
      <c r="A3" s="134" t="s">
        <v>345</v>
      </c>
      <c r="B3" s="307" t="s">
        <v>6</v>
      </c>
      <c r="C3" s="307" t="s">
        <v>7</v>
      </c>
      <c r="D3" s="307" t="s">
        <v>8</v>
      </c>
      <c r="E3" s="307" t="s">
        <v>9</v>
      </c>
      <c r="F3" s="307" t="s">
        <v>10</v>
      </c>
      <c r="G3" s="307" t="s">
        <v>11</v>
      </c>
      <c r="H3" s="307" t="s">
        <v>12</v>
      </c>
      <c r="I3" s="307" t="s">
        <v>13</v>
      </c>
      <c r="J3" s="307" t="s">
        <v>14</v>
      </c>
      <c r="K3" s="307" t="s">
        <v>15</v>
      </c>
      <c r="L3" s="307" t="s">
        <v>16</v>
      </c>
      <c r="M3" s="307" t="s">
        <v>17</v>
      </c>
      <c r="N3" s="10" t="s">
        <v>18</v>
      </c>
      <c r="O3" s="11" t="s">
        <v>3</v>
      </c>
      <c r="P3" s="135" t="s">
        <v>4</v>
      </c>
    </row>
    <row r="4" spans="1:16" ht="22" thickBot="1" x14ac:dyDescent="0.4">
      <c r="A4" s="136"/>
      <c r="B4" s="137"/>
      <c r="C4" s="137"/>
      <c r="D4" s="137"/>
      <c r="E4" s="137"/>
      <c r="F4" s="137"/>
      <c r="G4" s="137"/>
      <c r="H4" s="137"/>
      <c r="I4" s="137"/>
      <c r="J4" s="137"/>
      <c r="K4" s="137"/>
      <c r="L4" s="137"/>
      <c r="M4" s="137"/>
      <c r="N4" s="138"/>
      <c r="O4" s="139"/>
      <c r="P4" s="139"/>
    </row>
    <row r="5" spans="1:16" ht="16" x14ac:dyDescent="0.35">
      <c r="A5" s="308"/>
      <c r="B5" s="309"/>
      <c r="C5" s="309"/>
      <c r="D5" s="309"/>
      <c r="E5" s="309"/>
      <c r="F5" s="309"/>
      <c r="G5" s="309"/>
      <c r="H5" s="309"/>
      <c r="I5" s="309"/>
      <c r="J5" s="309"/>
      <c r="K5" s="309"/>
      <c r="L5" s="309"/>
      <c r="M5" s="309"/>
      <c r="N5" s="310"/>
      <c r="O5" s="311"/>
      <c r="P5" s="311"/>
    </row>
    <row r="6" spans="1:16" ht="16" x14ac:dyDescent="0.35">
      <c r="A6" s="312" t="s">
        <v>346</v>
      </c>
      <c r="B6" s="313"/>
      <c r="C6" s="313"/>
      <c r="D6" s="313"/>
      <c r="E6" s="313"/>
      <c r="F6" s="313"/>
      <c r="G6" s="313"/>
      <c r="H6" s="313"/>
      <c r="I6" s="313"/>
      <c r="J6" s="313"/>
      <c r="K6" s="313"/>
      <c r="L6" s="313"/>
      <c r="M6" s="313"/>
      <c r="N6" s="313"/>
      <c r="O6" s="314"/>
      <c r="P6" s="314"/>
    </row>
    <row r="7" spans="1:16" ht="16" x14ac:dyDescent="0.35">
      <c r="A7" s="315" t="s">
        <v>347</v>
      </c>
      <c r="B7" s="166"/>
      <c r="C7" s="166"/>
      <c r="D7" s="166"/>
      <c r="E7" s="166"/>
      <c r="F7" s="166"/>
      <c r="G7" s="166"/>
      <c r="H7" s="166"/>
      <c r="I7" s="166"/>
      <c r="J7" s="166"/>
      <c r="K7" s="166"/>
      <c r="L7" s="166"/>
      <c r="M7" s="166"/>
      <c r="N7" s="316"/>
      <c r="O7" s="317"/>
      <c r="P7" s="317"/>
    </row>
    <row r="8" spans="1:16" ht="96" x14ac:dyDescent="0.35">
      <c r="A8" s="318" t="s">
        <v>348</v>
      </c>
      <c r="B8" s="319">
        <v>7.05</v>
      </c>
      <c r="C8" s="319">
        <v>0</v>
      </c>
      <c r="D8" s="319">
        <v>0</v>
      </c>
      <c r="E8" s="319">
        <v>0</v>
      </c>
      <c r="F8" s="319">
        <v>0</v>
      </c>
      <c r="G8" s="320">
        <v>7.05</v>
      </c>
      <c r="H8" s="319">
        <v>8.1999999999999993</v>
      </c>
      <c r="I8" s="319">
        <v>0</v>
      </c>
      <c r="J8" s="319">
        <v>0</v>
      </c>
      <c r="K8" s="319">
        <v>0</v>
      </c>
      <c r="L8" s="319">
        <v>0</v>
      </c>
      <c r="M8" s="320">
        <v>8.1999999999999993</v>
      </c>
      <c r="N8" s="192">
        <v>0.16312056737588645</v>
      </c>
      <c r="O8" s="318" t="s">
        <v>349</v>
      </c>
      <c r="P8" s="321" t="s">
        <v>350</v>
      </c>
    </row>
    <row r="9" spans="1:16" ht="16" x14ac:dyDescent="0.35">
      <c r="A9" s="322" t="s">
        <v>351</v>
      </c>
      <c r="B9" s="288">
        <v>7.05</v>
      </c>
      <c r="C9" s="288">
        <v>0</v>
      </c>
      <c r="D9" s="288">
        <v>0</v>
      </c>
      <c r="E9" s="288">
        <v>0</v>
      </c>
      <c r="F9" s="288">
        <v>0</v>
      </c>
      <c r="G9" s="288">
        <v>7.05</v>
      </c>
      <c r="H9" s="288">
        <v>8.1999999999999993</v>
      </c>
      <c r="I9" s="288">
        <v>0</v>
      </c>
      <c r="J9" s="288">
        <v>0</v>
      </c>
      <c r="K9" s="288">
        <v>0</v>
      </c>
      <c r="L9" s="288">
        <v>0</v>
      </c>
      <c r="M9" s="288">
        <v>8.1999999999999993</v>
      </c>
      <c r="N9" s="200">
        <v>0.16312056737588645</v>
      </c>
      <c r="O9" s="323"/>
      <c r="P9" s="324"/>
    </row>
    <row r="10" spans="1:16" ht="16" x14ac:dyDescent="0.35">
      <c r="A10" s="64"/>
      <c r="B10" s="325"/>
      <c r="C10" s="325"/>
      <c r="D10" s="325"/>
      <c r="E10" s="325"/>
      <c r="F10" s="325"/>
      <c r="G10" s="325"/>
      <c r="H10" s="325"/>
      <c r="I10" s="325"/>
      <c r="J10" s="325"/>
      <c r="K10" s="325"/>
      <c r="L10" s="325"/>
      <c r="M10" s="325"/>
      <c r="N10" s="326"/>
      <c r="O10" s="104"/>
      <c r="P10" s="104"/>
    </row>
    <row r="11" spans="1:16" ht="16" x14ac:dyDescent="0.35">
      <c r="A11" s="315" t="s">
        <v>352</v>
      </c>
      <c r="B11" s="327"/>
      <c r="C11" s="327"/>
      <c r="D11" s="327"/>
      <c r="E11" s="327"/>
      <c r="F11" s="327"/>
      <c r="G11" s="327"/>
      <c r="H11" s="327"/>
      <c r="I11" s="327"/>
      <c r="J11" s="327"/>
      <c r="K11" s="327"/>
      <c r="L11" s="327"/>
      <c r="M11" s="327"/>
      <c r="N11" s="316"/>
      <c r="O11" s="317"/>
      <c r="P11" s="317"/>
    </row>
    <row r="12" spans="1:16" ht="48" x14ac:dyDescent="0.35">
      <c r="A12" s="318" t="s">
        <v>353</v>
      </c>
      <c r="B12" s="319">
        <v>5</v>
      </c>
      <c r="C12" s="319">
        <v>0</v>
      </c>
      <c r="D12" s="319">
        <v>0</v>
      </c>
      <c r="E12" s="319">
        <v>0</v>
      </c>
      <c r="F12" s="319">
        <v>0</v>
      </c>
      <c r="G12" s="320">
        <v>5</v>
      </c>
      <c r="H12" s="319">
        <v>5.5</v>
      </c>
      <c r="I12" s="319">
        <v>0</v>
      </c>
      <c r="J12" s="319">
        <v>0</v>
      </c>
      <c r="K12" s="319">
        <v>0</v>
      </c>
      <c r="L12" s="319">
        <v>0</v>
      </c>
      <c r="M12" s="320">
        <v>5.5</v>
      </c>
      <c r="N12" s="192">
        <v>0.1</v>
      </c>
      <c r="O12" s="318" t="s">
        <v>354</v>
      </c>
      <c r="P12" s="321" t="s">
        <v>355</v>
      </c>
    </row>
    <row r="13" spans="1:16" ht="80" x14ac:dyDescent="0.35">
      <c r="A13" s="328" t="s">
        <v>356</v>
      </c>
      <c r="B13" s="299">
        <v>3.9249999999999998</v>
      </c>
      <c r="C13" s="299">
        <v>1.0999999999999999E-2</v>
      </c>
      <c r="D13" s="299">
        <v>0</v>
      </c>
      <c r="E13" s="299">
        <v>0</v>
      </c>
      <c r="F13" s="299">
        <v>0</v>
      </c>
      <c r="G13" s="320">
        <v>3.9359999999999999</v>
      </c>
      <c r="H13" s="319">
        <v>3.82</v>
      </c>
      <c r="I13" s="319">
        <v>8.0000000000000002E-3</v>
      </c>
      <c r="J13" s="319">
        <v>0</v>
      </c>
      <c r="K13" s="319">
        <v>0</v>
      </c>
      <c r="L13" s="319">
        <v>0</v>
      </c>
      <c r="M13" s="320">
        <v>3.8279999999999998</v>
      </c>
      <c r="N13" s="192">
        <v>-2.7439024390243927E-2</v>
      </c>
      <c r="O13" s="329" t="s">
        <v>357</v>
      </c>
      <c r="P13" s="330" t="s">
        <v>358</v>
      </c>
    </row>
    <row r="14" spans="1:16" ht="48" x14ac:dyDescent="0.35">
      <c r="A14" s="328" t="s">
        <v>359</v>
      </c>
      <c r="B14" s="299">
        <v>2.1869999999999998</v>
      </c>
      <c r="C14" s="299">
        <v>7.0999999999999994E-2</v>
      </c>
      <c r="D14" s="299">
        <v>0</v>
      </c>
      <c r="E14" s="299">
        <v>0</v>
      </c>
      <c r="F14" s="299">
        <v>0</v>
      </c>
      <c r="G14" s="320">
        <v>2.258</v>
      </c>
      <c r="H14" s="319">
        <v>2.2469999999999999</v>
      </c>
      <c r="I14" s="319">
        <v>5.6000000000000001E-2</v>
      </c>
      <c r="J14" s="319">
        <v>0</v>
      </c>
      <c r="K14" s="319">
        <v>0</v>
      </c>
      <c r="L14" s="319">
        <v>0</v>
      </c>
      <c r="M14" s="320">
        <v>2.3029999999999999</v>
      </c>
      <c r="N14" s="192">
        <v>1.9929140832595185E-2</v>
      </c>
      <c r="O14" s="329" t="s">
        <v>360</v>
      </c>
      <c r="P14" s="330" t="s">
        <v>361</v>
      </c>
    </row>
    <row r="15" spans="1:16" ht="32" x14ac:dyDescent="0.35">
      <c r="A15" s="329" t="s">
        <v>362</v>
      </c>
      <c r="B15" s="299">
        <v>3.4049999999999998</v>
      </c>
      <c r="C15" s="299">
        <v>0</v>
      </c>
      <c r="D15" s="299">
        <v>0</v>
      </c>
      <c r="E15" s="299">
        <v>0</v>
      </c>
      <c r="F15" s="299">
        <v>0</v>
      </c>
      <c r="G15" s="320">
        <v>3.4049999999999998</v>
      </c>
      <c r="H15" s="319">
        <v>3.8</v>
      </c>
      <c r="I15" s="319">
        <v>0</v>
      </c>
      <c r="J15" s="319">
        <v>0</v>
      </c>
      <c r="K15" s="319">
        <v>0</v>
      </c>
      <c r="L15" s="319">
        <v>0</v>
      </c>
      <c r="M15" s="320">
        <v>3.8</v>
      </c>
      <c r="N15" s="192">
        <v>0.11600587371512483</v>
      </c>
      <c r="O15" s="329" t="s">
        <v>363</v>
      </c>
      <c r="P15" s="330" t="s">
        <v>364</v>
      </c>
    </row>
    <row r="16" spans="1:16" ht="48" x14ac:dyDescent="0.35">
      <c r="A16" s="329" t="s">
        <v>365</v>
      </c>
      <c r="B16" s="299">
        <v>1.169</v>
      </c>
      <c r="C16" s="299">
        <v>0</v>
      </c>
      <c r="D16" s="299">
        <v>0</v>
      </c>
      <c r="E16" s="299">
        <v>0</v>
      </c>
      <c r="F16" s="299">
        <v>0</v>
      </c>
      <c r="G16" s="320">
        <v>1.169</v>
      </c>
      <c r="H16" s="319">
        <v>1.27</v>
      </c>
      <c r="I16" s="319">
        <v>0</v>
      </c>
      <c r="J16" s="319">
        <v>0</v>
      </c>
      <c r="K16" s="319">
        <v>0</v>
      </c>
      <c r="L16" s="319">
        <v>0</v>
      </c>
      <c r="M16" s="320">
        <v>1.27</v>
      </c>
      <c r="N16" s="192">
        <v>8.6398631308810925E-2</v>
      </c>
      <c r="O16" s="329" t="s">
        <v>366</v>
      </c>
      <c r="P16" s="330" t="s">
        <v>367</v>
      </c>
    </row>
    <row r="17" spans="1:16" ht="96" x14ac:dyDescent="0.35">
      <c r="A17" s="329" t="s">
        <v>368</v>
      </c>
      <c r="B17" s="299">
        <v>57.033000000000001</v>
      </c>
      <c r="C17" s="299">
        <v>0</v>
      </c>
      <c r="D17" s="299">
        <v>0</v>
      </c>
      <c r="E17" s="299">
        <v>0</v>
      </c>
      <c r="F17" s="299">
        <v>0</v>
      </c>
      <c r="G17" s="320">
        <v>57.033000000000001</v>
      </c>
      <c r="H17" s="319">
        <v>67.318999999999988</v>
      </c>
      <c r="I17" s="319">
        <v>0</v>
      </c>
      <c r="J17" s="319">
        <v>0</v>
      </c>
      <c r="K17" s="319">
        <v>0</v>
      </c>
      <c r="L17" s="319">
        <v>0</v>
      </c>
      <c r="M17" s="320">
        <v>67.318999999999988</v>
      </c>
      <c r="N17" s="192">
        <v>0.18035172619360698</v>
      </c>
      <c r="O17" s="329" t="s">
        <v>369</v>
      </c>
      <c r="P17" s="330" t="s">
        <v>370</v>
      </c>
    </row>
    <row r="18" spans="1:16" ht="16" x14ac:dyDescent="0.35">
      <c r="A18" s="322" t="s">
        <v>371</v>
      </c>
      <c r="B18" s="288">
        <v>72.718999999999994</v>
      </c>
      <c r="C18" s="288">
        <v>8.199999999999999E-2</v>
      </c>
      <c r="D18" s="288">
        <v>0</v>
      </c>
      <c r="E18" s="288">
        <v>0</v>
      </c>
      <c r="F18" s="288">
        <v>0</v>
      </c>
      <c r="G18" s="288">
        <v>72.801000000000002</v>
      </c>
      <c r="H18" s="288">
        <v>83.955999999999989</v>
      </c>
      <c r="I18" s="288">
        <v>6.4000000000000001E-2</v>
      </c>
      <c r="J18" s="288">
        <v>0</v>
      </c>
      <c r="K18" s="288">
        <v>0</v>
      </c>
      <c r="L18" s="288">
        <v>0</v>
      </c>
      <c r="M18" s="288">
        <v>84.019999999999982</v>
      </c>
      <c r="N18" s="192">
        <v>0.15410502602986195</v>
      </c>
      <c r="O18" s="323"/>
      <c r="P18" s="324"/>
    </row>
    <row r="19" spans="1:16" ht="16" x14ac:dyDescent="0.35">
      <c r="A19" s="104"/>
      <c r="B19" s="331"/>
      <c r="C19" s="331"/>
      <c r="D19" s="331"/>
      <c r="E19" s="331"/>
      <c r="F19" s="331"/>
      <c r="G19" s="331"/>
      <c r="H19" s="331"/>
      <c r="I19" s="331"/>
      <c r="J19" s="331"/>
      <c r="K19" s="331"/>
      <c r="L19" s="331"/>
      <c r="M19" s="331"/>
      <c r="N19" s="192"/>
      <c r="O19" s="104"/>
      <c r="P19" s="104"/>
    </row>
    <row r="20" spans="1:16" ht="16" x14ac:dyDescent="0.35">
      <c r="A20" s="332" t="s">
        <v>372</v>
      </c>
      <c r="B20" s="333">
        <v>79.768999999999991</v>
      </c>
      <c r="C20" s="333">
        <v>8.199999999999999E-2</v>
      </c>
      <c r="D20" s="333">
        <v>0</v>
      </c>
      <c r="E20" s="333">
        <v>0</v>
      </c>
      <c r="F20" s="333">
        <v>0</v>
      </c>
      <c r="G20" s="333">
        <v>79.850999999999999</v>
      </c>
      <c r="H20" s="333">
        <v>92.155999999999992</v>
      </c>
      <c r="I20" s="333">
        <v>6.4000000000000001E-2</v>
      </c>
      <c r="J20" s="333">
        <v>0</v>
      </c>
      <c r="K20" s="333">
        <v>0</v>
      </c>
      <c r="L20" s="333">
        <v>0</v>
      </c>
      <c r="M20" s="333">
        <v>92.219999999999985</v>
      </c>
      <c r="N20" s="334">
        <v>0.15490100311830768</v>
      </c>
      <c r="O20" s="335"/>
      <c r="P20" s="336"/>
    </row>
    <row r="21" spans="1:16" ht="16" x14ac:dyDescent="0.35">
      <c r="A21" s="308"/>
      <c r="B21" s="337"/>
      <c r="C21" s="337"/>
      <c r="D21" s="337"/>
      <c r="E21" s="337"/>
      <c r="F21" s="337"/>
      <c r="G21" s="337"/>
      <c r="H21" s="337"/>
      <c r="I21" s="337"/>
      <c r="J21" s="337"/>
      <c r="K21" s="337"/>
      <c r="L21" s="337"/>
      <c r="M21" s="337"/>
      <c r="N21" s="310"/>
      <c r="O21" s="311"/>
      <c r="P21" s="311"/>
    </row>
    <row r="22" spans="1:16" ht="16" x14ac:dyDescent="0.35">
      <c r="A22" s="338" t="s">
        <v>373</v>
      </c>
      <c r="B22" s="143"/>
      <c r="C22" s="143"/>
      <c r="D22" s="143"/>
      <c r="E22" s="143"/>
      <c r="F22" s="143"/>
      <c r="G22" s="143"/>
      <c r="H22" s="143"/>
      <c r="I22" s="143"/>
      <c r="J22" s="143"/>
      <c r="K22" s="143"/>
      <c r="L22" s="143"/>
      <c r="M22" s="143"/>
      <c r="N22" s="339"/>
      <c r="O22" s="314"/>
      <c r="P22" s="314"/>
    </row>
    <row r="23" spans="1:16" ht="16" x14ac:dyDescent="0.35">
      <c r="A23" s="311"/>
      <c r="B23" s="340"/>
      <c r="C23" s="340"/>
      <c r="D23" s="340"/>
      <c r="E23" s="340"/>
      <c r="F23" s="340"/>
      <c r="G23" s="340"/>
      <c r="H23" s="340"/>
      <c r="I23" s="340"/>
      <c r="J23" s="340"/>
      <c r="K23" s="340"/>
      <c r="L23" s="340"/>
      <c r="M23" s="340"/>
      <c r="N23" s="341"/>
      <c r="O23" s="311"/>
      <c r="P23" s="311"/>
    </row>
    <row r="24" spans="1:16" ht="16" x14ac:dyDescent="0.35">
      <c r="A24" s="315" t="s">
        <v>374</v>
      </c>
      <c r="B24" s="166"/>
      <c r="C24" s="166"/>
      <c r="D24" s="166"/>
      <c r="E24" s="166"/>
      <c r="F24" s="166"/>
      <c r="G24" s="166"/>
      <c r="H24" s="166"/>
      <c r="I24" s="166"/>
      <c r="J24" s="166"/>
      <c r="K24" s="166"/>
      <c r="L24" s="166"/>
      <c r="M24" s="166"/>
      <c r="N24" s="316"/>
      <c r="O24" s="317"/>
      <c r="P24" s="317"/>
    </row>
    <row r="25" spans="1:16" ht="80" x14ac:dyDescent="0.35">
      <c r="A25" s="342" t="s">
        <v>374</v>
      </c>
      <c r="B25" s="299">
        <v>36.320999999999998</v>
      </c>
      <c r="C25" s="343">
        <v>0</v>
      </c>
      <c r="D25" s="343">
        <v>0</v>
      </c>
      <c r="E25" s="343">
        <v>0</v>
      </c>
      <c r="F25" s="343">
        <v>0</v>
      </c>
      <c r="G25" s="320">
        <v>36.320999999999998</v>
      </c>
      <c r="H25" s="319">
        <v>42.371000000000002</v>
      </c>
      <c r="I25" s="319">
        <v>0</v>
      </c>
      <c r="J25" s="319">
        <v>0</v>
      </c>
      <c r="K25" s="319">
        <v>0</v>
      </c>
      <c r="L25" s="319">
        <v>0</v>
      </c>
      <c r="M25" s="320">
        <v>42.371000000000002</v>
      </c>
      <c r="N25" s="192">
        <v>0.16657030368106618</v>
      </c>
      <c r="O25" s="329" t="s">
        <v>375</v>
      </c>
      <c r="P25" s="330" t="s">
        <v>376</v>
      </c>
    </row>
    <row r="26" spans="1:16" ht="16" x14ac:dyDescent="0.35">
      <c r="A26" s="315" t="s">
        <v>377</v>
      </c>
      <c r="B26" s="166">
        <v>36.320999999999998</v>
      </c>
      <c r="C26" s="166">
        <v>0</v>
      </c>
      <c r="D26" s="166">
        <v>0</v>
      </c>
      <c r="E26" s="166">
        <v>0</v>
      </c>
      <c r="F26" s="166">
        <v>0</v>
      </c>
      <c r="G26" s="166">
        <v>36.320999999999998</v>
      </c>
      <c r="H26" s="166">
        <v>42.371000000000002</v>
      </c>
      <c r="I26" s="166">
        <v>0</v>
      </c>
      <c r="J26" s="166">
        <v>0</v>
      </c>
      <c r="K26" s="166">
        <v>0</v>
      </c>
      <c r="L26" s="166">
        <v>0</v>
      </c>
      <c r="M26" s="166">
        <v>42.371000000000002</v>
      </c>
      <c r="N26" s="200">
        <v>0.16657030368106618</v>
      </c>
      <c r="O26" s="317"/>
      <c r="P26" s="317"/>
    </row>
    <row r="27" spans="1:16" ht="16" x14ac:dyDescent="0.35">
      <c r="A27" s="344"/>
      <c r="B27" s="345"/>
      <c r="C27" s="345"/>
      <c r="D27" s="345"/>
      <c r="E27" s="345"/>
      <c r="F27" s="345"/>
      <c r="G27" s="345"/>
      <c r="H27" s="345"/>
      <c r="I27" s="345"/>
      <c r="J27" s="345"/>
      <c r="K27" s="345"/>
      <c r="L27" s="345"/>
      <c r="M27" s="345"/>
      <c r="N27" s="346"/>
      <c r="O27" s="344"/>
      <c r="P27" s="347"/>
    </row>
    <row r="28" spans="1:16" ht="16" x14ac:dyDescent="0.35">
      <c r="A28" s="315" t="s">
        <v>373</v>
      </c>
      <c r="B28" s="166"/>
      <c r="C28" s="166"/>
      <c r="D28" s="166"/>
      <c r="E28" s="166"/>
      <c r="F28" s="166"/>
      <c r="G28" s="166"/>
      <c r="H28" s="166"/>
      <c r="I28" s="166"/>
      <c r="J28" s="166"/>
      <c r="K28" s="166"/>
      <c r="L28" s="166"/>
      <c r="M28" s="166"/>
      <c r="N28" s="316"/>
      <c r="O28" s="317"/>
      <c r="P28" s="317"/>
    </row>
    <row r="29" spans="1:16" ht="80" x14ac:dyDescent="0.35">
      <c r="A29" s="348" t="s">
        <v>378</v>
      </c>
      <c r="B29" s="319">
        <v>1.8240000000000001</v>
      </c>
      <c r="C29" s="319">
        <v>0</v>
      </c>
      <c r="D29" s="319">
        <v>0</v>
      </c>
      <c r="E29" s="319">
        <v>0</v>
      </c>
      <c r="F29" s="319">
        <v>0</v>
      </c>
      <c r="G29" s="320">
        <v>1.8240000000000001</v>
      </c>
      <c r="H29" s="319">
        <v>0.95</v>
      </c>
      <c r="I29" s="319">
        <v>0</v>
      </c>
      <c r="J29" s="319">
        <v>0</v>
      </c>
      <c r="K29" s="319">
        <v>0</v>
      </c>
      <c r="L29" s="319">
        <v>0</v>
      </c>
      <c r="M29" s="320">
        <v>0.95</v>
      </c>
      <c r="N29" s="192">
        <v>-0.47916666666666669</v>
      </c>
      <c r="O29" s="318" t="s">
        <v>379</v>
      </c>
      <c r="P29" s="321" t="s">
        <v>380</v>
      </c>
    </row>
    <row r="30" spans="1:16" ht="96" x14ac:dyDescent="0.35">
      <c r="A30" s="328" t="s">
        <v>381</v>
      </c>
      <c r="B30" s="299">
        <v>3.5880000000000001</v>
      </c>
      <c r="C30" s="299">
        <v>0</v>
      </c>
      <c r="D30" s="299">
        <v>0</v>
      </c>
      <c r="E30" s="299">
        <v>0</v>
      </c>
      <c r="F30" s="299">
        <v>0</v>
      </c>
      <c r="G30" s="320">
        <v>3.5880000000000001</v>
      </c>
      <c r="H30" s="319">
        <v>4.7</v>
      </c>
      <c r="I30" s="319">
        <v>0</v>
      </c>
      <c r="J30" s="319">
        <v>0</v>
      </c>
      <c r="K30" s="319">
        <v>0</v>
      </c>
      <c r="L30" s="319">
        <v>0</v>
      </c>
      <c r="M30" s="320">
        <v>4.7</v>
      </c>
      <c r="N30" s="192">
        <v>0.30992196209587514</v>
      </c>
      <c r="O30" s="329" t="s">
        <v>382</v>
      </c>
      <c r="P30" s="330" t="s">
        <v>383</v>
      </c>
    </row>
    <row r="31" spans="1:16" ht="80" x14ac:dyDescent="0.35">
      <c r="A31" s="328" t="s">
        <v>384</v>
      </c>
      <c r="B31" s="299">
        <v>0.34100000000000003</v>
      </c>
      <c r="C31" s="299">
        <v>0</v>
      </c>
      <c r="D31" s="299">
        <v>0</v>
      </c>
      <c r="E31" s="299">
        <v>0</v>
      </c>
      <c r="F31" s="299">
        <v>0</v>
      </c>
      <c r="G31" s="320">
        <v>0.34100000000000003</v>
      </c>
      <c r="H31" s="319">
        <v>0.106</v>
      </c>
      <c r="I31" s="319">
        <v>0</v>
      </c>
      <c r="J31" s="319">
        <v>0</v>
      </c>
      <c r="K31" s="319">
        <v>0</v>
      </c>
      <c r="L31" s="319">
        <v>0</v>
      </c>
      <c r="M31" s="320">
        <v>0.106</v>
      </c>
      <c r="N31" s="192">
        <v>-0.68914956011730211</v>
      </c>
      <c r="O31" s="329" t="s">
        <v>385</v>
      </c>
      <c r="P31" s="330" t="s">
        <v>386</v>
      </c>
    </row>
    <row r="32" spans="1:16" ht="16" x14ac:dyDescent="0.35">
      <c r="A32" s="329" t="s">
        <v>387</v>
      </c>
      <c r="B32" s="299">
        <v>-0.06</v>
      </c>
      <c r="C32" s="299">
        <v>0</v>
      </c>
      <c r="D32" s="299">
        <v>0</v>
      </c>
      <c r="E32" s="299">
        <v>0</v>
      </c>
      <c r="F32" s="299">
        <v>0</v>
      </c>
      <c r="G32" s="320">
        <v>-0.06</v>
      </c>
      <c r="H32" s="319">
        <v>-0.06</v>
      </c>
      <c r="I32" s="319">
        <v>0</v>
      </c>
      <c r="J32" s="319">
        <v>0</v>
      </c>
      <c r="K32" s="319">
        <v>0</v>
      </c>
      <c r="L32" s="319">
        <v>0</v>
      </c>
      <c r="M32" s="320">
        <v>-0.06</v>
      </c>
      <c r="N32" s="192">
        <v>0</v>
      </c>
      <c r="O32" s="329" t="s">
        <v>388</v>
      </c>
      <c r="P32" s="330" t="s">
        <v>60</v>
      </c>
    </row>
    <row r="33" spans="1:16" ht="16" x14ac:dyDescent="0.35">
      <c r="A33" s="322" t="s">
        <v>389</v>
      </c>
      <c r="B33" s="288">
        <v>5.6930000000000005</v>
      </c>
      <c r="C33" s="288">
        <v>0</v>
      </c>
      <c r="D33" s="288">
        <v>0</v>
      </c>
      <c r="E33" s="288">
        <v>0</v>
      </c>
      <c r="F33" s="288">
        <v>0</v>
      </c>
      <c r="G33" s="288">
        <v>5.6930000000000005</v>
      </c>
      <c r="H33" s="288">
        <v>5.6960000000000006</v>
      </c>
      <c r="I33" s="288">
        <v>0</v>
      </c>
      <c r="J33" s="288">
        <v>0</v>
      </c>
      <c r="K33" s="288">
        <v>0</v>
      </c>
      <c r="L33" s="288">
        <v>0</v>
      </c>
      <c r="M33" s="288">
        <v>5.6960000000000006</v>
      </c>
      <c r="N33" s="200">
        <v>5.269629369401218E-4</v>
      </c>
      <c r="O33" s="323"/>
      <c r="P33" s="349"/>
    </row>
    <row r="34" spans="1:16" ht="16" x14ac:dyDescent="0.35">
      <c r="A34" s="332" t="s">
        <v>390</v>
      </c>
      <c r="B34" s="333">
        <v>42.013999999999996</v>
      </c>
      <c r="C34" s="333">
        <v>0</v>
      </c>
      <c r="D34" s="333">
        <v>0</v>
      </c>
      <c r="E34" s="333">
        <v>0</v>
      </c>
      <c r="F34" s="333">
        <v>0</v>
      </c>
      <c r="G34" s="333">
        <v>42.013999999999996</v>
      </c>
      <c r="H34" s="333">
        <v>48.067</v>
      </c>
      <c r="I34" s="333">
        <v>0</v>
      </c>
      <c r="J34" s="333">
        <v>0</v>
      </c>
      <c r="K34" s="333">
        <v>0</v>
      </c>
      <c r="L34" s="333">
        <v>0</v>
      </c>
      <c r="M34" s="333">
        <v>48.067</v>
      </c>
      <c r="N34" s="334">
        <v>0.14407102394439961</v>
      </c>
      <c r="O34" s="350"/>
      <c r="P34" s="336"/>
    </row>
    <row r="35" spans="1:16" ht="16" x14ac:dyDescent="0.35">
      <c r="A35" s="311"/>
      <c r="B35" s="340"/>
      <c r="C35" s="340"/>
      <c r="D35" s="340"/>
      <c r="E35" s="340"/>
      <c r="F35" s="340"/>
      <c r="G35" s="340"/>
      <c r="H35" s="340"/>
      <c r="I35" s="340"/>
      <c r="J35" s="340"/>
      <c r="K35" s="340"/>
      <c r="L35" s="340"/>
      <c r="M35" s="340"/>
      <c r="N35" s="351"/>
      <c r="O35" s="311"/>
      <c r="P35" s="311"/>
    </row>
    <row r="36" spans="1:16" ht="16" x14ac:dyDescent="0.35">
      <c r="A36" s="338" t="s">
        <v>391</v>
      </c>
      <c r="B36" s="143"/>
      <c r="C36" s="143"/>
      <c r="D36" s="143"/>
      <c r="E36" s="143"/>
      <c r="F36" s="143"/>
      <c r="G36" s="143"/>
      <c r="H36" s="143"/>
      <c r="I36" s="143"/>
      <c r="J36" s="143"/>
      <c r="K36" s="143"/>
      <c r="L36" s="143"/>
      <c r="M36" s="143"/>
      <c r="N36" s="339"/>
      <c r="O36" s="314"/>
      <c r="P36" s="314"/>
    </row>
    <row r="37" spans="1:16" ht="32" x14ac:dyDescent="0.35">
      <c r="A37" s="342" t="s">
        <v>392</v>
      </c>
      <c r="B37" s="299">
        <v>16.826000000000001</v>
      </c>
      <c r="C37" s="343">
        <v>0</v>
      </c>
      <c r="D37" s="343">
        <v>0</v>
      </c>
      <c r="E37" s="343">
        <v>0</v>
      </c>
      <c r="F37" s="343">
        <v>0</v>
      </c>
      <c r="G37" s="320">
        <v>16.826000000000001</v>
      </c>
      <c r="H37" s="319">
        <v>20.295000000000002</v>
      </c>
      <c r="I37" s="319">
        <v>0</v>
      </c>
      <c r="J37" s="319">
        <v>0</v>
      </c>
      <c r="K37" s="319">
        <v>0</v>
      </c>
      <c r="L37" s="319">
        <v>0</v>
      </c>
      <c r="M37" s="320">
        <v>20.295000000000002</v>
      </c>
      <c r="N37" s="192">
        <v>0.20616902412932372</v>
      </c>
      <c r="O37" s="329" t="s">
        <v>393</v>
      </c>
      <c r="P37" s="330" t="s">
        <v>394</v>
      </c>
    </row>
    <row r="38" spans="1:16" ht="32" x14ac:dyDescent="0.35">
      <c r="A38" s="342" t="s">
        <v>395</v>
      </c>
      <c r="B38" s="299">
        <v>1.819</v>
      </c>
      <c r="C38" s="343">
        <v>0</v>
      </c>
      <c r="D38" s="343">
        <v>0</v>
      </c>
      <c r="E38" s="343">
        <v>0</v>
      </c>
      <c r="F38" s="343">
        <v>0</v>
      </c>
      <c r="G38" s="320">
        <v>1.819</v>
      </c>
      <c r="H38" s="319">
        <v>2.609</v>
      </c>
      <c r="I38" s="319">
        <v>0</v>
      </c>
      <c r="J38" s="319">
        <v>0</v>
      </c>
      <c r="K38" s="319">
        <v>0</v>
      </c>
      <c r="L38" s="319">
        <v>0</v>
      </c>
      <c r="M38" s="320">
        <v>2.609</v>
      </c>
      <c r="N38" s="192">
        <v>0.43430456294667402</v>
      </c>
      <c r="O38" s="329" t="s">
        <v>396</v>
      </c>
      <c r="P38" s="330" t="s">
        <v>397</v>
      </c>
    </row>
    <row r="39" spans="1:16" ht="32" x14ac:dyDescent="0.35">
      <c r="A39" s="332" t="s">
        <v>398</v>
      </c>
      <c r="B39" s="333">
        <v>18.645</v>
      </c>
      <c r="C39" s="333">
        <v>0</v>
      </c>
      <c r="D39" s="333">
        <v>0</v>
      </c>
      <c r="E39" s="333">
        <v>0</v>
      </c>
      <c r="F39" s="333">
        <v>0</v>
      </c>
      <c r="G39" s="333">
        <v>18.645</v>
      </c>
      <c r="H39" s="333">
        <v>22.904000000000003</v>
      </c>
      <c r="I39" s="333">
        <v>0</v>
      </c>
      <c r="J39" s="333">
        <v>0</v>
      </c>
      <c r="K39" s="333">
        <v>0</v>
      </c>
      <c r="L39" s="333">
        <v>0</v>
      </c>
      <c r="M39" s="333">
        <v>22.904000000000003</v>
      </c>
      <c r="N39" s="334">
        <v>0.2284258514347012</v>
      </c>
      <c r="O39" s="335"/>
      <c r="P39" s="336"/>
    </row>
    <row r="40" spans="1:16" ht="16" x14ac:dyDescent="0.35">
      <c r="A40" s="311"/>
      <c r="B40" s="337"/>
      <c r="C40" s="337"/>
      <c r="D40" s="337"/>
      <c r="E40" s="337"/>
      <c r="F40" s="337"/>
      <c r="G40" s="337"/>
      <c r="H40" s="337"/>
      <c r="I40" s="337"/>
      <c r="J40" s="337"/>
      <c r="K40" s="337"/>
      <c r="L40" s="337"/>
      <c r="M40" s="337"/>
      <c r="N40" s="310"/>
      <c r="O40" s="311"/>
      <c r="P40" s="311"/>
    </row>
    <row r="41" spans="1:16" ht="16" x14ac:dyDescent="0.35">
      <c r="A41" s="338" t="s">
        <v>399</v>
      </c>
      <c r="B41" s="143"/>
      <c r="C41" s="143"/>
      <c r="D41" s="143"/>
      <c r="E41" s="143"/>
      <c r="F41" s="143"/>
      <c r="G41" s="143"/>
      <c r="H41" s="143"/>
      <c r="I41" s="143"/>
      <c r="J41" s="143"/>
      <c r="K41" s="143"/>
      <c r="L41" s="143"/>
      <c r="M41" s="143"/>
      <c r="N41" s="339"/>
      <c r="O41" s="314"/>
      <c r="P41" s="314"/>
    </row>
    <row r="42" spans="1:16" ht="16" x14ac:dyDescent="0.35">
      <c r="A42" s="311"/>
      <c r="B42" s="352"/>
      <c r="C42" s="352"/>
      <c r="D42" s="352"/>
      <c r="E42" s="352"/>
      <c r="F42" s="352"/>
      <c r="G42" s="352"/>
      <c r="H42" s="352"/>
      <c r="I42" s="352"/>
      <c r="J42" s="352"/>
      <c r="K42" s="352"/>
      <c r="L42" s="352"/>
      <c r="M42" s="352"/>
      <c r="N42" s="353"/>
      <c r="O42" s="311"/>
      <c r="P42" s="311"/>
    </row>
    <row r="43" spans="1:16" ht="80" x14ac:dyDescent="0.35">
      <c r="A43" s="354" t="s">
        <v>400</v>
      </c>
      <c r="B43" s="319">
        <v>14.5</v>
      </c>
      <c r="C43" s="355">
        <v>0.55000000000000004</v>
      </c>
      <c r="D43" s="355">
        <v>0.1</v>
      </c>
      <c r="E43" s="355">
        <v>0</v>
      </c>
      <c r="F43" s="355">
        <v>0</v>
      </c>
      <c r="G43" s="320">
        <v>15.15</v>
      </c>
      <c r="H43" s="319">
        <v>15.85</v>
      </c>
      <c r="I43" s="319">
        <v>6.5</v>
      </c>
      <c r="J43" s="319">
        <v>0.1</v>
      </c>
      <c r="K43" s="319">
        <v>0</v>
      </c>
      <c r="L43" s="319">
        <v>0</v>
      </c>
      <c r="M43" s="320">
        <v>22.450000000000003</v>
      </c>
      <c r="N43" s="192">
        <v>0.48184818481848202</v>
      </c>
      <c r="O43" s="344" t="s">
        <v>401</v>
      </c>
      <c r="P43" s="347" t="s">
        <v>402</v>
      </c>
    </row>
    <row r="44" spans="1:16" ht="80" x14ac:dyDescent="0.35">
      <c r="A44" s="354" t="s">
        <v>403</v>
      </c>
      <c r="B44" s="299">
        <v>141.154</v>
      </c>
      <c r="C44" s="356">
        <v>0.2</v>
      </c>
      <c r="D44" s="356">
        <v>0</v>
      </c>
      <c r="E44" s="356">
        <v>0</v>
      </c>
      <c r="F44" s="356">
        <v>0</v>
      </c>
      <c r="G44" s="320">
        <v>141.35399999999998</v>
      </c>
      <c r="H44" s="319">
        <v>155.05000000000001</v>
      </c>
      <c r="I44" s="319">
        <v>0.44800000000000001</v>
      </c>
      <c r="J44" s="319">
        <v>0</v>
      </c>
      <c r="K44" s="319">
        <v>0</v>
      </c>
      <c r="L44" s="319">
        <v>0.05</v>
      </c>
      <c r="M44" s="320">
        <v>155.54800000000003</v>
      </c>
      <c r="N44" s="192">
        <v>0.10041456202159152</v>
      </c>
      <c r="O44" s="344" t="s">
        <v>404</v>
      </c>
      <c r="P44" s="347" t="s">
        <v>405</v>
      </c>
    </row>
    <row r="45" spans="1:16" ht="16" x14ac:dyDescent="0.35">
      <c r="A45" s="308"/>
      <c r="B45" s="337"/>
      <c r="C45" s="337"/>
      <c r="D45" s="337"/>
      <c r="E45" s="337"/>
      <c r="F45" s="337"/>
      <c r="G45" s="337"/>
      <c r="H45" s="337"/>
      <c r="I45" s="337"/>
      <c r="J45" s="337"/>
      <c r="K45" s="337"/>
      <c r="L45" s="337"/>
      <c r="M45" s="337"/>
      <c r="N45" s="310"/>
      <c r="O45" s="311"/>
      <c r="P45" s="311"/>
    </row>
    <row r="46" spans="1:16" ht="16" x14ac:dyDescent="0.35">
      <c r="A46" s="332" t="s">
        <v>406</v>
      </c>
      <c r="B46" s="333">
        <v>155.654</v>
      </c>
      <c r="C46" s="333">
        <v>0.75</v>
      </c>
      <c r="D46" s="333">
        <v>0.1</v>
      </c>
      <c r="E46" s="333">
        <v>0</v>
      </c>
      <c r="F46" s="333">
        <v>0</v>
      </c>
      <c r="G46" s="333">
        <v>156.50399999999999</v>
      </c>
      <c r="H46" s="333">
        <v>170.9</v>
      </c>
      <c r="I46" s="333">
        <v>6.9480000000000004</v>
      </c>
      <c r="J46" s="333">
        <v>0.1</v>
      </c>
      <c r="K46" s="333">
        <v>0</v>
      </c>
      <c r="L46" s="333">
        <v>0.05</v>
      </c>
      <c r="M46" s="333">
        <v>177.99800000000005</v>
      </c>
      <c r="N46" s="334">
        <v>0.13733834278996102</v>
      </c>
      <c r="O46" s="335"/>
      <c r="P46" s="336"/>
    </row>
    <row r="47" spans="1:16" ht="16" x14ac:dyDescent="0.35">
      <c r="A47" s="311"/>
      <c r="B47" s="337"/>
      <c r="C47" s="337"/>
      <c r="D47" s="337"/>
      <c r="E47" s="337"/>
      <c r="F47" s="337"/>
      <c r="G47" s="337"/>
      <c r="H47" s="337"/>
      <c r="I47" s="337"/>
      <c r="J47" s="337"/>
      <c r="K47" s="337"/>
      <c r="L47" s="337"/>
      <c r="M47" s="337"/>
      <c r="N47" s="310"/>
      <c r="O47" s="311"/>
      <c r="P47" s="311"/>
    </row>
    <row r="48" spans="1:16" ht="16" x14ac:dyDescent="0.35">
      <c r="A48" s="338" t="s">
        <v>407</v>
      </c>
      <c r="B48" s="143"/>
      <c r="C48" s="143"/>
      <c r="D48" s="143"/>
      <c r="E48" s="143"/>
      <c r="F48" s="143"/>
      <c r="G48" s="143"/>
      <c r="H48" s="143"/>
      <c r="I48" s="143"/>
      <c r="J48" s="143"/>
      <c r="K48" s="143"/>
      <c r="L48" s="143"/>
      <c r="M48" s="143"/>
      <c r="N48" s="339"/>
      <c r="O48" s="314"/>
      <c r="P48" s="314"/>
    </row>
    <row r="49" spans="1:16" ht="16" x14ac:dyDescent="0.35">
      <c r="A49" s="311"/>
      <c r="B49" s="337"/>
      <c r="C49" s="337"/>
      <c r="D49" s="337"/>
      <c r="E49" s="337"/>
      <c r="F49" s="337"/>
      <c r="G49" s="337"/>
      <c r="H49" s="337"/>
      <c r="I49" s="337"/>
      <c r="J49" s="337"/>
      <c r="K49" s="337"/>
      <c r="L49" s="337"/>
      <c r="M49" s="337"/>
      <c r="N49" s="310"/>
      <c r="O49" s="311"/>
      <c r="P49" s="311"/>
    </row>
    <row r="50" spans="1:16" ht="16" x14ac:dyDescent="0.35">
      <c r="A50" s="315" t="s">
        <v>408</v>
      </c>
      <c r="B50" s="166"/>
      <c r="C50" s="166"/>
      <c r="D50" s="166"/>
      <c r="E50" s="166"/>
      <c r="F50" s="166"/>
      <c r="G50" s="166"/>
      <c r="H50" s="166"/>
      <c r="I50" s="166"/>
      <c r="J50" s="166"/>
      <c r="K50" s="166"/>
      <c r="L50" s="166"/>
      <c r="M50" s="166"/>
      <c r="N50" s="316"/>
      <c r="O50" s="317"/>
      <c r="P50" s="357"/>
    </row>
    <row r="51" spans="1:16" ht="64" x14ac:dyDescent="0.35">
      <c r="A51" s="329" t="s">
        <v>409</v>
      </c>
      <c r="B51" s="299">
        <v>45.662999999999997</v>
      </c>
      <c r="C51" s="345">
        <v>0</v>
      </c>
      <c r="D51" s="345">
        <v>11.3</v>
      </c>
      <c r="E51" s="345">
        <v>0</v>
      </c>
      <c r="F51" s="345">
        <v>0</v>
      </c>
      <c r="G51" s="320">
        <v>56.962999999999994</v>
      </c>
      <c r="H51" s="319">
        <v>46.058</v>
      </c>
      <c r="I51" s="319">
        <v>0</v>
      </c>
      <c r="J51" s="319">
        <v>13</v>
      </c>
      <c r="K51" s="319">
        <v>0</v>
      </c>
      <c r="L51" s="319">
        <v>0</v>
      </c>
      <c r="M51" s="320">
        <v>59.058</v>
      </c>
      <c r="N51" s="192">
        <v>3.6778259572002987E-2</v>
      </c>
      <c r="O51" s="344" t="s">
        <v>410</v>
      </c>
      <c r="P51" s="347" t="s">
        <v>411</v>
      </c>
    </row>
    <row r="52" spans="1:16" ht="128" x14ac:dyDescent="0.35">
      <c r="A52" s="329" t="s">
        <v>412</v>
      </c>
      <c r="B52" s="299">
        <v>1.679</v>
      </c>
      <c r="C52" s="345">
        <v>0</v>
      </c>
      <c r="D52" s="345">
        <v>0</v>
      </c>
      <c r="E52" s="345">
        <v>0</v>
      </c>
      <c r="F52" s="345">
        <v>0</v>
      </c>
      <c r="G52" s="320">
        <v>1.679</v>
      </c>
      <c r="H52" s="319">
        <v>1.62</v>
      </c>
      <c r="I52" s="319">
        <v>0</v>
      </c>
      <c r="J52" s="319">
        <v>0</v>
      </c>
      <c r="K52" s="319">
        <v>0</v>
      </c>
      <c r="L52" s="319">
        <v>0</v>
      </c>
      <c r="M52" s="320">
        <v>1.62</v>
      </c>
      <c r="N52" s="192">
        <v>-3.5139964264443088E-2</v>
      </c>
      <c r="O52" s="344" t="s">
        <v>413</v>
      </c>
      <c r="P52" s="347" t="s">
        <v>414</v>
      </c>
    </row>
    <row r="53" spans="1:16" ht="16" x14ac:dyDescent="0.35">
      <c r="A53" s="322" t="s">
        <v>415</v>
      </c>
      <c r="B53" s="288">
        <v>47.341999999999999</v>
      </c>
      <c r="C53" s="288">
        <v>0</v>
      </c>
      <c r="D53" s="288">
        <v>11.3</v>
      </c>
      <c r="E53" s="288">
        <v>0</v>
      </c>
      <c r="F53" s="288">
        <v>0</v>
      </c>
      <c r="G53" s="288">
        <v>58.641999999999996</v>
      </c>
      <c r="H53" s="288">
        <v>47.677999999999997</v>
      </c>
      <c r="I53" s="288">
        <v>0</v>
      </c>
      <c r="J53" s="288">
        <v>13</v>
      </c>
      <c r="K53" s="288">
        <v>0</v>
      </c>
      <c r="L53" s="288">
        <v>0</v>
      </c>
      <c r="M53" s="288">
        <v>60.677999999999997</v>
      </c>
      <c r="N53" s="200">
        <v>3.4719143276150229E-2</v>
      </c>
      <c r="O53" s="323"/>
      <c r="P53" s="349"/>
    </row>
    <row r="54" spans="1:16" ht="16" x14ac:dyDescent="0.35">
      <c r="A54" s="308"/>
      <c r="B54" s="337"/>
      <c r="C54" s="337"/>
      <c r="D54" s="337"/>
      <c r="E54" s="337"/>
      <c r="F54" s="337"/>
      <c r="G54" s="337"/>
      <c r="H54" s="337"/>
      <c r="I54" s="337"/>
      <c r="J54" s="337"/>
      <c r="K54" s="337"/>
      <c r="L54" s="337"/>
      <c r="M54" s="337"/>
      <c r="N54" s="310"/>
      <c r="O54" s="311"/>
      <c r="P54" s="311"/>
    </row>
    <row r="55" spans="1:16" ht="32" x14ac:dyDescent="0.35">
      <c r="A55" s="315" t="s">
        <v>416</v>
      </c>
      <c r="B55" s="166"/>
      <c r="C55" s="166"/>
      <c r="D55" s="166"/>
      <c r="E55" s="166"/>
      <c r="F55" s="166"/>
      <c r="G55" s="166"/>
      <c r="H55" s="166"/>
      <c r="I55" s="166"/>
      <c r="J55" s="166"/>
      <c r="K55" s="166"/>
      <c r="L55" s="166"/>
      <c r="M55" s="166"/>
      <c r="N55" s="316"/>
      <c r="O55" s="317"/>
      <c r="P55" s="357"/>
    </row>
    <row r="56" spans="1:16" ht="80" x14ac:dyDescent="0.35">
      <c r="A56" s="358" t="s">
        <v>416</v>
      </c>
      <c r="B56" s="319">
        <v>7.1159999999999997</v>
      </c>
      <c r="C56" s="359">
        <v>0.151</v>
      </c>
      <c r="D56" s="359">
        <v>1.456</v>
      </c>
      <c r="E56" s="359">
        <v>0</v>
      </c>
      <c r="F56" s="359">
        <v>0</v>
      </c>
      <c r="G56" s="320">
        <v>8.722999999999999</v>
      </c>
      <c r="H56" s="319">
        <v>7.2750000000000004</v>
      </c>
      <c r="I56" s="319">
        <v>0.16999999999999998</v>
      </c>
      <c r="J56" s="319">
        <v>0</v>
      </c>
      <c r="K56" s="319">
        <v>0</v>
      </c>
      <c r="L56" s="319">
        <v>0</v>
      </c>
      <c r="M56" s="320">
        <v>7.4450000000000003</v>
      </c>
      <c r="N56" s="192">
        <v>-0.14650922847644146</v>
      </c>
      <c r="O56" s="318" t="s">
        <v>417</v>
      </c>
      <c r="P56" s="321" t="s">
        <v>418</v>
      </c>
    </row>
    <row r="57" spans="1:16" ht="32" x14ac:dyDescent="0.35">
      <c r="A57" s="322" t="s">
        <v>419</v>
      </c>
      <c r="B57" s="288">
        <v>7.1159999999999997</v>
      </c>
      <c r="C57" s="288">
        <v>0.151</v>
      </c>
      <c r="D57" s="288">
        <v>1.456</v>
      </c>
      <c r="E57" s="288">
        <v>0</v>
      </c>
      <c r="F57" s="288">
        <v>0</v>
      </c>
      <c r="G57" s="288">
        <v>8.722999999999999</v>
      </c>
      <c r="H57" s="288">
        <v>7.2750000000000004</v>
      </c>
      <c r="I57" s="288">
        <v>0.16999999999999998</v>
      </c>
      <c r="J57" s="288">
        <v>0</v>
      </c>
      <c r="K57" s="288">
        <v>0</v>
      </c>
      <c r="L57" s="288">
        <v>0</v>
      </c>
      <c r="M57" s="288">
        <v>7.4450000000000003</v>
      </c>
      <c r="N57" s="200">
        <v>-0.14650922847644146</v>
      </c>
      <c r="O57" s="323"/>
      <c r="P57" s="349"/>
    </row>
    <row r="58" spans="1:16" ht="16" x14ac:dyDescent="0.35">
      <c r="A58" s="308"/>
      <c r="B58" s="337"/>
      <c r="C58" s="337"/>
      <c r="D58" s="337"/>
      <c r="E58" s="337"/>
      <c r="F58" s="337"/>
      <c r="G58" s="337"/>
      <c r="H58" s="337"/>
      <c r="I58" s="337"/>
      <c r="J58" s="337"/>
      <c r="K58" s="337"/>
      <c r="L58" s="337"/>
      <c r="M58" s="337"/>
      <c r="N58" s="351"/>
      <c r="O58" s="360"/>
      <c r="P58" s="311"/>
    </row>
    <row r="59" spans="1:16" ht="16" x14ac:dyDescent="0.35">
      <c r="A59" s="315" t="s">
        <v>420</v>
      </c>
      <c r="B59" s="166"/>
      <c r="C59" s="166"/>
      <c r="D59" s="166"/>
      <c r="E59" s="166"/>
      <c r="F59" s="166"/>
      <c r="G59" s="166"/>
      <c r="H59" s="166"/>
      <c r="I59" s="166"/>
      <c r="J59" s="166"/>
      <c r="K59" s="166"/>
      <c r="L59" s="166"/>
      <c r="M59" s="166"/>
      <c r="N59" s="316"/>
      <c r="O59" s="317"/>
      <c r="P59" s="357"/>
    </row>
    <row r="60" spans="1:16" ht="32" x14ac:dyDescent="0.35">
      <c r="A60" s="358" t="s">
        <v>421</v>
      </c>
      <c r="B60" s="319">
        <v>-2.0910000000000002</v>
      </c>
      <c r="C60" s="359">
        <v>2.6</v>
      </c>
      <c r="D60" s="359">
        <v>1</v>
      </c>
      <c r="E60" s="359">
        <v>0</v>
      </c>
      <c r="F60" s="359">
        <v>0</v>
      </c>
      <c r="G60" s="320">
        <v>1.5089999999999999</v>
      </c>
      <c r="H60" s="319">
        <v>-2.0910000000000002</v>
      </c>
      <c r="I60" s="319">
        <v>2.9</v>
      </c>
      <c r="J60" s="319">
        <v>0.2</v>
      </c>
      <c r="K60" s="319">
        <v>0</v>
      </c>
      <c r="L60" s="319">
        <v>0</v>
      </c>
      <c r="M60" s="320">
        <v>1.0089999999999997</v>
      </c>
      <c r="N60" s="192">
        <v>-0.33134526176275697</v>
      </c>
      <c r="O60" s="318" t="s">
        <v>422</v>
      </c>
      <c r="P60" s="321" t="s">
        <v>423</v>
      </c>
    </row>
    <row r="61" spans="1:16" ht="16" x14ac:dyDescent="0.35">
      <c r="A61" s="322" t="s">
        <v>424</v>
      </c>
      <c r="B61" s="288">
        <v>-2.0910000000000002</v>
      </c>
      <c r="C61" s="288">
        <v>2.6</v>
      </c>
      <c r="D61" s="288">
        <v>1</v>
      </c>
      <c r="E61" s="288">
        <v>0</v>
      </c>
      <c r="F61" s="288">
        <v>0</v>
      </c>
      <c r="G61" s="288">
        <v>1.5089999999999999</v>
      </c>
      <c r="H61" s="288">
        <v>-2.0910000000000002</v>
      </c>
      <c r="I61" s="288">
        <v>2.9</v>
      </c>
      <c r="J61" s="288">
        <v>0.2</v>
      </c>
      <c r="K61" s="288">
        <v>0</v>
      </c>
      <c r="L61" s="288">
        <v>0</v>
      </c>
      <c r="M61" s="288">
        <v>1.0089999999999997</v>
      </c>
      <c r="N61" s="200">
        <v>-0.33134526176275697</v>
      </c>
      <c r="O61" s="323"/>
      <c r="P61" s="349"/>
    </row>
    <row r="62" spans="1:16" ht="16" x14ac:dyDescent="0.35">
      <c r="A62" s="332" t="s">
        <v>425</v>
      </c>
      <c r="B62" s="333">
        <v>52.366999999999997</v>
      </c>
      <c r="C62" s="333">
        <v>2.7509999999999999</v>
      </c>
      <c r="D62" s="333">
        <v>13.756</v>
      </c>
      <c r="E62" s="333">
        <v>0</v>
      </c>
      <c r="F62" s="333">
        <v>0</v>
      </c>
      <c r="G62" s="333">
        <v>68.873999999999995</v>
      </c>
      <c r="H62" s="333">
        <v>52.861999999999995</v>
      </c>
      <c r="I62" s="333">
        <v>3.07</v>
      </c>
      <c r="J62" s="333">
        <v>13.2</v>
      </c>
      <c r="K62" s="333">
        <v>0</v>
      </c>
      <c r="L62" s="333">
        <v>0</v>
      </c>
      <c r="M62" s="333">
        <v>69.132000000000005</v>
      </c>
      <c r="N62" s="334">
        <v>3.7459709033889391E-3</v>
      </c>
      <c r="O62" s="335"/>
      <c r="P62" s="336"/>
    </row>
    <row r="63" spans="1:16" ht="16" x14ac:dyDescent="0.35">
      <c r="A63" s="311"/>
      <c r="B63" s="337"/>
      <c r="C63" s="337"/>
      <c r="D63" s="337"/>
      <c r="E63" s="337"/>
      <c r="F63" s="337"/>
      <c r="G63" s="337"/>
      <c r="H63" s="337"/>
      <c r="I63" s="337"/>
      <c r="J63" s="337"/>
      <c r="K63" s="337"/>
      <c r="L63" s="337"/>
      <c r="M63" s="337"/>
      <c r="N63" s="310"/>
      <c r="O63" s="311"/>
      <c r="P63" s="311"/>
    </row>
    <row r="64" spans="1:16" ht="16" x14ac:dyDescent="0.35">
      <c r="A64" s="361" t="s">
        <v>426</v>
      </c>
      <c r="B64" s="362"/>
      <c r="C64" s="362"/>
      <c r="D64" s="362"/>
      <c r="E64" s="362"/>
      <c r="F64" s="362"/>
      <c r="G64" s="362"/>
      <c r="H64" s="362"/>
      <c r="I64" s="362"/>
      <c r="J64" s="362"/>
      <c r="K64" s="362"/>
      <c r="L64" s="362"/>
      <c r="M64" s="362"/>
      <c r="N64" s="363"/>
      <c r="O64" s="364"/>
      <c r="P64" s="365"/>
    </row>
    <row r="65" spans="1:16" ht="16" x14ac:dyDescent="0.35">
      <c r="A65" s="311"/>
      <c r="B65" s="337"/>
      <c r="C65" s="337"/>
      <c r="D65" s="337"/>
      <c r="E65" s="337"/>
      <c r="F65" s="337"/>
      <c r="G65" s="337"/>
      <c r="H65" s="352"/>
      <c r="I65" s="352"/>
      <c r="J65" s="352"/>
      <c r="K65" s="352"/>
      <c r="L65" s="352"/>
      <c r="M65" s="352"/>
      <c r="N65" s="353"/>
      <c r="O65" s="311"/>
      <c r="P65" s="311"/>
    </row>
    <row r="66" spans="1:16" ht="48" x14ac:dyDescent="0.35">
      <c r="A66" s="366" t="s">
        <v>427</v>
      </c>
      <c r="B66" s="299">
        <v>6.5679999999999996</v>
      </c>
      <c r="C66" s="356">
        <v>0</v>
      </c>
      <c r="D66" s="356">
        <v>0</v>
      </c>
      <c r="E66" s="356">
        <v>0</v>
      </c>
      <c r="F66" s="356">
        <v>0</v>
      </c>
      <c r="G66" s="367">
        <v>6.5679999999999996</v>
      </c>
      <c r="H66" s="319">
        <v>6.6509999999999998</v>
      </c>
      <c r="I66" s="319">
        <v>0</v>
      </c>
      <c r="J66" s="319">
        <v>0</v>
      </c>
      <c r="K66" s="319">
        <v>0</v>
      </c>
      <c r="L66" s="319">
        <v>0</v>
      </c>
      <c r="M66" s="320">
        <v>6.6509999999999998</v>
      </c>
      <c r="N66" s="192">
        <v>1.263702801461635E-2</v>
      </c>
      <c r="O66" s="344" t="s">
        <v>428</v>
      </c>
      <c r="P66" s="330" t="s">
        <v>1878</v>
      </c>
    </row>
    <row r="67" spans="1:16" ht="128" x14ac:dyDescent="0.35">
      <c r="A67" s="311" t="s">
        <v>429</v>
      </c>
      <c r="B67" s="299">
        <v>0.89200000000000002</v>
      </c>
      <c r="C67" s="356">
        <v>0</v>
      </c>
      <c r="D67" s="356">
        <v>0</v>
      </c>
      <c r="E67" s="356">
        <v>0</v>
      </c>
      <c r="F67" s="356">
        <v>0</v>
      </c>
      <c r="G67" s="367">
        <v>0.89200000000000002</v>
      </c>
      <c r="H67" s="319">
        <v>0.81799999999999995</v>
      </c>
      <c r="I67" s="319">
        <v>0</v>
      </c>
      <c r="J67" s="319">
        <v>0</v>
      </c>
      <c r="K67" s="319">
        <v>0</v>
      </c>
      <c r="L67" s="319">
        <v>0</v>
      </c>
      <c r="M67" s="320">
        <v>0.81799999999999995</v>
      </c>
      <c r="N67" s="192">
        <v>-8.2959641255605454E-2</v>
      </c>
      <c r="O67" s="344" t="s">
        <v>430</v>
      </c>
      <c r="P67" s="330" t="s">
        <v>431</v>
      </c>
    </row>
    <row r="68" spans="1:16" ht="32" x14ac:dyDescent="0.35">
      <c r="A68" s="332" t="s">
        <v>432</v>
      </c>
      <c r="B68" s="333">
        <v>7.46</v>
      </c>
      <c r="C68" s="333">
        <v>0</v>
      </c>
      <c r="D68" s="333">
        <v>0</v>
      </c>
      <c r="E68" s="333">
        <v>0</v>
      </c>
      <c r="F68" s="333">
        <v>0</v>
      </c>
      <c r="G68" s="333">
        <v>7.46</v>
      </c>
      <c r="H68" s="333">
        <v>7.4689999999999994</v>
      </c>
      <c r="I68" s="333">
        <v>0</v>
      </c>
      <c r="J68" s="333">
        <v>0</v>
      </c>
      <c r="K68" s="333">
        <v>0</v>
      </c>
      <c r="L68" s="333">
        <v>0</v>
      </c>
      <c r="M68" s="333">
        <v>7.4689999999999994</v>
      </c>
      <c r="N68" s="334">
        <v>1.206434316353814E-3</v>
      </c>
      <c r="O68" s="368"/>
      <c r="P68" s="336"/>
    </row>
    <row r="69" spans="1:16" ht="16" x14ac:dyDescent="0.35">
      <c r="A69" s="311"/>
      <c r="B69" s="337"/>
      <c r="C69" s="337"/>
      <c r="D69" s="337"/>
      <c r="E69" s="337"/>
      <c r="F69" s="337"/>
      <c r="G69" s="337"/>
      <c r="H69" s="337"/>
      <c r="I69" s="337"/>
      <c r="J69" s="337"/>
      <c r="K69" s="337"/>
      <c r="L69" s="337"/>
      <c r="M69" s="337"/>
      <c r="N69" s="310"/>
      <c r="O69" s="311"/>
      <c r="P69" s="311"/>
    </row>
    <row r="70" spans="1:16" ht="16" x14ac:dyDescent="0.35">
      <c r="A70" s="338" t="s">
        <v>433</v>
      </c>
      <c r="B70" s="143"/>
      <c r="C70" s="143"/>
      <c r="D70" s="143"/>
      <c r="E70" s="143"/>
      <c r="F70" s="143"/>
      <c r="G70" s="143"/>
      <c r="H70" s="143"/>
      <c r="I70" s="143"/>
      <c r="J70" s="143"/>
      <c r="K70" s="143"/>
      <c r="L70" s="143"/>
      <c r="M70" s="143"/>
      <c r="N70" s="339"/>
      <c r="O70" s="314"/>
      <c r="P70" s="314"/>
    </row>
    <row r="71" spans="1:16" ht="16" x14ac:dyDescent="0.35">
      <c r="A71" s="311"/>
      <c r="B71" s="337"/>
      <c r="C71" s="337"/>
      <c r="D71" s="337"/>
      <c r="E71" s="337"/>
      <c r="F71" s="337"/>
      <c r="G71" s="337"/>
      <c r="H71" s="352"/>
      <c r="I71" s="352"/>
      <c r="J71" s="352"/>
      <c r="K71" s="352"/>
      <c r="L71" s="352"/>
      <c r="M71" s="352"/>
      <c r="N71" s="353"/>
      <c r="O71" s="311"/>
      <c r="P71" s="311"/>
    </row>
    <row r="72" spans="1:16" ht="32" x14ac:dyDescent="0.35">
      <c r="A72" s="366" t="s">
        <v>434</v>
      </c>
      <c r="B72" s="299">
        <v>507.4</v>
      </c>
      <c r="C72" s="356">
        <v>0</v>
      </c>
      <c r="D72" s="356">
        <v>0</v>
      </c>
      <c r="E72" s="356">
        <v>0</v>
      </c>
      <c r="F72" s="356">
        <v>0</v>
      </c>
      <c r="G72" s="367">
        <v>507.4</v>
      </c>
      <c r="H72" s="319">
        <v>504.4</v>
      </c>
      <c r="I72" s="319">
        <v>0</v>
      </c>
      <c r="J72" s="319">
        <v>0</v>
      </c>
      <c r="K72" s="319">
        <v>0</v>
      </c>
      <c r="L72" s="319">
        <v>0</v>
      </c>
      <c r="M72" s="320">
        <v>504.4</v>
      </c>
      <c r="N72" s="192">
        <v>-5.912495072920773E-3</v>
      </c>
      <c r="O72" s="344" t="s">
        <v>435</v>
      </c>
      <c r="P72" s="347" t="s">
        <v>436</v>
      </c>
    </row>
    <row r="73" spans="1:16" ht="32" x14ac:dyDescent="0.35">
      <c r="A73" s="366" t="s">
        <v>437</v>
      </c>
      <c r="B73" s="299">
        <v>118.2</v>
      </c>
      <c r="C73" s="356">
        <v>0</v>
      </c>
      <c r="D73" s="356">
        <v>0</v>
      </c>
      <c r="E73" s="356">
        <v>0</v>
      </c>
      <c r="F73" s="356">
        <v>0</v>
      </c>
      <c r="G73" s="320">
        <v>118.2</v>
      </c>
      <c r="H73" s="319">
        <v>109.2</v>
      </c>
      <c r="I73" s="319">
        <v>0</v>
      </c>
      <c r="J73" s="319">
        <v>0</v>
      </c>
      <c r="K73" s="319">
        <v>0</v>
      </c>
      <c r="L73" s="319">
        <v>0</v>
      </c>
      <c r="M73" s="320">
        <v>109.2</v>
      </c>
      <c r="N73" s="192">
        <v>-7.6142131979695424E-2</v>
      </c>
      <c r="O73" s="344" t="s">
        <v>438</v>
      </c>
      <c r="P73" s="347" t="s">
        <v>436</v>
      </c>
    </row>
    <row r="74" spans="1:16" ht="16" x14ac:dyDescent="0.35">
      <c r="A74" s="332" t="s">
        <v>439</v>
      </c>
      <c r="B74" s="333">
        <v>625.6</v>
      </c>
      <c r="C74" s="333">
        <v>0</v>
      </c>
      <c r="D74" s="333">
        <v>0</v>
      </c>
      <c r="E74" s="333">
        <v>0</v>
      </c>
      <c r="F74" s="333">
        <v>0</v>
      </c>
      <c r="G74" s="333">
        <v>625.6</v>
      </c>
      <c r="H74" s="333">
        <v>613.6</v>
      </c>
      <c r="I74" s="333">
        <v>0</v>
      </c>
      <c r="J74" s="333">
        <v>0</v>
      </c>
      <c r="K74" s="333">
        <v>0</v>
      </c>
      <c r="L74" s="333">
        <v>0</v>
      </c>
      <c r="M74" s="333">
        <v>613.6</v>
      </c>
      <c r="N74" s="334">
        <v>-1.9181585677749361E-2</v>
      </c>
      <c r="O74" s="335"/>
      <c r="P74" s="336"/>
    </row>
    <row r="75" spans="1:16" ht="16" x14ac:dyDescent="0.35">
      <c r="A75" s="311"/>
      <c r="B75" s="340"/>
      <c r="C75" s="340"/>
      <c r="D75" s="340"/>
      <c r="E75" s="340"/>
      <c r="F75" s="340"/>
      <c r="G75" s="340"/>
      <c r="H75" s="340"/>
      <c r="I75" s="340"/>
      <c r="J75" s="340"/>
      <c r="K75" s="340"/>
      <c r="L75" s="340"/>
      <c r="M75" s="340"/>
      <c r="N75" s="351"/>
      <c r="O75" s="311"/>
      <c r="P75" s="311"/>
    </row>
    <row r="76" spans="1:16" ht="16" x14ac:dyDescent="0.35">
      <c r="A76" s="338" t="s">
        <v>440</v>
      </c>
      <c r="B76" s="143"/>
      <c r="C76" s="143"/>
      <c r="D76" s="143"/>
      <c r="E76" s="143"/>
      <c r="F76" s="143"/>
      <c r="G76" s="143"/>
      <c r="H76" s="143"/>
      <c r="I76" s="143"/>
      <c r="J76" s="143"/>
      <c r="K76" s="143"/>
      <c r="L76" s="143"/>
      <c r="M76" s="143"/>
      <c r="N76" s="339"/>
      <c r="O76" s="314"/>
      <c r="P76" s="314"/>
    </row>
    <row r="77" spans="1:16" ht="80" x14ac:dyDescent="0.35">
      <c r="A77" s="354" t="s">
        <v>0</v>
      </c>
      <c r="B77" s="299">
        <v>436.55799999999999</v>
      </c>
      <c r="C77" s="356">
        <v>44.720999999999997</v>
      </c>
      <c r="D77" s="356">
        <v>0</v>
      </c>
      <c r="E77" s="356">
        <v>0</v>
      </c>
      <c r="F77" s="356">
        <v>0</v>
      </c>
      <c r="G77" s="320">
        <v>481.279</v>
      </c>
      <c r="H77" s="319">
        <v>481.5</v>
      </c>
      <c r="I77" s="319">
        <v>44.55</v>
      </c>
      <c r="J77" s="319">
        <v>0</v>
      </c>
      <c r="K77" s="319">
        <v>0</v>
      </c>
      <c r="L77" s="319">
        <v>0</v>
      </c>
      <c r="M77" s="320">
        <v>526.04999999999995</v>
      </c>
      <c r="N77" s="192">
        <v>9.3025043685679112E-2</v>
      </c>
      <c r="O77" s="329" t="s">
        <v>441</v>
      </c>
      <c r="P77" s="347" t="s">
        <v>442</v>
      </c>
    </row>
    <row r="78" spans="1:16" ht="32" x14ac:dyDescent="0.35">
      <c r="A78" s="354" t="s">
        <v>443</v>
      </c>
      <c r="B78" s="356">
        <v>0</v>
      </c>
      <c r="C78" s="356">
        <v>0</v>
      </c>
      <c r="D78" s="356">
        <v>167</v>
      </c>
      <c r="E78" s="356">
        <v>0</v>
      </c>
      <c r="F78" s="356">
        <v>0</v>
      </c>
      <c r="G78" s="320">
        <v>167</v>
      </c>
      <c r="H78" s="319">
        <v>0</v>
      </c>
      <c r="I78" s="319">
        <v>0</v>
      </c>
      <c r="J78" s="319">
        <v>355</v>
      </c>
      <c r="K78" s="319">
        <v>0</v>
      </c>
      <c r="L78" s="319">
        <v>0</v>
      </c>
      <c r="M78" s="320">
        <v>355</v>
      </c>
      <c r="N78" s="192">
        <v>1.125748502994012</v>
      </c>
      <c r="O78" s="344" t="s">
        <v>444</v>
      </c>
      <c r="P78" s="347" t="s">
        <v>445</v>
      </c>
    </row>
    <row r="79" spans="1:16" ht="32" x14ac:dyDescent="0.35">
      <c r="A79" s="332" t="s">
        <v>446</v>
      </c>
      <c r="B79" s="333">
        <v>436.55799999999999</v>
      </c>
      <c r="C79" s="333">
        <v>44.720999999999997</v>
      </c>
      <c r="D79" s="333">
        <v>167</v>
      </c>
      <c r="E79" s="333">
        <v>0</v>
      </c>
      <c r="F79" s="333">
        <v>0</v>
      </c>
      <c r="G79" s="333">
        <v>648.279</v>
      </c>
      <c r="H79" s="333">
        <v>481.5</v>
      </c>
      <c r="I79" s="333">
        <v>44.55</v>
      </c>
      <c r="J79" s="333">
        <v>355</v>
      </c>
      <c r="K79" s="333">
        <v>0</v>
      </c>
      <c r="L79" s="333">
        <v>0</v>
      </c>
      <c r="M79" s="333">
        <v>881.05</v>
      </c>
      <c r="N79" s="334">
        <v>0.35905991093340978</v>
      </c>
      <c r="O79" s="335"/>
      <c r="P79" s="336"/>
    </row>
    <row r="80" spans="1:16" ht="16" x14ac:dyDescent="0.35">
      <c r="A80" s="308"/>
      <c r="B80" s="340"/>
      <c r="C80" s="340"/>
      <c r="D80" s="340"/>
      <c r="E80" s="340"/>
      <c r="F80" s="340"/>
      <c r="G80" s="340"/>
      <c r="H80" s="340"/>
      <c r="I80" s="340"/>
      <c r="J80" s="340"/>
      <c r="K80" s="340"/>
      <c r="L80" s="340"/>
      <c r="M80" s="340"/>
      <c r="N80" s="351"/>
      <c r="O80" s="311"/>
      <c r="P80" s="311"/>
    </row>
    <row r="81" spans="1:17" ht="32" x14ac:dyDescent="0.35">
      <c r="A81" s="338" t="s">
        <v>447</v>
      </c>
      <c r="B81" s="143"/>
      <c r="C81" s="143"/>
      <c r="D81" s="143"/>
      <c r="E81" s="143"/>
      <c r="F81" s="143"/>
      <c r="G81" s="143"/>
      <c r="H81" s="143"/>
      <c r="I81" s="143"/>
      <c r="J81" s="143"/>
      <c r="K81" s="143"/>
      <c r="L81" s="143"/>
      <c r="M81" s="143"/>
      <c r="N81" s="339"/>
      <c r="O81" s="314"/>
      <c r="P81" s="314"/>
    </row>
    <row r="82" spans="1:17" ht="16" x14ac:dyDescent="0.35">
      <c r="A82" s="308"/>
      <c r="B82" s="340"/>
      <c r="C82" s="340"/>
      <c r="D82" s="340"/>
      <c r="E82" s="340"/>
      <c r="F82" s="340"/>
      <c r="G82" s="340"/>
      <c r="H82" s="340"/>
      <c r="I82" s="340"/>
      <c r="J82" s="340"/>
      <c r="K82" s="340"/>
      <c r="L82" s="340"/>
      <c r="M82" s="340"/>
      <c r="N82" s="351"/>
      <c r="O82" s="311"/>
      <c r="P82" s="311"/>
    </row>
    <row r="83" spans="1:17" ht="16" x14ac:dyDescent="0.35">
      <c r="A83" s="349" t="s">
        <v>448</v>
      </c>
      <c r="B83" s="369"/>
      <c r="C83" s="369"/>
      <c r="D83" s="369"/>
      <c r="E83" s="369"/>
      <c r="F83" s="369"/>
      <c r="G83" s="369"/>
      <c r="H83" s="369"/>
      <c r="I83" s="369"/>
      <c r="J83" s="369"/>
      <c r="K83" s="369"/>
      <c r="L83" s="369"/>
      <c r="M83" s="369"/>
      <c r="N83" s="370"/>
      <c r="O83" s="317" t="s">
        <v>237</v>
      </c>
      <c r="P83" s="317" t="s">
        <v>237</v>
      </c>
    </row>
    <row r="84" spans="1:17" ht="48" x14ac:dyDescent="0.35">
      <c r="A84" s="329" t="s">
        <v>449</v>
      </c>
      <c r="B84" s="299">
        <v>4.0090000000000003</v>
      </c>
      <c r="C84" s="299">
        <v>0</v>
      </c>
      <c r="D84" s="299">
        <v>0</v>
      </c>
      <c r="E84" s="299">
        <v>0</v>
      </c>
      <c r="F84" s="299">
        <v>0</v>
      </c>
      <c r="G84" s="320">
        <v>4.0090000000000003</v>
      </c>
      <c r="H84" s="319">
        <v>4.7560000000000002</v>
      </c>
      <c r="I84" s="319">
        <v>0</v>
      </c>
      <c r="J84" s="319">
        <v>0</v>
      </c>
      <c r="K84" s="319">
        <v>0</v>
      </c>
      <c r="L84" s="319">
        <v>0</v>
      </c>
      <c r="M84" s="320">
        <v>4.7560000000000002</v>
      </c>
      <c r="N84" s="192">
        <v>0.18633075579945119</v>
      </c>
      <c r="O84" s="329" t="s">
        <v>450</v>
      </c>
      <c r="P84" s="330" t="s">
        <v>451</v>
      </c>
    </row>
    <row r="85" spans="1:17" s="373" customFormat="1" ht="16" x14ac:dyDescent="0.35">
      <c r="A85" s="33" t="s">
        <v>452</v>
      </c>
      <c r="B85" s="367">
        <v>4.0090000000000003</v>
      </c>
      <c r="C85" s="367">
        <v>0</v>
      </c>
      <c r="D85" s="367">
        <v>0</v>
      </c>
      <c r="E85" s="367">
        <v>0</v>
      </c>
      <c r="F85" s="367">
        <v>0</v>
      </c>
      <c r="G85" s="367">
        <v>4.0090000000000003</v>
      </c>
      <c r="H85" s="367">
        <v>4.7560000000000002</v>
      </c>
      <c r="I85" s="367">
        <v>0</v>
      </c>
      <c r="J85" s="367">
        <v>0</v>
      </c>
      <c r="K85" s="367">
        <v>0</v>
      </c>
      <c r="L85" s="367">
        <v>0</v>
      </c>
      <c r="M85" s="367">
        <v>4.7560000000000002</v>
      </c>
      <c r="N85" s="371">
        <v>0.18633075579945119</v>
      </c>
      <c r="O85" s="323"/>
      <c r="P85" s="324"/>
      <c r="Q85" s="126"/>
    </row>
    <row r="86" spans="1:17" s="377" customFormat="1" ht="16" x14ac:dyDescent="0.35">
      <c r="A86" s="374"/>
      <c r="B86" s="375"/>
      <c r="C86" s="375"/>
      <c r="D86" s="375"/>
      <c r="E86" s="375"/>
      <c r="F86" s="375"/>
      <c r="G86" s="375"/>
      <c r="H86" s="375"/>
      <c r="I86" s="375"/>
      <c r="J86" s="375"/>
      <c r="K86" s="375"/>
      <c r="L86" s="375"/>
      <c r="M86" s="375"/>
      <c r="N86" s="376"/>
      <c r="O86" s="112"/>
      <c r="P86" s="112"/>
      <c r="Q86" s="126"/>
    </row>
    <row r="87" spans="1:17" ht="16" x14ac:dyDescent="0.35">
      <c r="A87" s="374" t="s">
        <v>453</v>
      </c>
      <c r="B87" s="369"/>
      <c r="C87" s="369"/>
      <c r="D87" s="369"/>
      <c r="E87" s="369"/>
      <c r="F87" s="369"/>
      <c r="G87" s="369"/>
      <c r="H87" s="369"/>
      <c r="I87" s="369"/>
      <c r="J87" s="369"/>
      <c r="K87" s="369"/>
      <c r="L87" s="369"/>
      <c r="M87" s="369"/>
      <c r="N87" s="370"/>
      <c r="O87" s="317" t="s">
        <v>237</v>
      </c>
      <c r="P87" s="317" t="s">
        <v>237</v>
      </c>
    </row>
    <row r="88" spans="1:17" ht="32" x14ac:dyDescent="0.35">
      <c r="A88" s="329" t="s">
        <v>453</v>
      </c>
      <c r="B88" s="299">
        <v>4.0549999999999997</v>
      </c>
      <c r="C88" s="299">
        <v>0</v>
      </c>
      <c r="D88" s="299">
        <v>0</v>
      </c>
      <c r="E88" s="299">
        <v>0</v>
      </c>
      <c r="F88" s="299">
        <v>0</v>
      </c>
      <c r="G88" s="320">
        <v>4.0549999999999997</v>
      </c>
      <c r="H88" s="319">
        <v>4.0549999999999997</v>
      </c>
      <c r="I88" s="319">
        <v>0</v>
      </c>
      <c r="J88" s="319">
        <v>0</v>
      </c>
      <c r="K88" s="319">
        <v>0</v>
      </c>
      <c r="L88" s="319">
        <v>0</v>
      </c>
      <c r="M88" s="320">
        <v>4.0549999999999997</v>
      </c>
      <c r="N88" s="192">
        <v>0</v>
      </c>
      <c r="O88" s="329" t="s">
        <v>454</v>
      </c>
      <c r="P88" s="330" t="s">
        <v>74</v>
      </c>
    </row>
    <row r="89" spans="1:17" ht="32" x14ac:dyDescent="0.35">
      <c r="A89" s="329" t="s">
        <v>455</v>
      </c>
      <c r="B89" s="299">
        <v>1.0760000000000001</v>
      </c>
      <c r="C89" s="299">
        <v>0</v>
      </c>
      <c r="D89" s="299">
        <v>0</v>
      </c>
      <c r="E89" s="299">
        <v>0</v>
      </c>
      <c r="F89" s="299">
        <v>0</v>
      </c>
      <c r="G89" s="320">
        <v>1.0760000000000001</v>
      </c>
      <c r="H89" s="319">
        <v>1.0760000000000001</v>
      </c>
      <c r="I89" s="319">
        <v>0</v>
      </c>
      <c r="J89" s="319">
        <v>0</v>
      </c>
      <c r="K89" s="319">
        <v>0</v>
      </c>
      <c r="L89" s="319">
        <v>0</v>
      </c>
      <c r="M89" s="320">
        <v>1.0760000000000001</v>
      </c>
      <c r="N89" s="192">
        <v>0</v>
      </c>
      <c r="O89" s="329" t="s">
        <v>454</v>
      </c>
      <c r="P89" s="330" t="s">
        <v>74</v>
      </c>
    </row>
    <row r="90" spans="1:17" s="373" customFormat="1" ht="16" x14ac:dyDescent="0.35">
      <c r="A90" s="33" t="s">
        <v>456</v>
      </c>
      <c r="B90" s="367">
        <v>5.1310000000000002</v>
      </c>
      <c r="C90" s="367">
        <v>0</v>
      </c>
      <c r="D90" s="367">
        <v>0</v>
      </c>
      <c r="E90" s="367">
        <v>0</v>
      </c>
      <c r="F90" s="367">
        <v>0</v>
      </c>
      <c r="G90" s="367">
        <v>5.1310000000000002</v>
      </c>
      <c r="H90" s="367">
        <v>5.1310000000000002</v>
      </c>
      <c r="I90" s="367">
        <v>0</v>
      </c>
      <c r="J90" s="367">
        <v>0</v>
      </c>
      <c r="K90" s="367">
        <v>0</v>
      </c>
      <c r="L90" s="367">
        <v>0</v>
      </c>
      <c r="M90" s="367">
        <v>5.1310000000000002</v>
      </c>
      <c r="N90" s="371">
        <v>0</v>
      </c>
      <c r="O90" s="323"/>
      <c r="P90" s="324"/>
      <c r="Q90" s="126"/>
    </row>
    <row r="91" spans="1:17" ht="32" x14ac:dyDescent="0.35">
      <c r="A91" s="332" t="s">
        <v>457</v>
      </c>
      <c r="B91" s="333">
        <v>9.14</v>
      </c>
      <c r="C91" s="333">
        <v>0</v>
      </c>
      <c r="D91" s="333">
        <v>0</v>
      </c>
      <c r="E91" s="333">
        <v>0</v>
      </c>
      <c r="F91" s="333">
        <v>0</v>
      </c>
      <c r="G91" s="333">
        <v>9.14</v>
      </c>
      <c r="H91" s="333">
        <v>9.8870000000000005</v>
      </c>
      <c r="I91" s="333">
        <v>0</v>
      </c>
      <c r="J91" s="333">
        <v>0</v>
      </c>
      <c r="K91" s="333">
        <v>0</v>
      </c>
      <c r="L91" s="333">
        <v>0</v>
      </c>
      <c r="M91" s="333">
        <v>9.8870000000000005</v>
      </c>
      <c r="N91" s="334">
        <v>8.1728665207877443E-2</v>
      </c>
      <c r="O91" s="335"/>
      <c r="P91" s="336"/>
    </row>
    <row r="92" spans="1:17" ht="16" x14ac:dyDescent="0.35">
      <c r="A92" s="378"/>
      <c r="B92" s="379"/>
      <c r="C92" s="379"/>
      <c r="D92" s="379"/>
      <c r="E92" s="379"/>
      <c r="F92" s="379"/>
      <c r="G92" s="380"/>
      <c r="H92" s="380"/>
      <c r="I92" s="380"/>
      <c r="J92" s="380"/>
      <c r="K92" s="380"/>
      <c r="L92" s="380"/>
      <c r="M92" s="380"/>
      <c r="N92" s="381"/>
      <c r="O92" s="344"/>
      <c r="P92" s="347"/>
    </row>
    <row r="93" spans="1:17" ht="16" x14ac:dyDescent="0.35">
      <c r="A93" s="382" t="s">
        <v>458</v>
      </c>
      <c r="B93" s="143"/>
      <c r="C93" s="143"/>
      <c r="D93" s="143"/>
      <c r="E93" s="143"/>
      <c r="F93" s="143"/>
      <c r="G93" s="143"/>
      <c r="H93" s="143"/>
      <c r="I93" s="143"/>
      <c r="J93" s="143"/>
      <c r="K93" s="143"/>
      <c r="L93" s="143"/>
      <c r="M93" s="143"/>
      <c r="N93" s="339"/>
      <c r="O93" s="314"/>
      <c r="P93" s="314"/>
    </row>
    <row r="94" spans="1:17" ht="64" x14ac:dyDescent="0.35">
      <c r="A94" s="328" t="s">
        <v>459</v>
      </c>
      <c r="B94" s="299">
        <v>1.181</v>
      </c>
      <c r="C94" s="299">
        <v>0.23100000000000001</v>
      </c>
      <c r="D94" s="299">
        <v>0</v>
      </c>
      <c r="E94" s="299">
        <v>0</v>
      </c>
      <c r="F94" s="299">
        <v>0</v>
      </c>
      <c r="G94" s="320">
        <v>1.4120000000000001</v>
      </c>
      <c r="H94" s="319">
        <v>1.2</v>
      </c>
      <c r="I94" s="319">
        <v>0.24399999999999999</v>
      </c>
      <c r="J94" s="319">
        <v>0</v>
      </c>
      <c r="K94" s="319">
        <v>0</v>
      </c>
      <c r="L94" s="319">
        <v>0</v>
      </c>
      <c r="M94" s="320">
        <v>1.444</v>
      </c>
      <c r="N94" s="192">
        <v>2.266288951841346E-2</v>
      </c>
      <c r="O94" s="329" t="s">
        <v>460</v>
      </c>
      <c r="P94" s="330" t="s">
        <v>461</v>
      </c>
    </row>
    <row r="95" spans="1:17" ht="144" x14ac:dyDescent="0.35">
      <c r="A95" s="329" t="s">
        <v>462</v>
      </c>
      <c r="B95" s="299">
        <v>0.25800000000000001</v>
      </c>
      <c r="C95" s="299"/>
      <c r="D95" s="299"/>
      <c r="E95" s="299"/>
      <c r="F95" s="299"/>
      <c r="G95" s="320">
        <v>0.25800000000000001</v>
      </c>
      <c r="H95" s="319">
        <v>0.25800000000000001</v>
      </c>
      <c r="I95" s="319">
        <v>0</v>
      </c>
      <c r="J95" s="319">
        <v>0</v>
      </c>
      <c r="K95" s="319">
        <v>0</v>
      </c>
      <c r="L95" s="319">
        <v>0</v>
      </c>
      <c r="M95" s="320">
        <v>0.25800000000000001</v>
      </c>
      <c r="N95" s="192">
        <v>0</v>
      </c>
      <c r="O95" s="329" t="s">
        <v>463</v>
      </c>
      <c r="P95" s="330" t="s">
        <v>74</v>
      </c>
    </row>
    <row r="96" spans="1:17" ht="96" x14ac:dyDescent="0.35">
      <c r="A96" s="329" t="s">
        <v>464</v>
      </c>
      <c r="B96" s="299">
        <v>1.643</v>
      </c>
      <c r="C96" s="299"/>
      <c r="D96" s="299"/>
      <c r="E96" s="299"/>
      <c r="F96" s="299"/>
      <c r="G96" s="320">
        <v>1.643</v>
      </c>
      <c r="H96" s="319">
        <v>1.4430000000000001</v>
      </c>
      <c r="I96" s="319">
        <v>0</v>
      </c>
      <c r="J96" s="319">
        <v>0</v>
      </c>
      <c r="K96" s="319">
        <v>0</v>
      </c>
      <c r="L96" s="319">
        <v>0</v>
      </c>
      <c r="M96" s="320">
        <v>1.4430000000000001</v>
      </c>
      <c r="N96" s="192">
        <v>0</v>
      </c>
      <c r="O96" s="329" t="s">
        <v>465</v>
      </c>
      <c r="P96" s="330" t="s">
        <v>466</v>
      </c>
    </row>
    <row r="97" spans="1:17" ht="112" x14ac:dyDescent="0.35">
      <c r="A97" s="329" t="s">
        <v>467</v>
      </c>
      <c r="B97" s="299">
        <v>0.76500000000000001</v>
      </c>
      <c r="C97" s="299">
        <v>0</v>
      </c>
      <c r="D97" s="299">
        <v>0</v>
      </c>
      <c r="E97" s="299">
        <v>0</v>
      </c>
      <c r="F97" s="299">
        <v>0</v>
      </c>
      <c r="G97" s="320">
        <v>0.76500000000000001</v>
      </c>
      <c r="H97" s="319">
        <v>0.76500000000000001</v>
      </c>
      <c r="I97" s="319">
        <v>0</v>
      </c>
      <c r="J97" s="319">
        <v>0</v>
      </c>
      <c r="K97" s="319">
        <v>0</v>
      </c>
      <c r="L97" s="319">
        <v>0</v>
      </c>
      <c r="M97" s="320">
        <v>0.76500000000000001</v>
      </c>
      <c r="N97" s="192">
        <v>0</v>
      </c>
      <c r="O97" s="329" t="s">
        <v>468</v>
      </c>
      <c r="P97" s="330" t="s">
        <v>74</v>
      </c>
    </row>
    <row r="98" spans="1:17" ht="32" x14ac:dyDescent="0.35">
      <c r="A98" s="328" t="s">
        <v>469</v>
      </c>
      <c r="B98" s="299">
        <v>1.216</v>
      </c>
      <c r="C98" s="299">
        <v>0</v>
      </c>
      <c r="D98" s="299">
        <v>0</v>
      </c>
      <c r="E98" s="299">
        <v>0</v>
      </c>
      <c r="F98" s="299">
        <v>0</v>
      </c>
      <c r="G98" s="320">
        <v>1.216</v>
      </c>
      <c r="H98" s="319">
        <v>1.25</v>
      </c>
      <c r="I98" s="319">
        <v>0</v>
      </c>
      <c r="J98" s="319">
        <v>0</v>
      </c>
      <c r="K98" s="319">
        <v>0</v>
      </c>
      <c r="L98" s="319">
        <v>0</v>
      </c>
      <c r="M98" s="320">
        <v>1.25</v>
      </c>
      <c r="N98" s="192">
        <v>2.7960526315789498E-2</v>
      </c>
      <c r="O98" s="329" t="s">
        <v>470</v>
      </c>
      <c r="P98" s="330" t="s">
        <v>461</v>
      </c>
    </row>
    <row r="99" spans="1:17" ht="32" x14ac:dyDescent="0.35">
      <c r="A99" s="329" t="s">
        <v>471</v>
      </c>
      <c r="B99" s="299">
        <v>0.47799999999999998</v>
      </c>
      <c r="C99" s="299">
        <v>0</v>
      </c>
      <c r="D99" s="299">
        <v>0</v>
      </c>
      <c r="E99" s="299">
        <v>0</v>
      </c>
      <c r="F99" s="299">
        <v>0</v>
      </c>
      <c r="G99" s="320">
        <v>0.47799999999999998</v>
      </c>
      <c r="H99" s="319">
        <v>0.5</v>
      </c>
      <c r="I99" s="319">
        <v>0</v>
      </c>
      <c r="J99" s="319">
        <v>0</v>
      </c>
      <c r="K99" s="319">
        <v>0</v>
      </c>
      <c r="L99" s="319">
        <v>0</v>
      </c>
      <c r="M99" s="320">
        <v>0.5</v>
      </c>
      <c r="N99" s="192">
        <v>4.6025104602510504E-2</v>
      </c>
      <c r="O99" s="329" t="s">
        <v>472</v>
      </c>
      <c r="P99" s="330" t="s">
        <v>473</v>
      </c>
    </row>
    <row r="100" spans="1:17" ht="32" x14ac:dyDescent="0.35">
      <c r="A100" s="329" t="s">
        <v>474</v>
      </c>
      <c r="B100" s="299">
        <v>7.2149999999999999</v>
      </c>
      <c r="C100" s="299">
        <v>0</v>
      </c>
      <c r="D100" s="299">
        <v>0</v>
      </c>
      <c r="E100" s="299">
        <v>0</v>
      </c>
      <c r="F100" s="299">
        <v>0</v>
      </c>
      <c r="G100" s="320">
        <v>7.2149999999999999</v>
      </c>
      <c r="H100" s="319">
        <v>8.08</v>
      </c>
      <c r="I100" s="319">
        <v>0</v>
      </c>
      <c r="J100" s="319">
        <v>0</v>
      </c>
      <c r="K100" s="319">
        <v>0</v>
      </c>
      <c r="L100" s="319">
        <v>0</v>
      </c>
      <c r="M100" s="320">
        <v>8.08</v>
      </c>
      <c r="N100" s="192">
        <v>0.11988911988911992</v>
      </c>
      <c r="O100" s="329" t="s">
        <v>475</v>
      </c>
      <c r="P100" s="330" t="s">
        <v>476</v>
      </c>
    </row>
    <row r="101" spans="1:17" ht="16" x14ac:dyDescent="0.35">
      <c r="A101" s="329" t="s">
        <v>477</v>
      </c>
      <c r="B101" s="299">
        <v>0.44600000000000001</v>
      </c>
      <c r="C101" s="299">
        <v>0</v>
      </c>
      <c r="D101" s="299">
        <v>0</v>
      </c>
      <c r="E101" s="299">
        <v>0</v>
      </c>
      <c r="F101" s="299">
        <v>0</v>
      </c>
      <c r="G101" s="320">
        <v>0.44600000000000001</v>
      </c>
      <c r="H101" s="319">
        <v>0.45900000000000002</v>
      </c>
      <c r="I101" s="319">
        <v>0</v>
      </c>
      <c r="J101" s="319">
        <v>0</v>
      </c>
      <c r="K101" s="319">
        <v>0</v>
      </c>
      <c r="L101" s="319">
        <v>0</v>
      </c>
      <c r="M101" s="320">
        <v>0.45900000000000002</v>
      </c>
      <c r="N101" s="192">
        <v>2.9147982062780294E-2</v>
      </c>
      <c r="O101" s="329" t="s">
        <v>478</v>
      </c>
      <c r="P101" s="330" t="s">
        <v>461</v>
      </c>
    </row>
    <row r="102" spans="1:17" s="385" customFormat="1" ht="16" x14ac:dyDescent="0.35">
      <c r="A102" s="332" t="s">
        <v>479</v>
      </c>
      <c r="B102" s="333">
        <v>13.202</v>
      </c>
      <c r="C102" s="333">
        <v>0.23100000000000001</v>
      </c>
      <c r="D102" s="333">
        <v>0</v>
      </c>
      <c r="E102" s="333">
        <v>0</v>
      </c>
      <c r="F102" s="333">
        <v>0</v>
      </c>
      <c r="G102" s="333">
        <v>13.433</v>
      </c>
      <c r="H102" s="333">
        <v>13.955</v>
      </c>
      <c r="I102" s="333">
        <v>0.24399999999999999</v>
      </c>
      <c r="J102" s="333">
        <v>0</v>
      </c>
      <c r="K102" s="333">
        <v>0</v>
      </c>
      <c r="L102" s="333">
        <v>0</v>
      </c>
      <c r="M102" s="333">
        <v>14.199</v>
      </c>
      <c r="N102" s="334">
        <v>5.702374748753071E-2</v>
      </c>
      <c r="O102" s="383"/>
      <c r="P102" s="384"/>
      <c r="Q102" s="126"/>
    </row>
    <row r="103" spans="1:17" ht="16" x14ac:dyDescent="0.35">
      <c r="A103" s="308"/>
      <c r="B103" s="337"/>
      <c r="C103" s="337"/>
      <c r="D103" s="337"/>
      <c r="E103" s="337"/>
      <c r="F103" s="337"/>
      <c r="G103" s="337"/>
      <c r="H103" s="337"/>
      <c r="I103" s="337"/>
      <c r="J103" s="337"/>
      <c r="K103" s="337"/>
      <c r="L103" s="337"/>
      <c r="M103" s="337"/>
      <c r="N103" s="310"/>
      <c r="O103" s="311"/>
      <c r="P103" s="311"/>
    </row>
    <row r="104" spans="1:17" ht="32" x14ac:dyDescent="0.35">
      <c r="A104" s="374" t="s">
        <v>480</v>
      </c>
      <c r="B104" s="369"/>
      <c r="C104" s="369"/>
      <c r="D104" s="369"/>
      <c r="E104" s="369"/>
      <c r="F104" s="369"/>
      <c r="G104" s="369"/>
      <c r="H104" s="369"/>
      <c r="I104" s="369"/>
      <c r="J104" s="369"/>
      <c r="K104" s="369"/>
      <c r="L104" s="369"/>
      <c r="M104" s="369"/>
      <c r="N104" s="370"/>
      <c r="O104" s="317"/>
      <c r="P104" s="317"/>
    </row>
    <row r="105" spans="1:17" ht="144" x14ac:dyDescent="0.35">
      <c r="A105" s="329" t="s">
        <v>480</v>
      </c>
      <c r="B105" s="299">
        <v>5.82</v>
      </c>
      <c r="C105" s="299">
        <v>0</v>
      </c>
      <c r="D105" s="299">
        <v>0</v>
      </c>
      <c r="E105" s="299">
        <v>0</v>
      </c>
      <c r="F105" s="299">
        <v>0</v>
      </c>
      <c r="G105" s="320">
        <v>5.82</v>
      </c>
      <c r="H105" s="319">
        <v>20.3</v>
      </c>
      <c r="I105" s="319">
        <v>0</v>
      </c>
      <c r="J105" s="319">
        <v>0</v>
      </c>
      <c r="K105" s="319">
        <v>0</v>
      </c>
      <c r="L105" s="319">
        <v>0</v>
      </c>
      <c r="M105" s="320">
        <v>20.3</v>
      </c>
      <c r="N105" s="192">
        <v>2.4879725085910653</v>
      </c>
      <c r="O105" s="329" t="s">
        <v>481</v>
      </c>
      <c r="P105" s="330" t="s">
        <v>482</v>
      </c>
    </row>
    <row r="106" spans="1:17" ht="32" x14ac:dyDescent="0.35">
      <c r="A106" s="33" t="s">
        <v>483</v>
      </c>
      <c r="B106" s="367">
        <v>5.82</v>
      </c>
      <c r="C106" s="367">
        <v>0</v>
      </c>
      <c r="D106" s="367">
        <v>0</v>
      </c>
      <c r="E106" s="367">
        <v>0</v>
      </c>
      <c r="F106" s="367">
        <v>0</v>
      </c>
      <c r="G106" s="367">
        <v>5.82</v>
      </c>
      <c r="H106" s="367">
        <v>20.3</v>
      </c>
      <c r="I106" s="367">
        <v>0</v>
      </c>
      <c r="J106" s="367">
        <v>0</v>
      </c>
      <c r="K106" s="367">
        <v>0</v>
      </c>
      <c r="L106" s="367">
        <v>0</v>
      </c>
      <c r="M106" s="367">
        <v>20.3</v>
      </c>
      <c r="N106" s="371">
        <v>2.4879725085910653</v>
      </c>
      <c r="O106" s="323"/>
      <c r="P106" s="349"/>
    </row>
    <row r="107" spans="1:17" ht="16" x14ac:dyDescent="0.35">
      <c r="A107" s="308"/>
      <c r="B107" s="337"/>
      <c r="C107" s="337"/>
      <c r="D107" s="337"/>
      <c r="E107" s="337"/>
      <c r="F107" s="337"/>
      <c r="G107" s="337"/>
      <c r="H107" s="337"/>
      <c r="I107" s="337"/>
      <c r="J107" s="337"/>
      <c r="K107" s="337"/>
      <c r="L107" s="337"/>
      <c r="M107" s="337"/>
      <c r="N107" s="310"/>
      <c r="O107" s="311"/>
      <c r="P107" s="311"/>
    </row>
    <row r="108" spans="1:17" ht="16" x14ac:dyDescent="0.35">
      <c r="A108" s="386" t="s">
        <v>484</v>
      </c>
      <c r="B108" s="387"/>
      <c r="C108" s="387"/>
      <c r="D108" s="387"/>
      <c r="E108" s="387"/>
      <c r="F108" s="387"/>
      <c r="G108" s="387"/>
      <c r="H108" s="387"/>
      <c r="I108" s="387"/>
      <c r="J108" s="387"/>
      <c r="K108" s="387"/>
      <c r="L108" s="387"/>
      <c r="M108" s="387"/>
      <c r="N108" s="388"/>
      <c r="O108" s="389"/>
      <c r="P108" s="389"/>
    </row>
    <row r="109" spans="1:17" ht="64" x14ac:dyDescent="0.35">
      <c r="A109" s="344" t="s">
        <v>485</v>
      </c>
      <c r="B109" s="299">
        <v>2.738</v>
      </c>
      <c r="C109" s="345">
        <v>0</v>
      </c>
      <c r="D109" s="345">
        <v>0</v>
      </c>
      <c r="E109" s="345">
        <v>0</v>
      </c>
      <c r="F109" s="345">
        <v>0</v>
      </c>
      <c r="G109" s="320">
        <v>2.738</v>
      </c>
      <c r="H109" s="319">
        <v>3.214</v>
      </c>
      <c r="I109" s="319">
        <v>0</v>
      </c>
      <c r="J109" s="319">
        <v>0</v>
      </c>
      <c r="K109" s="319">
        <v>0</v>
      </c>
      <c r="L109" s="319">
        <v>0</v>
      </c>
      <c r="M109" s="320">
        <v>3.214</v>
      </c>
      <c r="N109" s="192">
        <v>0.17384952520087654</v>
      </c>
      <c r="O109" s="344" t="s">
        <v>486</v>
      </c>
      <c r="P109" s="330" t="s">
        <v>476</v>
      </c>
    </row>
    <row r="110" spans="1:17" ht="48" x14ac:dyDescent="0.35">
      <c r="A110" s="390" t="s">
        <v>487</v>
      </c>
      <c r="B110" s="299">
        <v>0.90100000000000002</v>
      </c>
      <c r="C110" s="345">
        <v>0</v>
      </c>
      <c r="D110" s="345">
        <v>0</v>
      </c>
      <c r="E110" s="345">
        <v>0</v>
      </c>
      <c r="F110" s="345">
        <v>0</v>
      </c>
      <c r="G110" s="391">
        <v>0.90100000000000002</v>
      </c>
      <c r="H110" s="319">
        <v>0.90100000000000002</v>
      </c>
      <c r="I110" s="319">
        <v>0</v>
      </c>
      <c r="J110" s="319">
        <v>0</v>
      </c>
      <c r="K110" s="319">
        <v>0</v>
      </c>
      <c r="L110" s="319">
        <v>0</v>
      </c>
      <c r="M110" s="391">
        <v>0.90100000000000002</v>
      </c>
      <c r="N110" s="392">
        <v>0</v>
      </c>
      <c r="O110" s="393" t="s">
        <v>488</v>
      </c>
      <c r="P110" s="330" t="s">
        <v>489</v>
      </c>
    </row>
    <row r="111" spans="1:17" ht="32" x14ac:dyDescent="0.35">
      <c r="A111" s="390" t="s">
        <v>490</v>
      </c>
      <c r="B111" s="299">
        <v>0.28899999999999998</v>
      </c>
      <c r="C111" s="345">
        <v>0</v>
      </c>
      <c r="D111" s="345">
        <v>0</v>
      </c>
      <c r="E111" s="345">
        <v>0</v>
      </c>
      <c r="F111" s="345">
        <v>0</v>
      </c>
      <c r="G111" s="391">
        <v>0.28899999999999998</v>
      </c>
      <c r="H111" s="319">
        <v>0.29799999999999999</v>
      </c>
      <c r="I111" s="319">
        <v>0</v>
      </c>
      <c r="J111" s="319">
        <v>0</v>
      </c>
      <c r="K111" s="319">
        <v>0</v>
      </c>
      <c r="L111" s="319">
        <v>0</v>
      </c>
      <c r="M111" s="391">
        <v>0.29799999999999999</v>
      </c>
      <c r="N111" s="392">
        <v>3.1141868512110756E-2</v>
      </c>
      <c r="O111" s="393" t="s">
        <v>491</v>
      </c>
      <c r="P111" s="330" t="s">
        <v>461</v>
      </c>
    </row>
    <row r="112" spans="1:17" ht="16" x14ac:dyDescent="0.35">
      <c r="A112" s="394" t="s">
        <v>1879</v>
      </c>
      <c r="B112" s="395">
        <v>3.9280000000000004</v>
      </c>
      <c r="C112" s="395">
        <v>0</v>
      </c>
      <c r="D112" s="395">
        <v>0</v>
      </c>
      <c r="E112" s="395">
        <v>0</v>
      </c>
      <c r="F112" s="395">
        <v>0</v>
      </c>
      <c r="G112" s="395">
        <v>3.9280000000000004</v>
      </c>
      <c r="H112" s="395">
        <v>4.4130000000000003</v>
      </c>
      <c r="I112" s="395">
        <v>0</v>
      </c>
      <c r="J112" s="395">
        <v>0</v>
      </c>
      <c r="K112" s="395">
        <v>0</v>
      </c>
      <c r="L112" s="395">
        <v>0</v>
      </c>
      <c r="M112" s="395">
        <v>4.4130000000000003</v>
      </c>
      <c r="N112" s="396">
        <v>0.12347250509164966</v>
      </c>
      <c r="O112" s="397"/>
      <c r="P112" s="398"/>
    </row>
    <row r="113" spans="1:16" ht="16" x14ac:dyDescent="0.35">
      <c r="A113" s="308"/>
      <c r="B113" s="340"/>
      <c r="C113" s="340"/>
      <c r="D113" s="340"/>
      <c r="E113" s="340"/>
      <c r="F113" s="340"/>
      <c r="G113" s="340"/>
      <c r="H113" s="340"/>
      <c r="I113" s="340"/>
      <c r="J113" s="340"/>
      <c r="K113" s="340"/>
      <c r="L113" s="340"/>
      <c r="M113" s="340"/>
      <c r="N113" s="351"/>
      <c r="O113" s="311"/>
      <c r="P113" s="311"/>
    </row>
    <row r="114" spans="1:16" ht="16" x14ac:dyDescent="0.35">
      <c r="A114" s="374" t="s">
        <v>492</v>
      </c>
      <c r="B114" s="399"/>
      <c r="C114" s="399"/>
      <c r="D114" s="399"/>
      <c r="E114" s="399"/>
      <c r="F114" s="399"/>
      <c r="G114" s="399"/>
      <c r="H114" s="399"/>
      <c r="I114" s="399"/>
      <c r="J114" s="399"/>
      <c r="K114" s="399"/>
      <c r="L114" s="399"/>
      <c r="M114" s="399"/>
      <c r="N114" s="370"/>
      <c r="O114" s="317"/>
      <c r="P114" s="317"/>
    </row>
    <row r="115" spans="1:16" ht="128" x14ac:dyDescent="0.35">
      <c r="A115" s="329" t="s">
        <v>493</v>
      </c>
      <c r="B115" s="299">
        <v>18.734999999999999</v>
      </c>
      <c r="C115" s="299">
        <v>0</v>
      </c>
      <c r="D115" s="299">
        <v>0.5</v>
      </c>
      <c r="E115" s="299">
        <v>0</v>
      </c>
      <c r="F115" s="299">
        <v>0</v>
      </c>
      <c r="G115" s="320">
        <v>19.234999999999999</v>
      </c>
      <c r="H115" s="319">
        <v>25.09</v>
      </c>
      <c r="I115" s="319">
        <v>0</v>
      </c>
      <c r="J115" s="319">
        <v>1</v>
      </c>
      <c r="K115" s="319">
        <v>0</v>
      </c>
      <c r="L115" s="319">
        <v>0</v>
      </c>
      <c r="M115" s="320">
        <v>26.09</v>
      </c>
      <c r="N115" s="192">
        <v>0.35638159604886926</v>
      </c>
      <c r="O115" s="329" t="s">
        <v>494</v>
      </c>
      <c r="P115" s="330" t="s">
        <v>495</v>
      </c>
    </row>
    <row r="116" spans="1:16" ht="16" x14ac:dyDescent="0.35">
      <c r="A116" s="33" t="s">
        <v>1880</v>
      </c>
      <c r="B116" s="367">
        <v>18.734999999999999</v>
      </c>
      <c r="C116" s="367">
        <v>0</v>
      </c>
      <c r="D116" s="367">
        <v>0.5</v>
      </c>
      <c r="E116" s="367">
        <v>0</v>
      </c>
      <c r="F116" s="367">
        <v>0</v>
      </c>
      <c r="G116" s="367">
        <v>19.234999999999999</v>
      </c>
      <c r="H116" s="367">
        <v>25.09</v>
      </c>
      <c r="I116" s="367">
        <v>0</v>
      </c>
      <c r="J116" s="367">
        <v>1</v>
      </c>
      <c r="K116" s="367">
        <v>0</v>
      </c>
      <c r="L116" s="367">
        <v>0</v>
      </c>
      <c r="M116" s="367">
        <v>26.09</v>
      </c>
      <c r="N116" s="371">
        <v>0.35638159604886926</v>
      </c>
      <c r="O116" s="323"/>
      <c r="P116" s="349"/>
    </row>
    <row r="117" spans="1:16" ht="16" x14ac:dyDescent="0.35">
      <c r="A117" s="308"/>
      <c r="B117" s="340"/>
      <c r="C117" s="340"/>
      <c r="D117" s="340"/>
      <c r="E117" s="340"/>
      <c r="F117" s="340"/>
      <c r="G117" s="340"/>
      <c r="H117" s="340"/>
      <c r="I117" s="340"/>
      <c r="J117" s="340"/>
      <c r="K117" s="340"/>
      <c r="L117" s="340"/>
      <c r="M117" s="340"/>
      <c r="N117" s="351"/>
      <c r="O117" s="311"/>
      <c r="P117" s="311"/>
    </row>
    <row r="118" spans="1:16" ht="16" x14ac:dyDescent="0.35">
      <c r="A118" s="332" t="s">
        <v>496</v>
      </c>
      <c r="B118" s="333">
        <v>41.684999999999995</v>
      </c>
      <c r="C118" s="333">
        <v>0.23100000000000001</v>
      </c>
      <c r="D118" s="333">
        <v>0.5</v>
      </c>
      <c r="E118" s="333">
        <v>0</v>
      </c>
      <c r="F118" s="333">
        <v>0</v>
      </c>
      <c r="G118" s="333">
        <v>42.415999999999997</v>
      </c>
      <c r="H118" s="333">
        <v>63.757999999999996</v>
      </c>
      <c r="I118" s="333">
        <v>0.24399999999999999</v>
      </c>
      <c r="J118" s="333">
        <v>1</v>
      </c>
      <c r="K118" s="333">
        <v>0</v>
      </c>
      <c r="L118" s="333">
        <v>0</v>
      </c>
      <c r="M118" s="333">
        <v>65.001999999999995</v>
      </c>
      <c r="N118" s="334">
        <v>0.53248774047529235</v>
      </c>
      <c r="O118" s="335"/>
      <c r="P118" s="336"/>
    </row>
    <row r="119" spans="1:16" ht="16" x14ac:dyDescent="0.35">
      <c r="A119" s="308"/>
      <c r="B119" s="340"/>
      <c r="C119" s="340"/>
      <c r="D119" s="340"/>
      <c r="E119" s="340"/>
      <c r="F119" s="340"/>
      <c r="G119" s="340"/>
      <c r="H119" s="340"/>
      <c r="I119" s="340"/>
      <c r="J119" s="340"/>
      <c r="K119" s="340"/>
      <c r="L119" s="340"/>
      <c r="M119" s="340"/>
      <c r="N119" s="351"/>
      <c r="O119" s="311"/>
      <c r="P119" s="311"/>
    </row>
    <row r="120" spans="1:16" ht="16" x14ac:dyDescent="0.35">
      <c r="A120" s="338" t="s">
        <v>497</v>
      </c>
      <c r="B120" s="143"/>
      <c r="C120" s="143"/>
      <c r="D120" s="143"/>
      <c r="E120" s="143"/>
      <c r="F120" s="143"/>
      <c r="G120" s="143"/>
      <c r="H120" s="143"/>
      <c r="I120" s="143"/>
      <c r="J120" s="143"/>
      <c r="K120" s="143"/>
      <c r="L120" s="143"/>
      <c r="M120" s="143"/>
      <c r="N120" s="339"/>
      <c r="O120" s="314"/>
      <c r="P120" s="314"/>
    </row>
    <row r="121" spans="1:16" ht="80" x14ac:dyDescent="0.35">
      <c r="A121" s="366" t="s">
        <v>0</v>
      </c>
      <c r="B121" s="299">
        <v>1419.22</v>
      </c>
      <c r="C121" s="356">
        <v>67.302000000000007</v>
      </c>
      <c r="D121" s="356">
        <v>0</v>
      </c>
      <c r="E121" s="356">
        <v>0</v>
      </c>
      <c r="F121" s="356">
        <v>0</v>
      </c>
      <c r="G121" s="320">
        <v>1486.5219999999999</v>
      </c>
      <c r="H121" s="319">
        <v>1475.73</v>
      </c>
      <c r="I121" s="319">
        <v>69.891999999999996</v>
      </c>
      <c r="J121" s="319">
        <v>0</v>
      </c>
      <c r="K121" s="319">
        <v>0</v>
      </c>
      <c r="L121" s="319">
        <v>0.23599999999999999</v>
      </c>
      <c r="M121" s="320">
        <v>1545.8580000000002</v>
      </c>
      <c r="N121" s="192">
        <v>3.9915991825213645E-2</v>
      </c>
      <c r="O121" s="344" t="s">
        <v>498</v>
      </c>
      <c r="P121" s="347" t="s">
        <v>499</v>
      </c>
    </row>
    <row r="122" spans="1:16" ht="96" x14ac:dyDescent="0.35">
      <c r="A122" s="366" t="s">
        <v>1</v>
      </c>
      <c r="B122" s="299">
        <v>0</v>
      </c>
      <c r="C122" s="356">
        <v>0</v>
      </c>
      <c r="D122" s="356">
        <v>64.55</v>
      </c>
      <c r="E122" s="356">
        <v>0</v>
      </c>
      <c r="F122" s="356">
        <v>0.32600000000000001</v>
      </c>
      <c r="G122" s="320">
        <v>64.875999999999991</v>
      </c>
      <c r="H122" s="319">
        <v>0</v>
      </c>
      <c r="I122" s="319">
        <v>0</v>
      </c>
      <c r="J122" s="319">
        <v>75</v>
      </c>
      <c r="K122" s="319">
        <v>0</v>
      </c>
      <c r="L122" s="319">
        <v>0</v>
      </c>
      <c r="M122" s="320">
        <v>75</v>
      </c>
      <c r="N122" s="192">
        <v>0.15605154448486361</v>
      </c>
      <c r="O122" s="344" t="s">
        <v>500</v>
      </c>
      <c r="P122" s="400" t="s">
        <v>501</v>
      </c>
    </row>
    <row r="123" spans="1:16" ht="16" x14ac:dyDescent="0.35">
      <c r="A123" s="332" t="s">
        <v>502</v>
      </c>
      <c r="B123" s="333">
        <v>1419.22</v>
      </c>
      <c r="C123" s="333">
        <v>67.302000000000007</v>
      </c>
      <c r="D123" s="333">
        <v>64.55</v>
      </c>
      <c r="E123" s="333">
        <v>0</v>
      </c>
      <c r="F123" s="333">
        <v>0.32600000000000001</v>
      </c>
      <c r="G123" s="333">
        <v>1551.3979999999999</v>
      </c>
      <c r="H123" s="333">
        <v>1475.73</v>
      </c>
      <c r="I123" s="333">
        <v>69.891999999999996</v>
      </c>
      <c r="J123" s="333">
        <v>75</v>
      </c>
      <c r="K123" s="333">
        <v>0</v>
      </c>
      <c r="L123" s="333">
        <v>0.23599999999999999</v>
      </c>
      <c r="M123" s="333">
        <v>1620.8580000000002</v>
      </c>
      <c r="N123" s="334">
        <v>4.4772521300143656E-2</v>
      </c>
      <c r="O123" s="335"/>
      <c r="P123" s="336"/>
    </row>
    <row r="124" spans="1:16" ht="16" x14ac:dyDescent="0.35">
      <c r="A124" s="311"/>
      <c r="B124" s="337"/>
      <c r="C124" s="337"/>
      <c r="D124" s="337"/>
      <c r="E124" s="337"/>
      <c r="F124" s="337"/>
      <c r="G124" s="337"/>
      <c r="H124" s="337"/>
      <c r="I124" s="337"/>
      <c r="J124" s="337"/>
      <c r="K124" s="337"/>
      <c r="L124" s="337"/>
      <c r="M124" s="337"/>
      <c r="N124" s="310"/>
      <c r="O124" s="311"/>
      <c r="P124" s="311"/>
    </row>
    <row r="125" spans="1:16" ht="16" x14ac:dyDescent="0.35">
      <c r="A125" s="338" t="s">
        <v>503</v>
      </c>
      <c r="B125" s="143"/>
      <c r="C125" s="143"/>
      <c r="D125" s="143"/>
      <c r="E125" s="143"/>
      <c r="F125" s="143"/>
      <c r="G125" s="143"/>
      <c r="H125" s="143"/>
      <c r="I125" s="143"/>
      <c r="J125" s="143"/>
      <c r="K125" s="143"/>
      <c r="L125" s="143"/>
      <c r="M125" s="143"/>
      <c r="N125" s="339"/>
      <c r="O125" s="314"/>
      <c r="P125" s="314"/>
    </row>
    <row r="126" spans="1:16" ht="16" x14ac:dyDescent="0.35">
      <c r="A126" s="311"/>
      <c r="B126" s="337"/>
      <c r="C126" s="337"/>
      <c r="D126" s="337"/>
      <c r="E126" s="337"/>
      <c r="F126" s="337"/>
      <c r="G126" s="337"/>
      <c r="H126" s="352"/>
      <c r="I126" s="352"/>
      <c r="J126" s="352"/>
      <c r="K126" s="352"/>
      <c r="L126" s="352"/>
      <c r="M126" s="352"/>
      <c r="N126" s="353"/>
      <c r="O126" s="311"/>
      <c r="P126" s="311"/>
    </row>
    <row r="127" spans="1:16" ht="48" x14ac:dyDescent="0.35">
      <c r="A127" s="366" t="s">
        <v>504</v>
      </c>
      <c r="B127" s="299">
        <v>317.29500000000002</v>
      </c>
      <c r="C127" s="356">
        <v>33</v>
      </c>
      <c r="D127" s="356">
        <v>0</v>
      </c>
      <c r="E127" s="356">
        <v>0</v>
      </c>
      <c r="F127" s="356">
        <v>3.5000000000000003E-2</v>
      </c>
      <c r="G127" s="367">
        <v>350.33000000000004</v>
      </c>
      <c r="H127" s="319">
        <v>332.142</v>
      </c>
      <c r="I127" s="319">
        <v>33</v>
      </c>
      <c r="J127" s="319">
        <v>0</v>
      </c>
      <c r="K127" s="319">
        <v>0</v>
      </c>
      <c r="L127" s="319">
        <v>0.02</v>
      </c>
      <c r="M127" s="320">
        <v>365.16199999999998</v>
      </c>
      <c r="N127" s="192">
        <v>4.2337224902234849E-2</v>
      </c>
      <c r="O127" s="344" t="s">
        <v>505</v>
      </c>
      <c r="P127" s="347" t="s">
        <v>506</v>
      </c>
    </row>
    <row r="128" spans="1:16" ht="64" x14ac:dyDescent="0.35">
      <c r="A128" s="366" t="s">
        <v>507</v>
      </c>
      <c r="B128" s="299">
        <v>0</v>
      </c>
      <c r="C128" s="356">
        <v>0</v>
      </c>
      <c r="D128" s="356">
        <v>43.026000000000003</v>
      </c>
      <c r="E128" s="356">
        <v>0</v>
      </c>
      <c r="F128" s="356">
        <v>0</v>
      </c>
      <c r="G128" s="320">
        <v>43.026000000000003</v>
      </c>
      <c r="H128" s="319">
        <v>0</v>
      </c>
      <c r="I128" s="319">
        <v>0</v>
      </c>
      <c r="J128" s="319">
        <v>47</v>
      </c>
      <c r="K128" s="319">
        <v>0</v>
      </c>
      <c r="L128" s="319">
        <v>0</v>
      </c>
      <c r="M128" s="320">
        <v>47</v>
      </c>
      <c r="N128" s="192">
        <v>9.2362757402500731E-2</v>
      </c>
      <c r="O128" s="344" t="s">
        <v>508</v>
      </c>
      <c r="P128" s="347" t="s">
        <v>509</v>
      </c>
    </row>
    <row r="129" spans="1:17" ht="32" x14ac:dyDescent="0.35">
      <c r="A129" s="332" t="s">
        <v>510</v>
      </c>
      <c r="B129" s="333">
        <v>317.29500000000002</v>
      </c>
      <c r="C129" s="333">
        <v>33</v>
      </c>
      <c r="D129" s="333">
        <v>43.026000000000003</v>
      </c>
      <c r="E129" s="333">
        <v>0</v>
      </c>
      <c r="F129" s="333">
        <v>3.5000000000000003E-2</v>
      </c>
      <c r="G129" s="333">
        <v>393.35600000000005</v>
      </c>
      <c r="H129" s="333">
        <v>332.142</v>
      </c>
      <c r="I129" s="333">
        <v>33</v>
      </c>
      <c r="J129" s="333">
        <v>47</v>
      </c>
      <c r="K129" s="333">
        <v>0</v>
      </c>
      <c r="L129" s="333">
        <v>0.02</v>
      </c>
      <c r="M129" s="333">
        <v>412.16199999999998</v>
      </c>
      <c r="N129" s="334">
        <v>4.7809109305565249E-2</v>
      </c>
      <c r="O129" s="335"/>
      <c r="P129" s="336"/>
    </row>
    <row r="130" spans="1:17" ht="16" x14ac:dyDescent="0.35">
      <c r="A130" s="311"/>
      <c r="B130" s="337"/>
      <c r="C130" s="337"/>
      <c r="D130" s="337"/>
      <c r="E130" s="337"/>
      <c r="F130" s="337"/>
      <c r="G130" s="337"/>
      <c r="H130" s="337"/>
      <c r="I130" s="337"/>
      <c r="J130" s="337"/>
      <c r="K130" s="337"/>
      <c r="L130" s="337"/>
      <c r="M130" s="337"/>
      <c r="N130" s="310"/>
      <c r="O130" s="311"/>
      <c r="P130" s="311"/>
    </row>
    <row r="131" spans="1:17" ht="32" x14ac:dyDescent="0.35">
      <c r="A131" s="338" t="s">
        <v>511</v>
      </c>
      <c r="B131" s="143"/>
      <c r="C131" s="143"/>
      <c r="D131" s="143"/>
      <c r="E131" s="143"/>
      <c r="F131" s="143"/>
      <c r="G131" s="143"/>
      <c r="H131" s="143"/>
      <c r="I131" s="143"/>
      <c r="J131" s="143"/>
      <c r="K131" s="143"/>
      <c r="L131" s="143"/>
      <c r="M131" s="143"/>
      <c r="N131" s="339"/>
      <c r="O131" s="314"/>
      <c r="P131" s="314"/>
    </row>
    <row r="132" spans="1:17" ht="16" x14ac:dyDescent="0.35">
      <c r="A132" s="311"/>
      <c r="B132" s="340"/>
      <c r="C132" s="340"/>
      <c r="D132" s="340"/>
      <c r="E132" s="340"/>
      <c r="F132" s="340"/>
      <c r="G132" s="340"/>
      <c r="H132" s="401"/>
      <c r="I132" s="401"/>
      <c r="J132" s="401"/>
      <c r="K132" s="401"/>
      <c r="L132" s="401"/>
      <c r="M132" s="401"/>
      <c r="N132" s="402"/>
      <c r="O132" s="311"/>
      <c r="P132" s="311"/>
    </row>
    <row r="133" spans="1:17" ht="128" x14ac:dyDescent="0.35">
      <c r="A133" s="342" t="s">
        <v>0</v>
      </c>
      <c r="B133" s="299">
        <v>136.56700000000001</v>
      </c>
      <c r="C133" s="356">
        <v>33.881</v>
      </c>
      <c r="D133" s="356">
        <v>0</v>
      </c>
      <c r="E133" s="356">
        <v>0</v>
      </c>
      <c r="F133" s="356">
        <v>2.7149999999999999</v>
      </c>
      <c r="G133" s="367">
        <v>173.16300000000001</v>
      </c>
      <c r="H133" s="319">
        <v>123.242</v>
      </c>
      <c r="I133" s="319">
        <v>34.14</v>
      </c>
      <c r="J133" s="319">
        <v>0</v>
      </c>
      <c r="K133" s="319">
        <v>0</v>
      </c>
      <c r="L133" s="319">
        <v>0</v>
      </c>
      <c r="M133" s="320">
        <v>157.38200000000001</v>
      </c>
      <c r="N133" s="192">
        <v>-9.1133787240923317E-2</v>
      </c>
      <c r="O133" s="344" t="s">
        <v>512</v>
      </c>
      <c r="P133" s="347" t="s">
        <v>513</v>
      </c>
    </row>
    <row r="134" spans="1:17" ht="80" x14ac:dyDescent="0.35">
      <c r="A134" s="342" t="s">
        <v>443</v>
      </c>
      <c r="B134" s="356">
        <v>0</v>
      </c>
      <c r="C134" s="356">
        <v>0</v>
      </c>
      <c r="D134" s="356">
        <v>17.088999999999999</v>
      </c>
      <c r="E134" s="356">
        <v>0</v>
      </c>
      <c r="F134" s="356">
        <v>0</v>
      </c>
      <c r="G134" s="320">
        <v>17.088999999999999</v>
      </c>
      <c r="H134" s="319">
        <v>0</v>
      </c>
      <c r="I134" s="319">
        <v>0</v>
      </c>
      <c r="J134" s="319">
        <v>19.600000000000001</v>
      </c>
      <c r="K134" s="319">
        <v>0</v>
      </c>
      <c r="L134" s="319">
        <v>0</v>
      </c>
      <c r="M134" s="320">
        <v>19.600000000000001</v>
      </c>
      <c r="N134" s="192">
        <v>0.14693662589970174</v>
      </c>
      <c r="O134" s="403" t="s">
        <v>514</v>
      </c>
      <c r="P134" s="347" t="s">
        <v>515</v>
      </c>
    </row>
    <row r="135" spans="1:17" ht="32" x14ac:dyDescent="0.35">
      <c r="A135" s="332" t="s">
        <v>516</v>
      </c>
      <c r="B135" s="333">
        <v>136.56700000000001</v>
      </c>
      <c r="C135" s="333">
        <v>33.881</v>
      </c>
      <c r="D135" s="333">
        <v>17.088999999999999</v>
      </c>
      <c r="E135" s="333">
        <v>0</v>
      </c>
      <c r="F135" s="333">
        <v>2.7149999999999999</v>
      </c>
      <c r="G135" s="333">
        <v>190.25200000000001</v>
      </c>
      <c r="H135" s="333">
        <v>123.242</v>
      </c>
      <c r="I135" s="333">
        <v>34.14</v>
      </c>
      <c r="J135" s="333">
        <v>19.600000000000001</v>
      </c>
      <c r="K135" s="333">
        <v>0</v>
      </c>
      <c r="L135" s="333">
        <v>0</v>
      </c>
      <c r="M135" s="333">
        <v>176.982</v>
      </c>
      <c r="N135" s="334">
        <v>-6.9749595273637124E-2</v>
      </c>
      <c r="O135" s="335"/>
      <c r="P135" s="336"/>
    </row>
    <row r="136" spans="1:17" ht="16" x14ac:dyDescent="0.35">
      <c r="A136" s="404"/>
      <c r="B136" s="405"/>
      <c r="C136" s="405"/>
      <c r="D136" s="405"/>
      <c r="E136" s="405"/>
      <c r="F136" s="405"/>
      <c r="G136" s="405"/>
      <c r="H136" s="405"/>
      <c r="I136" s="405"/>
      <c r="J136" s="405"/>
      <c r="K136" s="405"/>
      <c r="L136" s="405"/>
      <c r="M136" s="405"/>
      <c r="N136" s="406"/>
      <c r="O136" s="404"/>
      <c r="P136" s="404"/>
    </row>
    <row r="137" spans="1:17" ht="16" x14ac:dyDescent="0.35">
      <c r="A137" s="286" t="s">
        <v>338</v>
      </c>
      <c r="B137" s="287"/>
      <c r="C137" s="287"/>
      <c r="D137" s="287"/>
      <c r="E137" s="287"/>
      <c r="F137" s="287"/>
      <c r="G137" s="288"/>
      <c r="H137" s="287"/>
      <c r="I137" s="287"/>
      <c r="J137" s="287"/>
      <c r="K137" s="287"/>
      <c r="L137" s="287"/>
      <c r="M137" s="288"/>
      <c r="N137" s="406"/>
      <c r="O137" s="404"/>
      <c r="P137" s="404"/>
    </row>
    <row r="138" spans="1:17" s="411" customFormat="1" ht="19.5" x14ac:dyDescent="0.45">
      <c r="A138" s="407"/>
      <c r="B138" s="408"/>
      <c r="C138" s="408"/>
      <c r="D138" s="408"/>
      <c r="E138" s="408"/>
      <c r="F138" s="408"/>
      <c r="G138" s="408"/>
      <c r="H138" s="408"/>
      <c r="I138" s="408"/>
      <c r="J138" s="408"/>
      <c r="K138" s="408"/>
      <c r="L138" s="408"/>
      <c r="M138" s="408"/>
      <c r="N138" s="409"/>
      <c r="O138" s="407"/>
      <c r="P138" s="407"/>
      <c r="Q138" s="126"/>
    </row>
    <row r="139" spans="1:17" ht="16" x14ac:dyDescent="0.35">
      <c r="A139" s="332" t="s">
        <v>517</v>
      </c>
      <c r="B139" s="412">
        <v>3341.9739999999997</v>
      </c>
      <c r="C139" s="412">
        <v>182.71799999999999</v>
      </c>
      <c r="D139" s="412">
        <v>306.02099999999996</v>
      </c>
      <c r="E139" s="412">
        <v>0</v>
      </c>
      <c r="F139" s="412">
        <v>3.0760000000000001</v>
      </c>
      <c r="G139" s="412">
        <v>3833.7889999999998</v>
      </c>
      <c r="H139" s="412">
        <v>3494.2170000000006</v>
      </c>
      <c r="I139" s="412">
        <v>191.90799999999996</v>
      </c>
      <c r="J139" s="412">
        <v>510.90000000000003</v>
      </c>
      <c r="K139" s="412">
        <v>0</v>
      </c>
      <c r="L139" s="412">
        <v>0.30599999999999999</v>
      </c>
      <c r="M139" s="412">
        <v>4197.3310000000001</v>
      </c>
      <c r="N139" s="413">
        <v>9.4825771580021853E-2</v>
      </c>
      <c r="O139" s="414"/>
      <c r="P139" s="415"/>
    </row>
    <row r="140" spans="1:17" ht="16" x14ac:dyDescent="0.35">
      <c r="A140" s="404"/>
      <c r="B140" s="416"/>
      <c r="C140" s="416"/>
      <c r="D140" s="416"/>
      <c r="E140" s="416"/>
      <c r="F140" s="416"/>
      <c r="G140" s="416"/>
      <c r="H140" s="416"/>
      <c r="I140" s="416"/>
      <c r="J140" s="416"/>
      <c r="K140" s="416"/>
      <c r="L140" s="416"/>
      <c r="M140" s="416"/>
      <c r="N140" s="406"/>
      <c r="O140" s="404"/>
      <c r="P140" s="404"/>
    </row>
    <row r="141" spans="1:17" ht="16" x14ac:dyDescent="0.35">
      <c r="A141" s="404"/>
      <c r="B141" s="416"/>
      <c r="C141" s="416"/>
      <c r="D141" s="416"/>
      <c r="E141" s="416"/>
      <c r="F141" s="416"/>
      <c r="G141" s="416"/>
      <c r="H141" s="416"/>
      <c r="I141" s="416"/>
      <c r="J141" s="416"/>
      <c r="K141" s="416"/>
      <c r="L141" s="416"/>
      <c r="M141" s="416"/>
      <c r="N141" s="406"/>
      <c r="O141" s="417"/>
      <c r="P141" s="417"/>
    </row>
    <row r="142" spans="1:17" ht="16" x14ac:dyDescent="0.35">
      <c r="A142" s="418"/>
      <c r="B142" s="416"/>
      <c r="C142" s="416"/>
      <c r="D142" s="416"/>
      <c r="E142" s="416"/>
      <c r="F142" s="416"/>
      <c r="G142" s="416"/>
      <c r="H142" s="416"/>
      <c r="I142" s="416"/>
      <c r="J142" s="416"/>
      <c r="K142" s="416"/>
      <c r="L142" s="416"/>
      <c r="M142" s="416"/>
      <c r="N142" s="416"/>
      <c r="O142" s="404"/>
      <c r="P142" s="419"/>
    </row>
    <row r="143" spans="1:17" ht="32" x14ac:dyDescent="0.35">
      <c r="A143" s="384" t="s">
        <v>340</v>
      </c>
      <c r="B143" s="420"/>
      <c r="C143" s="420"/>
      <c r="D143" s="420"/>
      <c r="E143" s="420"/>
      <c r="F143" s="420"/>
      <c r="G143" s="420"/>
      <c r="H143" s="420"/>
      <c r="I143" s="420"/>
      <c r="J143" s="420"/>
      <c r="K143" s="420"/>
      <c r="L143" s="420"/>
      <c r="M143" s="420"/>
      <c r="N143" s="421"/>
      <c r="O143" s="404"/>
      <c r="P143" s="404"/>
    </row>
    <row r="144" spans="1:17" ht="16" x14ac:dyDescent="0.35">
      <c r="A144" s="422" t="s">
        <v>518</v>
      </c>
      <c r="B144" s="423">
        <v>86.45</v>
      </c>
      <c r="C144" s="423">
        <v>0</v>
      </c>
      <c r="D144" s="423">
        <v>0</v>
      </c>
      <c r="E144" s="423">
        <v>0</v>
      </c>
      <c r="F144" s="423">
        <v>0</v>
      </c>
      <c r="G144" s="320">
        <v>86.45</v>
      </c>
      <c r="H144" s="319">
        <v>86.45</v>
      </c>
      <c r="I144" s="319">
        <v>0</v>
      </c>
      <c r="J144" s="319">
        <v>0</v>
      </c>
      <c r="K144" s="319">
        <v>0</v>
      </c>
      <c r="L144" s="319">
        <v>0</v>
      </c>
      <c r="M144" s="320">
        <v>86.45</v>
      </c>
      <c r="N144" s="192">
        <v>0</v>
      </c>
      <c r="O144" s="403" t="s">
        <v>237</v>
      </c>
      <c r="P144" s="347" t="s">
        <v>60</v>
      </c>
    </row>
    <row r="145" spans="1:16" ht="32" x14ac:dyDescent="0.35">
      <c r="A145" s="332" t="s">
        <v>519</v>
      </c>
      <c r="B145" s="424">
        <v>86.45</v>
      </c>
      <c r="C145" s="424">
        <v>0</v>
      </c>
      <c r="D145" s="424">
        <v>0</v>
      </c>
      <c r="E145" s="424">
        <v>0</v>
      </c>
      <c r="F145" s="424">
        <v>0</v>
      </c>
      <c r="G145" s="424">
        <v>86.45</v>
      </c>
      <c r="H145" s="424">
        <v>86.45</v>
      </c>
      <c r="I145" s="424">
        <v>0</v>
      </c>
      <c r="J145" s="424">
        <v>0</v>
      </c>
      <c r="K145" s="424">
        <v>0</v>
      </c>
      <c r="L145" s="424">
        <v>0</v>
      </c>
      <c r="M145" s="424">
        <v>86.45</v>
      </c>
      <c r="N145" s="334">
        <v>0</v>
      </c>
      <c r="O145" s="404"/>
      <c r="P145" s="404"/>
    </row>
    <row r="146" spans="1:16" ht="15" x14ac:dyDescent="0.35">
      <c r="A146" s="281"/>
      <c r="B146" s="283"/>
      <c r="C146" s="283"/>
      <c r="D146" s="283"/>
      <c r="E146" s="283"/>
      <c r="F146" s="283"/>
      <c r="G146" s="283"/>
      <c r="H146" s="283"/>
      <c r="I146" s="283"/>
      <c r="J146" s="283"/>
      <c r="K146" s="283"/>
      <c r="L146" s="283"/>
      <c r="M146" s="283"/>
      <c r="N146" s="283"/>
      <c r="O146" s="283"/>
      <c r="P146" s="283"/>
    </row>
    <row r="173" spans="17:17" ht="18.5" x14ac:dyDescent="0.45">
      <c r="Q173" s="410"/>
    </row>
  </sheetData>
  <conditionalFormatting sqref="B142:N142">
    <cfRule type="cellIs" dxfId="0" priority="10" operator="greaterThan">
      <formula>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B8725-F041-43B2-9A36-CB6D9377B155}">
  <sheetPr>
    <tabColor rgb="FFFFFF00"/>
  </sheetPr>
  <dimension ref="A1:Q123"/>
  <sheetViews>
    <sheetView showGridLines="0" topLeftCell="A96" zoomScale="60" zoomScaleNormal="60" workbookViewId="0">
      <selection activeCell="H13" sqref="H13"/>
    </sheetView>
  </sheetViews>
  <sheetFormatPr defaultColWidth="9.453125" defaultRowHeight="14.5" outlineLevelCol="1" x14ac:dyDescent="0.35"/>
  <cols>
    <col min="1" max="1" width="40.54296875" style="1" customWidth="1"/>
    <col min="2" max="14" width="17.54296875" customWidth="1" outlineLevel="1"/>
    <col min="15" max="16" width="75.54296875" customWidth="1" outlineLevel="1"/>
    <col min="17" max="17" width="3.08984375" style="126" customWidth="1"/>
  </cols>
  <sheetData>
    <row r="1" spans="1:17" ht="28.4" customHeight="1" thickBot="1" x14ac:dyDescent="0.4"/>
    <row r="2" spans="1:17" ht="28.4" customHeight="1" x14ac:dyDescent="0.35">
      <c r="A2" s="127"/>
      <c r="B2" s="128"/>
      <c r="C2" s="129"/>
      <c r="D2" s="129"/>
      <c r="E2" s="129"/>
      <c r="F2" s="129"/>
      <c r="G2" s="130"/>
      <c r="H2" s="128"/>
      <c r="I2" s="129"/>
      <c r="J2" s="129"/>
      <c r="K2" s="129"/>
      <c r="L2" s="129"/>
      <c r="M2" s="130"/>
      <c r="N2" s="131"/>
      <c r="O2" s="132"/>
      <c r="P2" s="133"/>
    </row>
    <row r="3" spans="1:17" ht="128" x14ac:dyDescent="0.35">
      <c r="A3" s="8" t="s">
        <v>925</v>
      </c>
      <c r="B3" s="307" t="s">
        <v>6</v>
      </c>
      <c r="C3" s="307" t="s">
        <v>7</v>
      </c>
      <c r="D3" s="307" t="s">
        <v>8</v>
      </c>
      <c r="E3" s="307" t="s">
        <v>9</v>
      </c>
      <c r="F3" s="307" t="s">
        <v>10</v>
      </c>
      <c r="G3" s="307" t="s">
        <v>11</v>
      </c>
      <c r="H3" s="9" t="s">
        <v>12</v>
      </c>
      <c r="I3" s="9" t="s">
        <v>13</v>
      </c>
      <c r="J3" s="9" t="s">
        <v>14</v>
      </c>
      <c r="K3" s="9" t="s">
        <v>15</v>
      </c>
      <c r="L3" s="9" t="s">
        <v>16</v>
      </c>
      <c r="M3" s="9" t="s">
        <v>17</v>
      </c>
      <c r="N3" s="10" t="s">
        <v>18</v>
      </c>
      <c r="O3" s="11" t="s">
        <v>3</v>
      </c>
      <c r="P3" s="135" t="s">
        <v>4</v>
      </c>
    </row>
    <row r="4" spans="1:17" ht="22" hidden="1" thickBot="1" x14ac:dyDescent="0.4">
      <c r="A4" s="136"/>
      <c r="B4" s="137"/>
      <c r="C4" s="137"/>
      <c r="D4" s="137"/>
      <c r="E4" s="137"/>
      <c r="F4" s="137"/>
      <c r="G4" s="137"/>
      <c r="H4" s="137"/>
      <c r="I4" s="137"/>
      <c r="J4" s="137"/>
      <c r="K4" s="137"/>
      <c r="L4" s="137"/>
      <c r="M4" s="137"/>
      <c r="N4" s="138"/>
      <c r="O4" s="139"/>
      <c r="P4" s="139"/>
    </row>
    <row r="5" spans="1:17" s="159" customFormat="1" ht="16" x14ac:dyDescent="0.35">
      <c r="A5" s="157"/>
      <c r="B5" s="278"/>
      <c r="C5" s="278"/>
      <c r="D5" s="278"/>
      <c r="E5" s="278"/>
      <c r="F5" s="278"/>
      <c r="G5" s="279"/>
      <c r="H5" s="278"/>
      <c r="I5" s="278"/>
      <c r="J5" s="278"/>
      <c r="K5" s="278"/>
      <c r="L5" s="278"/>
      <c r="M5" s="279"/>
      <c r="N5" s="280"/>
      <c r="O5" s="183"/>
      <c r="P5" s="183"/>
      <c r="Q5" s="158"/>
    </row>
    <row r="6" spans="1:17" ht="16" x14ac:dyDescent="0.35">
      <c r="A6" s="840" t="s">
        <v>1418</v>
      </c>
      <c r="B6" s="143"/>
      <c r="C6" s="143"/>
      <c r="D6" s="143"/>
      <c r="E6" s="143"/>
      <c r="F6" s="143"/>
      <c r="G6" s="143"/>
      <c r="H6" s="143"/>
      <c r="I6" s="143"/>
      <c r="J6" s="143"/>
      <c r="K6" s="143"/>
      <c r="L6" s="143"/>
      <c r="M6" s="143"/>
      <c r="N6" s="673"/>
      <c r="O6" s="674"/>
      <c r="P6" s="674"/>
    </row>
    <row r="7" spans="1:17" ht="80" x14ac:dyDescent="0.35">
      <c r="A7" s="598" t="s">
        <v>1419</v>
      </c>
      <c r="B7" s="676">
        <v>0</v>
      </c>
      <c r="C7" s="676">
        <v>0</v>
      </c>
      <c r="D7" s="676">
        <v>114.79</v>
      </c>
      <c r="E7" s="676">
        <v>0</v>
      </c>
      <c r="F7" s="676">
        <v>0</v>
      </c>
      <c r="G7" s="677">
        <v>114.79</v>
      </c>
      <c r="H7" s="863">
        <v>0</v>
      </c>
      <c r="I7" s="863">
        <v>0</v>
      </c>
      <c r="J7" s="863">
        <v>158.58799999999999</v>
      </c>
      <c r="K7" s="863">
        <v>0</v>
      </c>
      <c r="L7" s="863">
        <v>0</v>
      </c>
      <c r="M7" s="677">
        <v>158.58799999999999</v>
      </c>
      <c r="N7" s="601">
        <v>0.38154891541074992</v>
      </c>
      <c r="O7" s="678" t="s">
        <v>1420</v>
      </c>
      <c r="P7" s="602" t="s">
        <v>1421</v>
      </c>
    </row>
    <row r="8" spans="1:17" ht="131" customHeight="1" x14ac:dyDescent="0.35">
      <c r="A8" s="620" t="s">
        <v>1418</v>
      </c>
      <c r="B8" s="789">
        <v>337.25099999999998</v>
      </c>
      <c r="C8" s="856">
        <v>127.145</v>
      </c>
      <c r="D8" s="856">
        <v>539.29300000000001</v>
      </c>
      <c r="E8" s="856">
        <v>0</v>
      </c>
      <c r="F8" s="856">
        <v>0.54</v>
      </c>
      <c r="G8" s="790">
        <v>1004.2289999999999</v>
      </c>
      <c r="H8" s="863">
        <v>346.25720000000001</v>
      </c>
      <c r="I8" s="863">
        <v>119</v>
      </c>
      <c r="J8" s="863">
        <v>431.79399999999998</v>
      </c>
      <c r="K8" s="863">
        <v>0</v>
      </c>
      <c r="L8" s="863">
        <v>0.52800000000000002</v>
      </c>
      <c r="M8" s="790">
        <v>897.57920000000001</v>
      </c>
      <c r="N8" s="601">
        <v>-0.10620067733554789</v>
      </c>
      <c r="O8" s="29" t="s">
        <v>1422</v>
      </c>
      <c r="P8" s="29" t="s">
        <v>1423</v>
      </c>
    </row>
    <row r="9" spans="1:17" ht="64" x14ac:dyDescent="0.35">
      <c r="A9" s="620" t="s">
        <v>1424</v>
      </c>
      <c r="B9" s="789">
        <v>0</v>
      </c>
      <c r="C9" s="856">
        <v>0</v>
      </c>
      <c r="D9" s="856">
        <v>488.36</v>
      </c>
      <c r="E9" s="856">
        <v>0</v>
      </c>
      <c r="F9" s="856">
        <v>0</v>
      </c>
      <c r="G9" s="790">
        <v>488.36</v>
      </c>
      <c r="H9" s="863">
        <v>0</v>
      </c>
      <c r="I9" s="863">
        <v>0</v>
      </c>
      <c r="J9" s="863">
        <v>482</v>
      </c>
      <c r="K9" s="863">
        <v>0</v>
      </c>
      <c r="L9" s="863">
        <v>0</v>
      </c>
      <c r="M9" s="790">
        <v>482</v>
      </c>
      <c r="N9" s="601">
        <v>-1.3023179621590657E-2</v>
      </c>
      <c r="O9" s="29" t="s">
        <v>1425</v>
      </c>
      <c r="P9" s="446" t="s">
        <v>1426</v>
      </c>
    </row>
    <row r="10" spans="1:17" ht="16" x14ac:dyDescent="0.35">
      <c r="A10" s="857" t="s">
        <v>1427</v>
      </c>
      <c r="B10" s="680">
        <v>337.25099999999998</v>
      </c>
      <c r="C10" s="680">
        <v>127.145</v>
      </c>
      <c r="D10" s="680">
        <v>1142.443</v>
      </c>
      <c r="E10" s="680">
        <v>0</v>
      </c>
      <c r="F10" s="680">
        <v>0.54</v>
      </c>
      <c r="G10" s="680">
        <v>1607.3789999999999</v>
      </c>
      <c r="H10" s="680">
        <v>346.25720000000001</v>
      </c>
      <c r="I10" s="680">
        <v>119</v>
      </c>
      <c r="J10" s="680">
        <v>1072.3820000000001</v>
      </c>
      <c r="K10" s="680">
        <v>0</v>
      </c>
      <c r="L10" s="680">
        <v>0.52800000000000002</v>
      </c>
      <c r="M10" s="680">
        <v>1538.1672000000001</v>
      </c>
      <c r="N10" s="631">
        <v>-4.305879322798159E-2</v>
      </c>
      <c r="O10" s="681"/>
      <c r="P10" s="682"/>
    </row>
    <row r="11" spans="1:17" ht="16" x14ac:dyDescent="0.35">
      <c r="A11" s="858"/>
      <c r="B11" s="859"/>
      <c r="C11" s="859"/>
      <c r="D11" s="859"/>
      <c r="E11" s="859"/>
      <c r="F11" s="859"/>
      <c r="G11" s="859"/>
      <c r="H11" s="859"/>
      <c r="I11" s="859"/>
      <c r="J11" s="859"/>
      <c r="K11" s="859"/>
      <c r="L11" s="859"/>
      <c r="M11" s="859"/>
      <c r="N11" s="860"/>
      <c r="O11" s="861"/>
      <c r="P11" s="861"/>
    </row>
    <row r="12" spans="1:17" ht="32" x14ac:dyDescent="0.35">
      <c r="A12" s="840" t="s">
        <v>1428</v>
      </c>
      <c r="B12" s="143"/>
      <c r="C12" s="143"/>
      <c r="D12" s="143"/>
      <c r="E12" s="143"/>
      <c r="F12" s="143"/>
      <c r="G12" s="143"/>
      <c r="H12" s="143"/>
      <c r="I12" s="143"/>
      <c r="J12" s="143"/>
      <c r="K12" s="143"/>
      <c r="L12" s="143"/>
      <c r="M12" s="143"/>
      <c r="N12" s="265"/>
      <c r="O12" s="862"/>
      <c r="P12" s="862"/>
    </row>
    <row r="13" spans="1:17" ht="64" x14ac:dyDescent="0.35">
      <c r="A13" s="598" t="s">
        <v>1429</v>
      </c>
      <c r="B13" s="863">
        <v>370.36399999999998</v>
      </c>
      <c r="C13" s="676">
        <v>0</v>
      </c>
      <c r="D13" s="676">
        <v>0</v>
      </c>
      <c r="E13" s="676">
        <v>0</v>
      </c>
      <c r="F13" s="676">
        <v>0</v>
      </c>
      <c r="G13" s="677">
        <v>370.36399999999998</v>
      </c>
      <c r="H13" s="1031">
        <v>417.5</v>
      </c>
      <c r="I13" s="863">
        <v>0</v>
      </c>
      <c r="J13" s="863">
        <v>0</v>
      </c>
      <c r="K13" s="863">
        <v>0</v>
      </c>
      <c r="L13" s="863">
        <v>0</v>
      </c>
      <c r="M13" s="1032">
        <v>417.5</v>
      </c>
      <c r="N13" s="1029">
        <f>IF(G13=0,"N/A",(M13-G13)/G13)</f>
        <v>0.12726938903349144</v>
      </c>
      <c r="O13" s="1030" t="s">
        <v>1910</v>
      </c>
      <c r="P13" s="602" t="s">
        <v>1430</v>
      </c>
    </row>
    <row r="14" spans="1:17" ht="80" x14ac:dyDescent="0.35">
      <c r="A14" s="620" t="s">
        <v>1431</v>
      </c>
      <c r="B14" s="856">
        <v>1.85</v>
      </c>
      <c r="C14" s="856">
        <v>0</v>
      </c>
      <c r="D14" s="856">
        <v>2</v>
      </c>
      <c r="E14" s="856">
        <v>0</v>
      </c>
      <c r="F14" s="856">
        <v>0</v>
      </c>
      <c r="G14" s="790">
        <v>3.85</v>
      </c>
      <c r="H14" s="863">
        <v>2.2000000000000002</v>
      </c>
      <c r="I14" s="863">
        <v>0</v>
      </c>
      <c r="J14" s="863">
        <v>2.0099999999999998</v>
      </c>
      <c r="K14" s="863">
        <v>0</v>
      </c>
      <c r="L14" s="863">
        <v>0</v>
      </c>
      <c r="M14" s="790">
        <v>4.21</v>
      </c>
      <c r="N14" s="601">
        <v>9.3506493506493468E-2</v>
      </c>
      <c r="O14" s="29" t="s">
        <v>1432</v>
      </c>
      <c r="P14" s="446" t="s">
        <v>1433</v>
      </c>
    </row>
    <row r="15" spans="1:17" ht="137.75" customHeight="1" x14ac:dyDescent="0.35">
      <c r="A15" s="620" t="s">
        <v>1434</v>
      </c>
      <c r="B15" s="856">
        <v>50.514000000000003</v>
      </c>
      <c r="C15" s="856">
        <v>0</v>
      </c>
      <c r="D15" s="856">
        <v>5</v>
      </c>
      <c r="E15" s="856">
        <v>0</v>
      </c>
      <c r="F15" s="856">
        <v>0</v>
      </c>
      <c r="G15" s="790">
        <v>55.514000000000003</v>
      </c>
      <c r="H15" s="863">
        <v>49.514000000000003</v>
      </c>
      <c r="I15" s="863">
        <v>0</v>
      </c>
      <c r="J15" s="863">
        <v>0</v>
      </c>
      <c r="K15" s="863">
        <v>0</v>
      </c>
      <c r="L15" s="863">
        <v>0</v>
      </c>
      <c r="M15" s="790">
        <v>49.514000000000003</v>
      </c>
      <c r="N15" s="601">
        <v>-0.1080808444716648</v>
      </c>
      <c r="O15" s="29" t="s">
        <v>1435</v>
      </c>
      <c r="P15" s="446" t="s">
        <v>1436</v>
      </c>
    </row>
    <row r="16" spans="1:17" ht="32" x14ac:dyDescent="0.35">
      <c r="A16" s="857" t="s">
        <v>1437</v>
      </c>
      <c r="B16" s="680">
        <v>422.72800000000001</v>
      </c>
      <c r="C16" s="680">
        <v>0</v>
      </c>
      <c r="D16" s="680">
        <v>7</v>
      </c>
      <c r="E16" s="680">
        <v>0</v>
      </c>
      <c r="F16" s="680">
        <v>0</v>
      </c>
      <c r="G16" s="680">
        <v>429.72800000000001</v>
      </c>
      <c r="H16" s="1033">
        <v>466.214</v>
      </c>
      <c r="I16" s="680">
        <v>0</v>
      </c>
      <c r="J16" s="680">
        <v>2.0099999999999998</v>
      </c>
      <c r="K16" s="680">
        <v>0</v>
      </c>
      <c r="L16" s="680">
        <v>0</v>
      </c>
      <c r="M16" s="1033">
        <v>471.22399999999999</v>
      </c>
      <c r="N16" s="1028">
        <v>9.6563407550822794E-2</v>
      </c>
      <c r="O16" s="681"/>
      <c r="P16" s="682"/>
    </row>
    <row r="17" spans="1:16" ht="16" x14ac:dyDescent="0.35">
      <c r="A17" s="864"/>
      <c r="B17" s="865"/>
      <c r="C17" s="865"/>
      <c r="D17" s="865"/>
      <c r="E17" s="865"/>
      <c r="F17" s="865"/>
      <c r="G17" s="865"/>
      <c r="H17" s="865"/>
      <c r="I17" s="865"/>
      <c r="J17" s="865"/>
      <c r="K17" s="865"/>
      <c r="L17" s="865"/>
      <c r="M17" s="865"/>
      <c r="N17" s="156"/>
      <c r="O17" s="861"/>
      <c r="P17" s="861"/>
    </row>
    <row r="18" spans="1:16" ht="32" x14ac:dyDescent="0.35">
      <c r="A18" s="840" t="s">
        <v>1438</v>
      </c>
      <c r="B18" s="143"/>
      <c r="C18" s="143"/>
      <c r="D18" s="143"/>
      <c r="E18" s="143"/>
      <c r="F18" s="143"/>
      <c r="G18" s="143"/>
      <c r="H18" s="143"/>
      <c r="I18" s="143"/>
      <c r="J18" s="143"/>
      <c r="K18" s="143"/>
      <c r="L18" s="143"/>
      <c r="M18" s="143"/>
      <c r="N18" s="265"/>
      <c r="O18" s="862"/>
      <c r="P18" s="862"/>
    </row>
    <row r="19" spans="1:16" ht="16" x14ac:dyDescent="0.35">
      <c r="A19" s="864"/>
      <c r="B19" s="865"/>
      <c r="C19" s="865"/>
      <c r="D19" s="865"/>
      <c r="E19" s="865"/>
      <c r="F19" s="865"/>
      <c r="G19" s="865"/>
      <c r="H19" s="865"/>
      <c r="I19" s="865"/>
      <c r="J19" s="865"/>
      <c r="K19" s="865"/>
      <c r="L19" s="865"/>
      <c r="M19" s="865"/>
      <c r="N19" s="156"/>
      <c r="O19" s="861"/>
      <c r="P19" s="861"/>
    </row>
    <row r="20" spans="1:16" ht="16" x14ac:dyDescent="0.35">
      <c r="A20" s="285"/>
      <c r="B20" s="866"/>
      <c r="C20" s="866"/>
      <c r="D20" s="866"/>
      <c r="E20" s="866"/>
      <c r="F20" s="866"/>
      <c r="G20" s="867"/>
      <c r="H20" s="866"/>
      <c r="I20" s="866"/>
      <c r="J20" s="866"/>
      <c r="K20" s="866"/>
      <c r="L20" s="866"/>
      <c r="M20" s="867"/>
      <c r="N20" s="868"/>
      <c r="O20" s="232"/>
      <c r="P20" s="285"/>
    </row>
    <row r="21" spans="1:16" ht="16" x14ac:dyDescent="0.35">
      <c r="A21" s="322" t="s">
        <v>1439</v>
      </c>
      <c r="B21" s="288"/>
      <c r="C21" s="288"/>
      <c r="D21" s="288"/>
      <c r="E21" s="288"/>
      <c r="F21" s="288"/>
      <c r="G21" s="288"/>
      <c r="H21" s="288"/>
      <c r="I21" s="288"/>
      <c r="J21" s="288"/>
      <c r="K21" s="288"/>
      <c r="L21" s="288"/>
      <c r="M21" s="288"/>
      <c r="N21" s="552"/>
      <c r="O21" s="869"/>
      <c r="P21" s="870"/>
    </row>
    <row r="22" spans="1:16" ht="32" x14ac:dyDescent="0.35">
      <c r="A22" s="620" t="s">
        <v>1440</v>
      </c>
      <c r="B22" s="856">
        <v>16.670999999999999</v>
      </c>
      <c r="C22" s="856">
        <v>0</v>
      </c>
      <c r="D22" s="856">
        <v>0</v>
      </c>
      <c r="E22" s="856">
        <v>0</v>
      </c>
      <c r="F22" s="856">
        <v>0</v>
      </c>
      <c r="G22" s="790">
        <v>16.670999999999999</v>
      </c>
      <c r="H22" s="676">
        <v>17.573</v>
      </c>
      <c r="I22" s="676">
        <v>0</v>
      </c>
      <c r="J22" s="676">
        <v>0</v>
      </c>
      <c r="K22" s="676">
        <v>0</v>
      </c>
      <c r="L22" s="676">
        <v>0</v>
      </c>
      <c r="M22" s="790">
        <v>17.573</v>
      </c>
      <c r="N22" s="601">
        <v>5.4105932457561096E-2</v>
      </c>
      <c r="O22" s="29" t="s">
        <v>1442</v>
      </c>
      <c r="P22" s="446" t="s">
        <v>1443</v>
      </c>
    </row>
    <row r="23" spans="1:16" ht="48" x14ac:dyDescent="0.35">
      <c r="A23" s="620" t="s">
        <v>1444</v>
      </c>
      <c r="B23" s="856">
        <v>4.9029999999999996</v>
      </c>
      <c r="C23" s="856">
        <v>4.1260000000000003</v>
      </c>
      <c r="D23" s="856">
        <v>3.5</v>
      </c>
      <c r="E23" s="856">
        <v>0</v>
      </c>
      <c r="F23" s="856">
        <v>0</v>
      </c>
      <c r="G23" s="790">
        <v>12.529</v>
      </c>
      <c r="H23" s="676">
        <v>5.0010000000000003</v>
      </c>
      <c r="I23" s="676">
        <v>3.1349999999999998</v>
      </c>
      <c r="J23" s="676">
        <v>1</v>
      </c>
      <c r="K23" s="676">
        <v>0</v>
      </c>
      <c r="L23" s="676">
        <v>0</v>
      </c>
      <c r="M23" s="790">
        <v>9.1359999999999992</v>
      </c>
      <c r="N23" s="601">
        <v>-0.27081171681698463</v>
      </c>
      <c r="O23" s="29" t="s">
        <v>1445</v>
      </c>
      <c r="P23" s="446" t="s">
        <v>1446</v>
      </c>
    </row>
    <row r="24" spans="1:16" ht="32" x14ac:dyDescent="0.35">
      <c r="A24" s="322" t="s">
        <v>1447</v>
      </c>
      <c r="B24" s="288">
        <v>21.573999999999998</v>
      </c>
      <c r="C24" s="288">
        <v>4.1260000000000003</v>
      </c>
      <c r="D24" s="288">
        <v>3.5</v>
      </c>
      <c r="E24" s="288">
        <v>0</v>
      </c>
      <c r="F24" s="288">
        <v>0</v>
      </c>
      <c r="G24" s="288">
        <v>29.2</v>
      </c>
      <c r="H24" s="288">
        <v>22.574000000000002</v>
      </c>
      <c r="I24" s="288">
        <v>3.1349999999999998</v>
      </c>
      <c r="J24" s="288">
        <v>1</v>
      </c>
      <c r="K24" s="288">
        <v>0</v>
      </c>
      <c r="L24" s="288">
        <v>0</v>
      </c>
      <c r="M24" s="288">
        <v>26.709</v>
      </c>
      <c r="N24" s="200">
        <v>-8.5308219178082179E-2</v>
      </c>
      <c r="O24" s="869" t="s">
        <v>46</v>
      </c>
      <c r="P24" s="870"/>
    </row>
    <row r="25" spans="1:16" ht="16" x14ac:dyDescent="0.35">
      <c r="A25" s="871"/>
      <c r="B25" s="865"/>
      <c r="C25" s="865"/>
      <c r="D25" s="865"/>
      <c r="E25" s="865"/>
      <c r="F25" s="865"/>
      <c r="G25" s="865"/>
      <c r="H25" s="865"/>
      <c r="I25" s="865"/>
      <c r="J25" s="865"/>
      <c r="K25" s="865"/>
      <c r="L25" s="865"/>
      <c r="M25" s="865"/>
      <c r="N25" s="872"/>
      <c r="O25" s="861"/>
      <c r="P25" s="861"/>
    </row>
    <row r="26" spans="1:16" ht="16" x14ac:dyDescent="0.35">
      <c r="A26" s="871"/>
      <c r="B26" s="865"/>
      <c r="C26" s="865"/>
      <c r="D26" s="865"/>
      <c r="E26" s="865"/>
      <c r="F26" s="865"/>
      <c r="G26" s="865"/>
      <c r="H26" s="865"/>
      <c r="I26" s="865"/>
      <c r="J26" s="865"/>
      <c r="K26" s="865"/>
      <c r="L26" s="865"/>
      <c r="M26" s="865"/>
      <c r="N26" s="156"/>
      <c r="O26" s="861"/>
      <c r="P26" s="873"/>
    </row>
    <row r="27" spans="1:16" ht="16" x14ac:dyDescent="0.35">
      <c r="A27" s="315" t="s">
        <v>1448</v>
      </c>
      <c r="B27" s="166"/>
      <c r="C27" s="166"/>
      <c r="D27" s="166"/>
      <c r="E27" s="166"/>
      <c r="F27" s="166"/>
      <c r="G27" s="166"/>
      <c r="H27" s="166"/>
      <c r="I27" s="166"/>
      <c r="J27" s="166"/>
      <c r="K27" s="166"/>
      <c r="L27" s="166"/>
      <c r="M27" s="166"/>
      <c r="N27" s="258"/>
      <c r="O27" s="874"/>
      <c r="P27" s="874"/>
    </row>
    <row r="28" spans="1:16" ht="48" x14ac:dyDescent="0.35">
      <c r="A28" s="620" t="s">
        <v>1449</v>
      </c>
      <c r="B28" s="676">
        <v>11.845000000000001</v>
      </c>
      <c r="C28" s="676">
        <v>11.25</v>
      </c>
      <c r="D28" s="676">
        <v>0</v>
      </c>
      <c r="E28" s="676">
        <v>0</v>
      </c>
      <c r="F28" s="676">
        <v>0</v>
      </c>
      <c r="G28" s="677">
        <v>23.094999999999999</v>
      </c>
      <c r="H28" s="676">
        <v>12.845000000000001</v>
      </c>
      <c r="I28" s="676">
        <v>18</v>
      </c>
      <c r="J28" s="676">
        <v>0</v>
      </c>
      <c r="K28" s="676">
        <v>0</v>
      </c>
      <c r="L28" s="676">
        <v>0</v>
      </c>
      <c r="M28" s="677">
        <v>30.844999999999999</v>
      </c>
      <c r="N28" s="601">
        <v>0.33557046979865773</v>
      </c>
      <c r="O28" s="678" t="s">
        <v>1450</v>
      </c>
      <c r="P28" s="602" t="s">
        <v>1451</v>
      </c>
    </row>
    <row r="29" spans="1:16" ht="16" x14ac:dyDescent="0.35">
      <c r="A29" s="620" t="s">
        <v>1452</v>
      </c>
      <c r="B29" s="856">
        <v>0</v>
      </c>
      <c r="C29" s="856">
        <v>0</v>
      </c>
      <c r="D29" s="856">
        <v>12.2</v>
      </c>
      <c r="E29" s="856">
        <v>0</v>
      </c>
      <c r="F29" s="856">
        <v>0</v>
      </c>
      <c r="G29" s="790">
        <v>12.2</v>
      </c>
      <c r="H29" s="676">
        <v>0</v>
      </c>
      <c r="I29" s="676">
        <v>0</v>
      </c>
      <c r="J29" s="676">
        <v>12.6</v>
      </c>
      <c r="K29" s="676">
        <v>0</v>
      </c>
      <c r="L29" s="676">
        <v>0</v>
      </c>
      <c r="M29" s="790">
        <v>12.6</v>
      </c>
      <c r="N29" s="601">
        <v>3.2786885245901669E-2</v>
      </c>
      <c r="O29" s="29" t="s">
        <v>1453</v>
      </c>
      <c r="P29" s="446" t="s">
        <v>343</v>
      </c>
    </row>
    <row r="30" spans="1:16" ht="16" x14ac:dyDescent="0.35">
      <c r="A30" s="322" t="s">
        <v>1454</v>
      </c>
      <c r="B30" s="288">
        <v>11.845000000000001</v>
      </c>
      <c r="C30" s="288">
        <v>11.25</v>
      </c>
      <c r="D30" s="288">
        <v>12.2</v>
      </c>
      <c r="E30" s="288">
        <v>0</v>
      </c>
      <c r="F30" s="288">
        <v>0</v>
      </c>
      <c r="G30" s="288">
        <v>35.295000000000002</v>
      </c>
      <c r="H30" s="288">
        <v>12.845000000000001</v>
      </c>
      <c r="I30" s="288">
        <v>18</v>
      </c>
      <c r="J30" s="288">
        <v>12.6</v>
      </c>
      <c r="K30" s="288">
        <v>0</v>
      </c>
      <c r="L30" s="288">
        <v>0</v>
      </c>
      <c r="M30" s="288">
        <v>43.445</v>
      </c>
      <c r="N30" s="200">
        <v>0.23091089389431926</v>
      </c>
      <c r="O30" s="869" t="s">
        <v>237</v>
      </c>
      <c r="P30" s="875" t="s">
        <v>237</v>
      </c>
    </row>
    <row r="31" spans="1:16" ht="16" x14ac:dyDescent="0.35">
      <c r="A31" s="871"/>
      <c r="B31" s="865"/>
      <c r="C31" s="865"/>
      <c r="D31" s="865"/>
      <c r="E31" s="865"/>
      <c r="F31" s="865"/>
      <c r="G31" s="865"/>
      <c r="H31" s="865"/>
      <c r="I31" s="865"/>
      <c r="J31" s="865"/>
      <c r="K31" s="865"/>
      <c r="L31" s="865"/>
      <c r="M31" s="865"/>
      <c r="N31" s="876"/>
      <c r="O31" s="861"/>
      <c r="P31" s="873"/>
    </row>
    <row r="32" spans="1:16" ht="64" x14ac:dyDescent="0.35">
      <c r="A32" s="877" t="s">
        <v>1455</v>
      </c>
      <c r="B32" s="789">
        <v>0</v>
      </c>
      <c r="C32" s="789">
        <v>0</v>
      </c>
      <c r="D32" s="789">
        <v>0</v>
      </c>
      <c r="E32" s="789">
        <v>0</v>
      </c>
      <c r="F32" s="789">
        <v>0</v>
      </c>
      <c r="G32" s="790">
        <v>0</v>
      </c>
      <c r="H32" s="676">
        <v>0</v>
      </c>
      <c r="I32" s="676">
        <v>0</v>
      </c>
      <c r="J32" s="676">
        <v>0</v>
      </c>
      <c r="K32" s="676">
        <v>0</v>
      </c>
      <c r="L32" s="676">
        <v>0</v>
      </c>
      <c r="M32" s="790">
        <v>0</v>
      </c>
      <c r="N32" s="601" t="s">
        <v>50</v>
      </c>
      <c r="O32" s="29" t="s">
        <v>1456</v>
      </c>
      <c r="P32" s="446" t="s">
        <v>1457</v>
      </c>
    </row>
    <row r="33" spans="1:16" ht="14.25" customHeight="1" x14ac:dyDescent="0.35">
      <c r="A33" s="285"/>
      <c r="B33" s="866"/>
      <c r="C33" s="866"/>
      <c r="D33" s="866"/>
      <c r="E33" s="866"/>
      <c r="F33" s="866"/>
      <c r="G33" s="867"/>
      <c r="H33" s="866"/>
      <c r="I33" s="866"/>
      <c r="J33" s="866"/>
      <c r="K33" s="866"/>
      <c r="L33" s="866"/>
      <c r="M33" s="867"/>
      <c r="N33" s="868"/>
      <c r="O33" s="878"/>
      <c r="P33" s="473"/>
    </row>
    <row r="34" spans="1:16" ht="16" x14ac:dyDescent="0.35">
      <c r="A34" s="625" t="s">
        <v>1458</v>
      </c>
      <c r="B34" s="625"/>
      <c r="C34" s="625"/>
      <c r="D34" s="625"/>
      <c r="E34" s="625"/>
      <c r="F34" s="625"/>
      <c r="G34" s="625"/>
      <c r="H34" s="625"/>
      <c r="I34" s="625"/>
      <c r="J34" s="625"/>
      <c r="K34" s="625"/>
      <c r="L34" s="625"/>
      <c r="M34" s="625"/>
      <c r="N34" s="625"/>
      <c r="O34" s="625"/>
      <c r="P34" s="625"/>
    </row>
    <row r="35" spans="1:16" ht="160.25" customHeight="1" x14ac:dyDescent="0.35">
      <c r="A35" s="598" t="s">
        <v>1458</v>
      </c>
      <c r="B35" s="676">
        <v>40</v>
      </c>
      <c r="C35" s="676">
        <v>0</v>
      </c>
      <c r="D35" s="863">
        <v>145.44300000000001</v>
      </c>
      <c r="E35" s="676">
        <v>0</v>
      </c>
      <c r="F35" s="676">
        <v>0</v>
      </c>
      <c r="G35" s="677">
        <v>185.44300000000001</v>
      </c>
      <c r="H35" s="676">
        <v>12.4</v>
      </c>
      <c r="I35" s="676">
        <v>0</v>
      </c>
      <c r="J35" s="863">
        <v>152.4</v>
      </c>
      <c r="K35" s="676">
        <v>0</v>
      </c>
      <c r="L35" s="676">
        <v>0</v>
      </c>
      <c r="M35" s="677">
        <v>164.8</v>
      </c>
      <c r="N35" s="601">
        <v>-0.11131722416052371</v>
      </c>
      <c r="O35" s="678" t="s">
        <v>1460</v>
      </c>
      <c r="P35" s="602" t="s">
        <v>1581</v>
      </c>
    </row>
    <row r="37" spans="1:16" ht="32" x14ac:dyDescent="0.35">
      <c r="A37" s="322" t="s">
        <v>1461</v>
      </c>
      <c r="B37" s="288">
        <v>40</v>
      </c>
      <c r="C37" s="288">
        <v>0</v>
      </c>
      <c r="D37" s="288">
        <v>145.44300000000001</v>
      </c>
      <c r="E37" s="288">
        <v>0</v>
      </c>
      <c r="F37" s="288">
        <v>0</v>
      </c>
      <c r="G37" s="288">
        <v>185.44300000000001</v>
      </c>
      <c r="H37" s="288">
        <v>12.4</v>
      </c>
      <c r="I37" s="288">
        <v>0</v>
      </c>
      <c r="J37" s="288">
        <v>152.4</v>
      </c>
      <c r="K37" s="288">
        <v>0</v>
      </c>
      <c r="L37" s="288">
        <v>0</v>
      </c>
      <c r="M37" s="288">
        <v>164.8</v>
      </c>
      <c r="N37" s="200">
        <v>-0.11131722416052371</v>
      </c>
      <c r="O37" s="879"/>
      <c r="P37" s="870"/>
    </row>
    <row r="38" spans="1:16" ht="16" x14ac:dyDescent="0.35">
      <c r="A38" s="880"/>
      <c r="B38" s="881"/>
      <c r="C38" s="881"/>
      <c r="D38" s="881"/>
      <c r="E38" s="881"/>
      <c r="F38" s="881"/>
      <c r="G38" s="881"/>
      <c r="H38" s="881"/>
      <c r="I38" s="881"/>
      <c r="J38" s="881"/>
      <c r="K38" s="881"/>
      <c r="L38" s="881"/>
      <c r="M38" s="881"/>
      <c r="N38" s="882"/>
      <c r="O38" s="883"/>
      <c r="P38" s="884"/>
    </row>
    <row r="39" spans="1:16" ht="32" x14ac:dyDescent="0.35">
      <c r="A39" s="315" t="s">
        <v>1462</v>
      </c>
      <c r="B39" s="166"/>
      <c r="C39" s="166"/>
      <c r="D39" s="166"/>
      <c r="E39" s="166"/>
      <c r="F39" s="166"/>
      <c r="G39" s="166"/>
      <c r="H39" s="166"/>
      <c r="I39" s="166"/>
      <c r="J39" s="166"/>
      <c r="K39" s="166"/>
      <c r="L39" s="166"/>
      <c r="M39" s="166"/>
      <c r="N39" s="258"/>
      <c r="O39" s="874"/>
      <c r="P39" s="874"/>
    </row>
    <row r="40" spans="1:16" ht="69.650000000000006" customHeight="1" x14ac:dyDescent="0.35">
      <c r="A40" s="620" t="s">
        <v>1463</v>
      </c>
      <c r="B40" s="789">
        <v>0</v>
      </c>
      <c r="C40" s="789">
        <v>0</v>
      </c>
      <c r="D40" s="789">
        <v>0</v>
      </c>
      <c r="E40" s="789">
        <v>15</v>
      </c>
      <c r="F40" s="789">
        <v>0</v>
      </c>
      <c r="G40" s="790">
        <v>15</v>
      </c>
      <c r="H40" s="676">
        <v>0</v>
      </c>
      <c r="I40" s="676">
        <v>0</v>
      </c>
      <c r="J40" s="676">
        <v>0</v>
      </c>
      <c r="K40" s="676">
        <v>20</v>
      </c>
      <c r="L40" s="676">
        <v>0</v>
      </c>
      <c r="M40" s="790">
        <v>20</v>
      </c>
      <c r="N40" s="601"/>
      <c r="O40" s="678" t="s">
        <v>1464</v>
      </c>
      <c r="P40" s="678" t="s">
        <v>1582</v>
      </c>
    </row>
    <row r="41" spans="1:16" ht="94.5" customHeight="1" x14ac:dyDescent="0.35">
      <c r="A41" s="620" t="s">
        <v>1465</v>
      </c>
      <c r="B41" s="789">
        <v>0</v>
      </c>
      <c r="C41" s="789">
        <v>0</v>
      </c>
      <c r="D41" s="789">
        <v>0</v>
      </c>
      <c r="E41" s="789">
        <v>-41.5</v>
      </c>
      <c r="F41" s="789">
        <v>0</v>
      </c>
      <c r="G41" s="790">
        <v>-41.5</v>
      </c>
      <c r="H41" s="676">
        <v>0</v>
      </c>
      <c r="I41" s="676">
        <v>0</v>
      </c>
      <c r="J41" s="676">
        <v>0</v>
      </c>
      <c r="K41" s="676">
        <v>-30</v>
      </c>
      <c r="L41" s="676">
        <v>0</v>
      </c>
      <c r="M41" s="790">
        <v>-30</v>
      </c>
      <c r="N41" s="601"/>
      <c r="O41" s="678" t="s">
        <v>1466</v>
      </c>
      <c r="P41" s="678" t="s">
        <v>1583</v>
      </c>
    </row>
    <row r="42" spans="1:16" ht="33" customHeight="1" x14ac:dyDescent="0.35">
      <c r="A42" s="322" t="s">
        <v>1467</v>
      </c>
      <c r="B42" s="288">
        <v>0</v>
      </c>
      <c r="C42" s="288">
        <v>0</v>
      </c>
      <c r="D42" s="288">
        <v>0</v>
      </c>
      <c r="E42" s="288">
        <v>-26.5</v>
      </c>
      <c r="F42" s="288">
        <v>0</v>
      </c>
      <c r="G42" s="288">
        <v>-26.5</v>
      </c>
      <c r="H42" s="288">
        <v>0</v>
      </c>
      <c r="I42" s="288">
        <v>0</v>
      </c>
      <c r="J42" s="288">
        <v>0</v>
      </c>
      <c r="K42" s="288">
        <v>-10</v>
      </c>
      <c r="L42" s="288">
        <v>0</v>
      </c>
      <c r="M42" s="288">
        <v>-10</v>
      </c>
      <c r="N42" s="912">
        <v>-0.62264150943396224</v>
      </c>
      <c r="O42" s="869"/>
      <c r="P42" s="875"/>
    </row>
    <row r="44" spans="1:16" ht="16" x14ac:dyDescent="0.35">
      <c r="A44" s="315" t="s">
        <v>1468</v>
      </c>
      <c r="B44" s="166"/>
      <c r="C44" s="166"/>
      <c r="D44" s="166"/>
      <c r="E44" s="166"/>
      <c r="F44" s="166"/>
      <c r="G44" s="166"/>
      <c r="H44" s="166"/>
      <c r="I44" s="166"/>
      <c r="J44" s="166"/>
      <c r="K44" s="166"/>
      <c r="L44" s="166"/>
      <c r="M44" s="166"/>
      <c r="N44" s="258"/>
      <c r="O44" s="874"/>
      <c r="P44" s="874"/>
    </row>
    <row r="45" spans="1:16" ht="64" x14ac:dyDescent="0.35">
      <c r="A45" s="885" t="s">
        <v>1469</v>
      </c>
      <c r="B45" s="789">
        <v>2.5999999999999999E-2</v>
      </c>
      <c r="C45" s="789">
        <v>0</v>
      </c>
      <c r="D45" s="789">
        <v>35.956000000000003</v>
      </c>
      <c r="E45" s="789">
        <v>0</v>
      </c>
      <c r="F45" s="789">
        <v>0</v>
      </c>
      <c r="G45" s="790">
        <v>35.982000000000006</v>
      </c>
      <c r="H45" s="863">
        <v>0.5</v>
      </c>
      <c r="I45" s="863">
        <v>0</v>
      </c>
      <c r="J45" s="863">
        <v>53.9</v>
      </c>
      <c r="K45" s="863">
        <v>0</v>
      </c>
      <c r="L45" s="863">
        <v>0</v>
      </c>
      <c r="M45" s="790">
        <v>54.4</v>
      </c>
      <c r="N45" s="601">
        <v>0.51186704463342747</v>
      </c>
      <c r="O45" s="29" t="s">
        <v>1470</v>
      </c>
      <c r="P45" s="446" t="s">
        <v>1471</v>
      </c>
    </row>
    <row r="46" spans="1:16" ht="33" customHeight="1" x14ac:dyDescent="0.35">
      <c r="A46" s="322" t="s">
        <v>1472</v>
      </c>
      <c r="B46" s="288">
        <v>2.5999999999999999E-2</v>
      </c>
      <c r="C46" s="288">
        <v>0</v>
      </c>
      <c r="D46" s="288">
        <v>35.956000000000003</v>
      </c>
      <c r="E46" s="288">
        <v>0</v>
      </c>
      <c r="F46" s="288">
        <v>0</v>
      </c>
      <c r="G46" s="288">
        <v>35.982000000000006</v>
      </c>
      <c r="H46" s="288">
        <v>0.5</v>
      </c>
      <c r="I46" s="288">
        <v>0</v>
      </c>
      <c r="J46" s="288">
        <v>53.9</v>
      </c>
      <c r="K46" s="288">
        <v>0</v>
      </c>
      <c r="L46" s="288">
        <v>0</v>
      </c>
      <c r="M46" s="288">
        <v>54.4</v>
      </c>
      <c r="N46" s="200">
        <v>0.51186704463342747</v>
      </c>
      <c r="O46" s="869"/>
      <c r="P46" s="875"/>
    </row>
    <row r="48" spans="1:16" ht="16" x14ac:dyDescent="0.35">
      <c r="A48" s="620" t="s">
        <v>1473</v>
      </c>
      <c r="B48" s="789">
        <v>0</v>
      </c>
      <c r="C48" s="789">
        <v>0</v>
      </c>
      <c r="D48" s="789">
        <v>0</v>
      </c>
      <c r="E48" s="789">
        <v>0</v>
      </c>
      <c r="F48" s="789">
        <v>0</v>
      </c>
      <c r="G48" s="790">
        <v>0</v>
      </c>
      <c r="H48" s="856">
        <v>0</v>
      </c>
      <c r="I48" s="856">
        <v>0</v>
      </c>
      <c r="J48" s="856">
        <v>0</v>
      </c>
      <c r="K48" s="856">
        <v>0</v>
      </c>
      <c r="L48" s="856">
        <v>0</v>
      </c>
      <c r="M48" s="790">
        <v>0</v>
      </c>
      <c r="N48" s="623" t="s">
        <v>50</v>
      </c>
      <c r="O48" s="29" t="s">
        <v>1474</v>
      </c>
      <c r="P48" s="446" t="s">
        <v>1475</v>
      </c>
    </row>
    <row r="50" spans="1:17" ht="126.65" customHeight="1" x14ac:dyDescent="0.35">
      <c r="A50" s="620" t="s">
        <v>1476</v>
      </c>
      <c r="B50" s="856">
        <v>10.923</v>
      </c>
      <c r="C50" s="856">
        <v>0</v>
      </c>
      <c r="D50" s="856">
        <v>0</v>
      </c>
      <c r="E50" s="856">
        <v>0</v>
      </c>
      <c r="F50" s="856">
        <v>0</v>
      </c>
      <c r="G50" s="790">
        <v>10.923</v>
      </c>
      <c r="H50" s="856">
        <v>9.1999999999999993</v>
      </c>
      <c r="I50" s="856">
        <v>0</v>
      </c>
      <c r="J50" s="856">
        <v>25</v>
      </c>
      <c r="K50" s="856">
        <v>0</v>
      </c>
      <c r="L50" s="856">
        <v>0</v>
      </c>
      <c r="M50" s="790">
        <v>34.200000000000003</v>
      </c>
      <c r="N50" s="623">
        <v>2.131007964844823</v>
      </c>
      <c r="O50" s="29" t="s">
        <v>1477</v>
      </c>
      <c r="P50" s="446" t="s">
        <v>1584</v>
      </c>
    </row>
    <row r="51" spans="1:17" ht="16" x14ac:dyDescent="0.35">
      <c r="A51" s="864"/>
      <c r="B51" s="865"/>
      <c r="C51" s="865"/>
      <c r="D51" s="865"/>
      <c r="E51" s="865"/>
      <c r="F51" s="865"/>
      <c r="G51" s="865"/>
      <c r="H51" s="865"/>
      <c r="I51" s="865"/>
      <c r="J51" s="865"/>
      <c r="K51" s="865"/>
      <c r="L51" s="865"/>
      <c r="M51" s="865"/>
      <c r="N51" s="156"/>
      <c r="O51" s="861"/>
      <c r="P51" s="861"/>
    </row>
    <row r="52" spans="1:17" ht="32" x14ac:dyDescent="0.35">
      <c r="A52" s="857" t="s">
        <v>1478</v>
      </c>
      <c r="B52" s="680">
        <v>84.367999999999995</v>
      </c>
      <c r="C52" s="680">
        <v>15.376000000000001</v>
      </c>
      <c r="D52" s="680">
        <v>197.09899999999999</v>
      </c>
      <c r="E52" s="680">
        <v>-26.5</v>
      </c>
      <c r="F52" s="680">
        <v>0</v>
      </c>
      <c r="G52" s="680">
        <v>270.34300000000002</v>
      </c>
      <c r="H52" s="680">
        <v>57.518999999999998</v>
      </c>
      <c r="I52" s="680">
        <v>21.134999999999998</v>
      </c>
      <c r="J52" s="680">
        <v>244.9</v>
      </c>
      <c r="K52" s="680">
        <v>-10</v>
      </c>
      <c r="L52" s="680">
        <v>0</v>
      </c>
      <c r="M52" s="680">
        <v>313.55399999999997</v>
      </c>
      <c r="N52" s="631">
        <v>0.1598376876782456</v>
      </c>
      <c r="O52" s="681"/>
      <c r="P52" s="682"/>
    </row>
    <row r="53" spans="1:17" ht="16" x14ac:dyDescent="0.35">
      <c r="A53" s="864"/>
      <c r="B53" s="865"/>
      <c r="C53" s="865"/>
      <c r="D53" s="865"/>
      <c r="E53" s="865"/>
      <c r="F53" s="865"/>
      <c r="G53" s="865"/>
      <c r="H53" s="865"/>
      <c r="I53" s="865"/>
      <c r="J53" s="865"/>
      <c r="K53" s="865"/>
      <c r="L53" s="865"/>
      <c r="M53" s="865"/>
      <c r="N53" s="156"/>
      <c r="O53" s="861"/>
      <c r="P53" s="861"/>
    </row>
    <row r="54" spans="1:17" ht="48" x14ac:dyDescent="0.35">
      <c r="A54" s="840" t="s">
        <v>1479</v>
      </c>
      <c r="B54" s="886"/>
      <c r="C54" s="886"/>
      <c r="D54" s="886"/>
      <c r="E54" s="886"/>
      <c r="F54" s="886"/>
      <c r="G54" s="886"/>
      <c r="H54" s="886"/>
      <c r="I54" s="886"/>
      <c r="J54" s="886"/>
      <c r="K54" s="886"/>
      <c r="L54" s="886"/>
      <c r="M54" s="886"/>
      <c r="N54" s="887"/>
      <c r="O54" s="888"/>
      <c r="P54" s="888"/>
    </row>
    <row r="55" spans="1:17" ht="16" x14ac:dyDescent="0.35">
      <c r="A55" s="864"/>
      <c r="B55" s="865"/>
      <c r="C55" s="865"/>
      <c r="D55" s="865"/>
      <c r="E55" s="865"/>
      <c r="F55" s="865"/>
      <c r="G55" s="865"/>
      <c r="H55" s="865"/>
      <c r="I55" s="865"/>
      <c r="J55" s="865"/>
      <c r="K55" s="865"/>
      <c r="L55" s="865"/>
      <c r="M55" s="865"/>
      <c r="N55" s="876"/>
      <c r="O55" s="861"/>
      <c r="P55" s="861"/>
    </row>
    <row r="56" spans="1:17" ht="118.5" customHeight="1" x14ac:dyDescent="0.35">
      <c r="A56" s="620" t="s">
        <v>1480</v>
      </c>
      <c r="B56" s="856">
        <v>0</v>
      </c>
      <c r="C56" s="856">
        <v>0</v>
      </c>
      <c r="D56" s="856">
        <v>118.6</v>
      </c>
      <c r="E56" s="856">
        <v>0</v>
      </c>
      <c r="F56" s="856">
        <v>0</v>
      </c>
      <c r="G56" s="790">
        <v>118.6</v>
      </c>
      <c r="H56" s="676">
        <v>0</v>
      </c>
      <c r="I56" s="676">
        <v>0</v>
      </c>
      <c r="J56" s="676">
        <v>157.476</v>
      </c>
      <c r="K56" s="676">
        <v>0</v>
      </c>
      <c r="L56" s="676">
        <v>0</v>
      </c>
      <c r="M56" s="790">
        <v>157.476</v>
      </c>
      <c r="N56" s="601">
        <v>0.32779089376053966</v>
      </c>
      <c r="O56" s="29" t="s">
        <v>1481</v>
      </c>
      <c r="P56" s="446" t="s">
        <v>1482</v>
      </c>
    </row>
    <row r="57" spans="1:17" ht="16" x14ac:dyDescent="0.35">
      <c r="A57" s="889"/>
      <c r="B57" s="890"/>
      <c r="C57" s="890"/>
      <c r="D57" s="890"/>
      <c r="E57" s="890"/>
      <c r="F57" s="890"/>
      <c r="G57" s="890"/>
      <c r="H57" s="890"/>
      <c r="I57" s="890"/>
      <c r="J57" s="890"/>
      <c r="K57" s="890"/>
      <c r="L57" s="890"/>
      <c r="M57" s="890"/>
      <c r="N57" s="891"/>
      <c r="O57" s="861"/>
      <c r="P57" s="873"/>
    </row>
    <row r="58" spans="1:17" ht="16" x14ac:dyDescent="0.35">
      <c r="A58" s="315" t="s">
        <v>1483</v>
      </c>
      <c r="B58" s="166"/>
      <c r="C58" s="166"/>
      <c r="D58" s="166"/>
      <c r="E58" s="166"/>
      <c r="F58" s="166"/>
      <c r="G58" s="166"/>
      <c r="H58" s="166"/>
      <c r="I58" s="166"/>
      <c r="J58" s="166"/>
      <c r="K58" s="166"/>
      <c r="L58" s="166"/>
      <c r="M58" s="166"/>
      <c r="N58" s="258"/>
      <c r="O58" s="892"/>
      <c r="P58" s="892"/>
    </row>
    <row r="59" spans="1:17" ht="129.5" customHeight="1" x14ac:dyDescent="0.35">
      <c r="A59" s="598" t="s">
        <v>1484</v>
      </c>
      <c r="B59" s="676">
        <v>0</v>
      </c>
      <c r="C59" s="676">
        <v>0</v>
      </c>
      <c r="D59" s="676">
        <v>7.9</v>
      </c>
      <c r="E59" s="676">
        <v>0</v>
      </c>
      <c r="F59" s="676">
        <v>0</v>
      </c>
      <c r="G59" s="677">
        <v>7.9</v>
      </c>
      <c r="H59" s="676">
        <v>0</v>
      </c>
      <c r="I59" s="676">
        <v>0</v>
      </c>
      <c r="J59" s="676">
        <v>7.5750000000000002</v>
      </c>
      <c r="K59" s="676">
        <v>0</v>
      </c>
      <c r="L59" s="676">
        <v>0</v>
      </c>
      <c r="M59" s="677">
        <v>7.5750000000000002</v>
      </c>
      <c r="N59" s="601">
        <v>-4.1139240506329132E-2</v>
      </c>
      <c r="O59" s="678" t="s">
        <v>1485</v>
      </c>
      <c r="P59" s="602" t="s">
        <v>1486</v>
      </c>
    </row>
    <row r="60" spans="1:17" ht="32" x14ac:dyDescent="0.35">
      <c r="A60" s="620" t="s">
        <v>1487</v>
      </c>
      <c r="B60" s="856">
        <v>1.83</v>
      </c>
      <c r="C60" s="856">
        <v>0</v>
      </c>
      <c r="D60" s="856">
        <v>0</v>
      </c>
      <c r="E60" s="856">
        <v>0</v>
      </c>
      <c r="F60" s="856">
        <v>0</v>
      </c>
      <c r="G60" s="790">
        <v>1.83</v>
      </c>
      <c r="H60" s="676">
        <v>2.2000000000000002</v>
      </c>
      <c r="I60" s="676">
        <v>0</v>
      </c>
      <c r="J60" s="676">
        <v>0</v>
      </c>
      <c r="K60" s="676">
        <v>0</v>
      </c>
      <c r="L60" s="676">
        <v>0</v>
      </c>
      <c r="M60" s="790">
        <v>2.2000000000000002</v>
      </c>
      <c r="N60" s="601">
        <v>0.20218579234972683</v>
      </c>
      <c r="O60" s="29" t="s">
        <v>1488</v>
      </c>
      <c r="P60" s="446" t="s">
        <v>1489</v>
      </c>
    </row>
    <row r="61" spans="1:17" ht="32" x14ac:dyDescent="0.35">
      <c r="A61" s="322" t="s">
        <v>1490</v>
      </c>
      <c r="B61" s="288">
        <v>1.83</v>
      </c>
      <c r="C61" s="288">
        <v>0</v>
      </c>
      <c r="D61" s="288">
        <v>7.9</v>
      </c>
      <c r="E61" s="288">
        <v>0</v>
      </c>
      <c r="F61" s="288">
        <v>0</v>
      </c>
      <c r="G61" s="288">
        <v>9.73</v>
      </c>
      <c r="H61" s="288">
        <v>2.2000000000000002</v>
      </c>
      <c r="I61" s="288">
        <v>0</v>
      </c>
      <c r="J61" s="288">
        <v>7.5750000000000002</v>
      </c>
      <c r="K61" s="288">
        <v>0</v>
      </c>
      <c r="L61" s="288">
        <v>0</v>
      </c>
      <c r="M61" s="288">
        <v>9.7750000000000004</v>
      </c>
      <c r="N61" s="200">
        <v>4.6248715313463437E-3</v>
      </c>
      <c r="O61" s="869"/>
      <c r="P61" s="875"/>
    </row>
    <row r="62" spans="1:17" ht="16" x14ac:dyDescent="0.35">
      <c r="A62" s="889"/>
      <c r="B62" s="890"/>
      <c r="C62" s="890"/>
      <c r="D62" s="890"/>
      <c r="E62" s="890"/>
      <c r="F62" s="890"/>
      <c r="G62" s="890"/>
      <c r="H62" s="890"/>
      <c r="I62" s="890"/>
      <c r="J62" s="890"/>
      <c r="K62" s="890"/>
      <c r="L62" s="890"/>
      <c r="M62" s="890"/>
      <c r="N62" s="893"/>
      <c r="O62" s="861"/>
      <c r="P62" s="873"/>
    </row>
    <row r="63" spans="1:17" ht="16" x14ac:dyDescent="0.35">
      <c r="A63" s="894"/>
      <c r="B63" s="617"/>
      <c r="C63" s="617"/>
      <c r="D63" s="617"/>
      <c r="E63" s="617"/>
      <c r="F63" s="617"/>
      <c r="G63" s="617"/>
      <c r="H63" s="617"/>
      <c r="I63" s="617"/>
      <c r="J63" s="617"/>
      <c r="K63" s="617"/>
      <c r="L63" s="617"/>
      <c r="M63" s="617"/>
      <c r="N63" s="882"/>
      <c r="O63" s="873"/>
      <c r="P63" s="873"/>
      <c r="Q63" s="236"/>
    </row>
    <row r="64" spans="1:17" ht="32" x14ac:dyDescent="0.35">
      <c r="A64" s="315" t="s">
        <v>1491</v>
      </c>
      <c r="B64" s="166"/>
      <c r="C64" s="166"/>
      <c r="D64" s="166"/>
      <c r="E64" s="166"/>
      <c r="F64" s="166"/>
      <c r="G64" s="166"/>
      <c r="H64" s="166"/>
      <c r="I64" s="166"/>
      <c r="J64" s="166"/>
      <c r="K64" s="166"/>
      <c r="L64" s="166"/>
      <c r="M64" s="166"/>
      <c r="N64" s="258"/>
      <c r="O64" s="892"/>
      <c r="P64" s="892"/>
    </row>
    <row r="65" spans="1:17" ht="153" customHeight="1" x14ac:dyDescent="0.35">
      <c r="A65" s="620" t="s">
        <v>1492</v>
      </c>
      <c r="B65" s="856">
        <v>0.56499999999999995</v>
      </c>
      <c r="C65" s="856">
        <v>0</v>
      </c>
      <c r="D65" s="856">
        <v>68</v>
      </c>
      <c r="E65" s="856">
        <v>0</v>
      </c>
      <c r="F65" s="856">
        <v>0</v>
      </c>
      <c r="G65" s="790">
        <v>68.564999999999998</v>
      </c>
      <c r="H65" s="676">
        <v>0.56499999999999995</v>
      </c>
      <c r="I65" s="676">
        <v>0</v>
      </c>
      <c r="J65" s="863">
        <v>71.177000000000007</v>
      </c>
      <c r="K65" s="676">
        <v>0</v>
      </c>
      <c r="L65" s="676">
        <v>0</v>
      </c>
      <c r="M65" s="790">
        <v>71.742000000000004</v>
      </c>
      <c r="N65" s="601">
        <v>4.6335593961934034E-2</v>
      </c>
      <c r="O65" s="29" t="s">
        <v>1493</v>
      </c>
      <c r="P65" s="446" t="s">
        <v>1494</v>
      </c>
    </row>
    <row r="66" spans="1:17" ht="32" x14ac:dyDescent="0.35">
      <c r="A66" s="620" t="s">
        <v>1495</v>
      </c>
      <c r="B66" s="856">
        <v>0</v>
      </c>
      <c r="C66" s="856">
        <v>0</v>
      </c>
      <c r="D66" s="856">
        <v>111.25</v>
      </c>
      <c r="E66" s="856">
        <v>0</v>
      </c>
      <c r="F66" s="856">
        <v>0</v>
      </c>
      <c r="G66" s="790">
        <v>111.25</v>
      </c>
      <c r="H66" s="676">
        <v>0</v>
      </c>
      <c r="I66" s="676">
        <v>0</v>
      </c>
      <c r="J66" s="676">
        <v>120</v>
      </c>
      <c r="K66" s="676">
        <v>0</v>
      </c>
      <c r="L66" s="676">
        <v>0</v>
      </c>
      <c r="M66" s="790">
        <v>120</v>
      </c>
      <c r="N66" s="601">
        <v>7.8651685393258425E-2</v>
      </c>
      <c r="O66" s="29" t="s">
        <v>1496</v>
      </c>
      <c r="P66" s="446" t="s">
        <v>1497</v>
      </c>
    </row>
    <row r="67" spans="1:17" ht="64" x14ac:dyDescent="0.35">
      <c r="A67" s="620" t="s">
        <v>1498</v>
      </c>
      <c r="B67" s="856">
        <v>0</v>
      </c>
      <c r="C67" s="856">
        <v>0</v>
      </c>
      <c r="D67" s="856">
        <v>46.969000000000001</v>
      </c>
      <c r="E67" s="856">
        <v>0</v>
      </c>
      <c r="F67" s="856">
        <v>0</v>
      </c>
      <c r="G67" s="790">
        <v>46.969000000000001</v>
      </c>
      <c r="H67" s="676">
        <v>0</v>
      </c>
      <c r="I67" s="676">
        <v>0</v>
      </c>
      <c r="J67" s="676">
        <v>23.5</v>
      </c>
      <c r="K67" s="676">
        <v>0</v>
      </c>
      <c r="L67" s="676">
        <v>0</v>
      </c>
      <c r="M67" s="790">
        <v>23.5</v>
      </c>
      <c r="N67" s="601">
        <v>-0.49966999510315313</v>
      </c>
      <c r="O67" s="29" t="s">
        <v>1499</v>
      </c>
      <c r="P67" s="446" t="s">
        <v>1500</v>
      </c>
    </row>
    <row r="68" spans="1:17" ht="32" x14ac:dyDescent="0.35">
      <c r="A68" s="620" t="s">
        <v>1501</v>
      </c>
      <c r="B68" s="856">
        <v>0</v>
      </c>
      <c r="C68" s="856">
        <v>0</v>
      </c>
      <c r="D68" s="856">
        <v>132.06299999999999</v>
      </c>
      <c r="E68" s="856">
        <v>0</v>
      </c>
      <c r="F68" s="856">
        <v>0</v>
      </c>
      <c r="G68" s="790">
        <v>132.06299999999999</v>
      </c>
      <c r="H68" s="676">
        <v>0</v>
      </c>
      <c r="I68" s="676">
        <v>0</v>
      </c>
      <c r="J68" s="676">
        <v>146.96</v>
      </c>
      <c r="K68" s="676">
        <v>0</v>
      </c>
      <c r="L68" s="676">
        <v>0</v>
      </c>
      <c r="M68" s="790">
        <v>146.96</v>
      </c>
      <c r="N68" s="601">
        <v>0.11280222318136057</v>
      </c>
      <c r="O68" s="29" t="s">
        <v>1502</v>
      </c>
      <c r="P68" s="446" t="s">
        <v>1503</v>
      </c>
    </row>
    <row r="69" spans="1:17" ht="80" x14ac:dyDescent="0.35">
      <c r="A69" s="620" t="s">
        <v>1504</v>
      </c>
      <c r="B69" s="856">
        <v>142.786</v>
      </c>
      <c r="C69" s="856">
        <v>0</v>
      </c>
      <c r="D69" s="856">
        <v>0</v>
      </c>
      <c r="E69" s="856">
        <v>0</v>
      </c>
      <c r="F69" s="856">
        <v>0</v>
      </c>
      <c r="G69" s="790">
        <v>142.786</v>
      </c>
      <c r="H69" s="676">
        <v>158.786</v>
      </c>
      <c r="I69" s="676">
        <v>0</v>
      </c>
      <c r="J69" s="676">
        <v>0</v>
      </c>
      <c r="K69" s="676">
        <v>0</v>
      </c>
      <c r="L69" s="676">
        <v>0</v>
      </c>
      <c r="M69" s="790">
        <v>158.786</v>
      </c>
      <c r="N69" s="601">
        <v>0.11205580379028757</v>
      </c>
      <c r="O69" s="29" t="s">
        <v>1505</v>
      </c>
      <c r="P69" s="446" t="s">
        <v>1506</v>
      </c>
    </row>
    <row r="70" spans="1:17" ht="48" x14ac:dyDescent="0.35">
      <c r="A70" s="620" t="s">
        <v>1507</v>
      </c>
      <c r="B70" s="856">
        <v>7.53</v>
      </c>
      <c r="C70" s="856">
        <v>0</v>
      </c>
      <c r="D70" s="856">
        <v>0</v>
      </c>
      <c r="E70" s="856">
        <v>0</v>
      </c>
      <c r="F70" s="856">
        <v>0</v>
      </c>
      <c r="G70" s="790">
        <v>7.53</v>
      </c>
      <c r="H70" s="676">
        <v>5.7</v>
      </c>
      <c r="I70" s="676">
        <v>0</v>
      </c>
      <c r="J70" s="863">
        <v>2</v>
      </c>
      <c r="K70" s="676">
        <v>0</v>
      </c>
      <c r="L70" s="676">
        <v>0</v>
      </c>
      <c r="M70" s="790">
        <v>7.7</v>
      </c>
      <c r="N70" s="601">
        <v>2.2576361221779539E-2</v>
      </c>
      <c r="O70" s="29" t="s">
        <v>1508</v>
      </c>
      <c r="P70" s="446" t="s">
        <v>1509</v>
      </c>
    </row>
    <row r="71" spans="1:17" ht="48" x14ac:dyDescent="0.35">
      <c r="A71" s="620" t="s">
        <v>1510</v>
      </c>
      <c r="B71" s="856">
        <v>14.002000000000001</v>
      </c>
      <c r="C71" s="856">
        <v>0</v>
      </c>
      <c r="D71" s="856">
        <v>0</v>
      </c>
      <c r="E71" s="856">
        <v>0</v>
      </c>
      <c r="F71" s="856">
        <v>0</v>
      </c>
      <c r="G71" s="790">
        <v>14.002000000000001</v>
      </c>
      <c r="H71" s="676">
        <v>14.282</v>
      </c>
      <c r="I71" s="676">
        <v>0</v>
      </c>
      <c r="J71" s="676">
        <v>0</v>
      </c>
      <c r="K71" s="676">
        <v>0</v>
      </c>
      <c r="L71" s="676">
        <v>0</v>
      </c>
      <c r="M71" s="790">
        <v>14.282</v>
      </c>
      <c r="N71" s="601">
        <v>1.9997143265247774E-2</v>
      </c>
      <c r="O71" s="29" t="s">
        <v>1511</v>
      </c>
      <c r="P71" s="446" t="s">
        <v>1512</v>
      </c>
    </row>
    <row r="72" spans="1:17" ht="132" customHeight="1" x14ac:dyDescent="0.35">
      <c r="A72" s="620" t="s">
        <v>1513</v>
      </c>
      <c r="B72" s="856">
        <v>5.452</v>
      </c>
      <c r="C72" s="856">
        <v>0</v>
      </c>
      <c r="D72" s="856">
        <v>10</v>
      </c>
      <c r="E72" s="856">
        <v>0</v>
      </c>
      <c r="F72" s="856">
        <v>0</v>
      </c>
      <c r="G72" s="790">
        <v>15.452</v>
      </c>
      <c r="H72" s="676">
        <v>5.8567999999999998</v>
      </c>
      <c r="I72" s="676">
        <v>0</v>
      </c>
      <c r="J72" s="863">
        <v>22.25</v>
      </c>
      <c r="K72" s="676">
        <v>0</v>
      </c>
      <c r="L72" s="676">
        <v>0</v>
      </c>
      <c r="M72" s="790">
        <v>28.1068</v>
      </c>
      <c r="N72" s="601">
        <v>0.81897488998187939</v>
      </c>
      <c r="O72" s="29" t="s">
        <v>1514</v>
      </c>
      <c r="P72" s="446" t="s">
        <v>1515</v>
      </c>
    </row>
    <row r="73" spans="1:17" ht="32" x14ac:dyDescent="0.35">
      <c r="A73" s="322" t="s">
        <v>1516</v>
      </c>
      <c r="B73" s="288">
        <v>170.33500000000001</v>
      </c>
      <c r="C73" s="288">
        <v>0</v>
      </c>
      <c r="D73" s="288">
        <v>368.28199999999998</v>
      </c>
      <c r="E73" s="288">
        <v>0</v>
      </c>
      <c r="F73" s="288">
        <v>0</v>
      </c>
      <c r="G73" s="288">
        <v>538.61699999999996</v>
      </c>
      <c r="H73" s="288">
        <v>185.18979999999999</v>
      </c>
      <c r="I73" s="288">
        <v>0</v>
      </c>
      <c r="J73" s="288">
        <v>385.88700000000006</v>
      </c>
      <c r="K73" s="288">
        <v>0</v>
      </c>
      <c r="L73" s="288">
        <v>0</v>
      </c>
      <c r="M73" s="288">
        <v>571.07680000000016</v>
      </c>
      <c r="N73" s="200">
        <v>6.0265086322934855E-2</v>
      </c>
      <c r="O73" s="869"/>
      <c r="P73" s="875"/>
    </row>
    <row r="74" spans="1:17" ht="16" x14ac:dyDescent="0.35">
      <c r="A74" s="894"/>
      <c r="B74" s="617"/>
      <c r="C74" s="617"/>
      <c r="D74" s="617"/>
      <c r="E74" s="617"/>
      <c r="F74" s="617"/>
      <c r="G74" s="617"/>
      <c r="H74" s="617"/>
      <c r="I74" s="617"/>
      <c r="J74" s="617"/>
      <c r="K74" s="617"/>
      <c r="L74" s="617"/>
      <c r="M74" s="617"/>
      <c r="N74" s="882"/>
      <c r="O74" s="861"/>
      <c r="P74" s="873"/>
      <c r="Q74" s="236"/>
    </row>
    <row r="75" spans="1:17" ht="64" x14ac:dyDescent="0.35">
      <c r="A75" s="620" t="s">
        <v>1517</v>
      </c>
      <c r="B75" s="856">
        <v>0</v>
      </c>
      <c r="C75" s="856">
        <v>209.5</v>
      </c>
      <c r="D75" s="856">
        <v>0</v>
      </c>
      <c r="E75" s="856">
        <v>0</v>
      </c>
      <c r="F75" s="856">
        <v>0</v>
      </c>
      <c r="G75" s="790">
        <v>209.5</v>
      </c>
      <c r="H75" s="856">
        <v>0</v>
      </c>
      <c r="I75" s="856">
        <v>192.5</v>
      </c>
      <c r="J75" s="856">
        <v>0</v>
      </c>
      <c r="K75" s="856">
        <v>0</v>
      </c>
      <c r="L75" s="856">
        <v>0</v>
      </c>
      <c r="M75" s="790">
        <v>192.5</v>
      </c>
      <c r="N75" s="623">
        <v>-8.1145584725536998E-2</v>
      </c>
      <c r="O75" s="29" t="s">
        <v>1518</v>
      </c>
      <c r="P75" s="446" t="s">
        <v>1519</v>
      </c>
    </row>
    <row r="76" spans="1:17" ht="16" x14ac:dyDescent="0.35">
      <c r="A76" s="285"/>
      <c r="B76" s="866"/>
      <c r="C76" s="866"/>
      <c r="D76" s="866"/>
      <c r="E76" s="866"/>
      <c r="F76" s="866"/>
      <c r="G76" s="867"/>
      <c r="H76" s="866"/>
      <c r="I76" s="866"/>
      <c r="J76" s="866"/>
      <c r="K76" s="866"/>
      <c r="L76" s="866"/>
      <c r="M76" s="867"/>
      <c r="N76" s="868"/>
      <c r="O76" s="232"/>
      <c r="P76" s="285"/>
    </row>
    <row r="77" spans="1:17" ht="16" x14ac:dyDescent="0.35">
      <c r="A77" s="315" t="s">
        <v>1520</v>
      </c>
      <c r="B77" s="166"/>
      <c r="C77" s="166"/>
      <c r="D77" s="166"/>
      <c r="E77" s="166"/>
      <c r="F77" s="166"/>
      <c r="G77" s="166"/>
      <c r="H77" s="166"/>
      <c r="I77" s="166"/>
      <c r="J77" s="166"/>
      <c r="K77" s="166"/>
      <c r="L77" s="166"/>
      <c r="M77" s="166"/>
      <c r="N77" s="258"/>
      <c r="O77" s="874"/>
      <c r="P77" s="874"/>
    </row>
    <row r="78" spans="1:17" ht="48" x14ac:dyDescent="0.35">
      <c r="A78" s="598" t="s">
        <v>1521</v>
      </c>
      <c r="B78" s="676">
        <v>26.783000000000001</v>
      </c>
      <c r="C78" s="676">
        <v>0</v>
      </c>
      <c r="D78" s="676">
        <v>0</v>
      </c>
      <c r="E78" s="676">
        <v>0</v>
      </c>
      <c r="F78" s="676">
        <v>0</v>
      </c>
      <c r="G78" s="677">
        <v>26.783000000000001</v>
      </c>
      <c r="H78" s="676">
        <v>26.783000000000001</v>
      </c>
      <c r="I78" s="676">
        <v>0</v>
      </c>
      <c r="J78" s="676">
        <v>0</v>
      </c>
      <c r="K78" s="676">
        <v>0</v>
      </c>
      <c r="L78" s="676">
        <v>0</v>
      </c>
      <c r="M78" s="677">
        <v>26.783000000000001</v>
      </c>
      <c r="N78" s="601">
        <v>0</v>
      </c>
      <c r="O78" s="678" t="s">
        <v>1522</v>
      </c>
      <c r="P78" s="602" t="s">
        <v>1523</v>
      </c>
    </row>
    <row r="79" spans="1:17" ht="48" x14ac:dyDescent="0.35">
      <c r="A79" s="620" t="s">
        <v>1524</v>
      </c>
      <c r="B79" s="856">
        <v>40.466000000000001</v>
      </c>
      <c r="C79" s="856">
        <v>0</v>
      </c>
      <c r="D79" s="856">
        <v>0</v>
      </c>
      <c r="E79" s="856">
        <v>0</v>
      </c>
      <c r="F79" s="856">
        <v>0</v>
      </c>
      <c r="G79" s="790">
        <v>40.466000000000001</v>
      </c>
      <c r="H79" s="676">
        <v>39.966000000000001</v>
      </c>
      <c r="I79" s="676">
        <v>0</v>
      </c>
      <c r="J79" s="676">
        <v>0</v>
      </c>
      <c r="K79" s="676">
        <v>0</v>
      </c>
      <c r="L79" s="676">
        <v>0</v>
      </c>
      <c r="M79" s="790">
        <v>39.966000000000001</v>
      </c>
      <c r="N79" s="601">
        <v>-1.2356051994266792E-2</v>
      </c>
      <c r="O79" s="29" t="s">
        <v>1525</v>
      </c>
      <c r="P79" s="446" t="s">
        <v>1585</v>
      </c>
    </row>
    <row r="80" spans="1:17" ht="48" x14ac:dyDescent="0.35">
      <c r="A80" s="620" t="s">
        <v>1526</v>
      </c>
      <c r="B80" s="856">
        <v>66.635999999999996</v>
      </c>
      <c r="C80" s="856">
        <v>0</v>
      </c>
      <c r="D80" s="856">
        <v>0</v>
      </c>
      <c r="E80" s="856">
        <v>0</v>
      </c>
      <c r="F80" s="856">
        <v>0</v>
      </c>
      <c r="G80" s="790">
        <v>66.635999999999996</v>
      </c>
      <c r="H80" s="676">
        <v>66.635999999999996</v>
      </c>
      <c r="I80" s="676">
        <v>0</v>
      </c>
      <c r="J80" s="676">
        <v>0</v>
      </c>
      <c r="K80" s="676">
        <v>0</v>
      </c>
      <c r="L80" s="676">
        <v>0</v>
      </c>
      <c r="M80" s="790">
        <v>66.635999999999996</v>
      </c>
      <c r="N80" s="601">
        <v>0</v>
      </c>
      <c r="O80" s="29" t="s">
        <v>1527</v>
      </c>
      <c r="P80" s="446" t="s">
        <v>1585</v>
      </c>
    </row>
    <row r="81" spans="1:16" ht="16" x14ac:dyDescent="0.35">
      <c r="A81" s="322" t="s">
        <v>1528</v>
      </c>
      <c r="B81" s="288">
        <v>133.88499999999999</v>
      </c>
      <c r="C81" s="288">
        <v>0</v>
      </c>
      <c r="D81" s="288">
        <v>0</v>
      </c>
      <c r="E81" s="288">
        <v>0</v>
      </c>
      <c r="F81" s="288">
        <v>0</v>
      </c>
      <c r="G81" s="288">
        <v>133.88499999999999</v>
      </c>
      <c r="H81" s="288">
        <v>133.38499999999999</v>
      </c>
      <c r="I81" s="288">
        <v>0</v>
      </c>
      <c r="J81" s="288">
        <v>0</v>
      </c>
      <c r="K81" s="288">
        <v>0</v>
      </c>
      <c r="L81" s="288">
        <v>0</v>
      </c>
      <c r="M81" s="288">
        <v>133.38499999999999</v>
      </c>
      <c r="N81" s="200">
        <v>-3.7345483063823434E-3</v>
      </c>
      <c r="O81" s="869"/>
      <c r="P81" s="875"/>
    </row>
    <row r="82" spans="1:16" ht="16" x14ac:dyDescent="0.35">
      <c r="A82" s="285"/>
      <c r="B82" s="895"/>
      <c r="C82" s="895"/>
      <c r="D82" s="895"/>
      <c r="E82" s="895"/>
      <c r="F82" s="895"/>
      <c r="G82" s="896"/>
      <c r="H82" s="895"/>
      <c r="I82" s="895"/>
      <c r="J82" s="895"/>
      <c r="K82" s="895"/>
      <c r="L82" s="895"/>
      <c r="M82" s="896"/>
      <c r="N82" s="868"/>
      <c r="O82" s="232"/>
      <c r="P82" s="285"/>
    </row>
    <row r="83" spans="1:16" ht="48" x14ac:dyDescent="0.35">
      <c r="A83" s="897" t="s">
        <v>1529</v>
      </c>
      <c r="B83" s="680">
        <v>306.05</v>
      </c>
      <c r="C83" s="680">
        <v>209.5</v>
      </c>
      <c r="D83" s="680">
        <v>494.78199999999993</v>
      </c>
      <c r="E83" s="680">
        <v>0</v>
      </c>
      <c r="F83" s="680">
        <v>0</v>
      </c>
      <c r="G83" s="680">
        <v>1010.332</v>
      </c>
      <c r="H83" s="680">
        <v>320.77479999999997</v>
      </c>
      <c r="I83" s="680">
        <v>192.5</v>
      </c>
      <c r="J83" s="680">
        <v>550.9380000000001</v>
      </c>
      <c r="K83" s="680">
        <v>0</v>
      </c>
      <c r="L83" s="680">
        <v>0</v>
      </c>
      <c r="M83" s="680">
        <v>1064.2128000000002</v>
      </c>
      <c r="N83" s="631">
        <v>5.3329796542126995E-2</v>
      </c>
      <c r="O83" s="681"/>
      <c r="P83" s="682"/>
    </row>
    <row r="84" spans="1:16" ht="16" x14ac:dyDescent="0.35">
      <c r="A84" s="864"/>
      <c r="B84" s="865"/>
      <c r="C84" s="865"/>
      <c r="D84" s="865"/>
      <c r="E84" s="865"/>
      <c r="F84" s="865"/>
      <c r="G84" s="865"/>
      <c r="H84" s="865"/>
      <c r="I84" s="865"/>
      <c r="J84" s="865"/>
      <c r="K84" s="865"/>
      <c r="L84" s="865"/>
      <c r="M84" s="865"/>
      <c r="N84" s="156"/>
      <c r="O84" s="861"/>
      <c r="P84" s="861"/>
    </row>
    <row r="85" spans="1:16" ht="16" x14ac:dyDescent="0.35">
      <c r="A85" s="840" t="s">
        <v>1530</v>
      </c>
      <c r="B85" s="143"/>
      <c r="C85" s="143"/>
      <c r="D85" s="143"/>
      <c r="E85" s="143"/>
      <c r="F85" s="143"/>
      <c r="G85" s="143"/>
      <c r="H85" s="143"/>
      <c r="I85" s="143"/>
      <c r="J85" s="143"/>
      <c r="K85" s="143"/>
      <c r="L85" s="143"/>
      <c r="M85" s="143"/>
      <c r="N85" s="265"/>
      <c r="O85" s="862"/>
      <c r="P85" s="862"/>
    </row>
    <row r="86" spans="1:16" ht="16" x14ac:dyDescent="0.35">
      <c r="A86" s="864"/>
      <c r="B86" s="865"/>
      <c r="C86" s="865"/>
      <c r="D86" s="865"/>
      <c r="E86" s="865"/>
      <c r="F86" s="865"/>
      <c r="G86" s="865"/>
      <c r="H86" s="865"/>
      <c r="I86" s="865"/>
      <c r="J86" s="865"/>
      <c r="K86" s="865"/>
      <c r="L86" s="865"/>
      <c r="M86" s="865"/>
      <c r="N86" s="156"/>
      <c r="O86" s="861"/>
      <c r="P86" s="861"/>
    </row>
    <row r="87" spans="1:16" ht="16" x14ac:dyDescent="0.35">
      <c r="A87" s="315" t="s">
        <v>1531</v>
      </c>
      <c r="B87" s="166"/>
      <c r="C87" s="166"/>
      <c r="D87" s="166"/>
      <c r="E87" s="166"/>
      <c r="F87" s="166"/>
      <c r="G87" s="166"/>
      <c r="H87" s="166"/>
      <c r="I87" s="166"/>
      <c r="J87" s="166"/>
      <c r="K87" s="166"/>
      <c r="L87" s="166"/>
      <c r="M87" s="166"/>
      <c r="N87" s="258"/>
      <c r="O87" s="874"/>
      <c r="P87" s="874"/>
    </row>
    <row r="88" spans="1:16" ht="48" x14ac:dyDescent="0.35">
      <c r="A88" s="598" t="s">
        <v>1532</v>
      </c>
      <c r="B88" s="676">
        <v>228.88900000000001</v>
      </c>
      <c r="C88" s="676">
        <v>0</v>
      </c>
      <c r="D88" s="676">
        <v>26.6</v>
      </c>
      <c r="E88" s="676">
        <v>0</v>
      </c>
      <c r="F88" s="676">
        <v>0</v>
      </c>
      <c r="G88" s="677">
        <v>255.489</v>
      </c>
      <c r="H88" s="676">
        <v>262.06599999999997</v>
      </c>
      <c r="I88" s="676">
        <v>0</v>
      </c>
      <c r="J88" s="676">
        <v>38.520000000000003</v>
      </c>
      <c r="K88" s="676">
        <v>0</v>
      </c>
      <c r="L88" s="676">
        <v>0</v>
      </c>
      <c r="M88" s="677">
        <v>300.58599999999996</v>
      </c>
      <c r="N88" s="601">
        <v>0.17651249173154207</v>
      </c>
      <c r="O88" s="678" t="s">
        <v>1533</v>
      </c>
      <c r="P88" s="602" t="s">
        <v>1534</v>
      </c>
    </row>
    <row r="89" spans="1:16" ht="48" x14ac:dyDescent="0.35">
      <c r="A89" s="620" t="s">
        <v>1535</v>
      </c>
      <c r="B89" s="856">
        <v>53.872</v>
      </c>
      <c r="C89" s="856">
        <v>0</v>
      </c>
      <c r="D89" s="856">
        <v>7.4</v>
      </c>
      <c r="E89" s="856">
        <v>0</v>
      </c>
      <c r="F89" s="856">
        <v>0</v>
      </c>
      <c r="G89" s="790">
        <v>61.271999999999998</v>
      </c>
      <c r="H89" s="676">
        <v>52.872</v>
      </c>
      <c r="I89" s="676">
        <v>0</v>
      </c>
      <c r="J89" s="676">
        <v>7.548</v>
      </c>
      <c r="K89" s="676">
        <v>0</v>
      </c>
      <c r="L89" s="676">
        <v>0</v>
      </c>
      <c r="M89" s="790">
        <v>60.42</v>
      </c>
      <c r="N89" s="601">
        <v>-1.3905209557383417E-2</v>
      </c>
      <c r="O89" s="29" t="s">
        <v>1536</v>
      </c>
      <c r="P89" s="446" t="s">
        <v>1537</v>
      </c>
    </row>
    <row r="90" spans="1:16" ht="32" x14ac:dyDescent="0.35">
      <c r="A90" s="620" t="s">
        <v>1538</v>
      </c>
      <c r="B90" s="856">
        <v>-7.1609999999999996</v>
      </c>
      <c r="C90" s="856">
        <v>0</v>
      </c>
      <c r="D90" s="856">
        <v>0</v>
      </c>
      <c r="E90" s="856">
        <v>0</v>
      </c>
      <c r="F90" s="856">
        <v>0</v>
      </c>
      <c r="G90" s="790">
        <v>-7.1609999999999996</v>
      </c>
      <c r="H90" s="676">
        <v>-18.960999999999999</v>
      </c>
      <c r="I90" s="676">
        <v>0</v>
      </c>
      <c r="J90" s="676">
        <v>0</v>
      </c>
      <c r="K90" s="676">
        <v>0</v>
      </c>
      <c r="L90" s="676">
        <v>0</v>
      </c>
      <c r="M90" s="790">
        <v>-18.960999999999999</v>
      </c>
      <c r="N90" s="601">
        <v>1.6478145510403575</v>
      </c>
      <c r="O90" s="29" t="s">
        <v>1539</v>
      </c>
      <c r="P90" s="446" t="s">
        <v>1540</v>
      </c>
    </row>
    <row r="91" spans="1:16" ht="32" x14ac:dyDescent="0.35">
      <c r="A91" s="322" t="s">
        <v>1541</v>
      </c>
      <c r="B91" s="288">
        <v>275.60000000000002</v>
      </c>
      <c r="C91" s="288">
        <v>0</v>
      </c>
      <c r="D91" s="288">
        <v>34</v>
      </c>
      <c r="E91" s="288">
        <v>0</v>
      </c>
      <c r="F91" s="288">
        <v>0</v>
      </c>
      <c r="G91" s="288">
        <v>309.60000000000002</v>
      </c>
      <c r="H91" s="288">
        <v>295.97699999999998</v>
      </c>
      <c r="I91" s="288">
        <v>0</v>
      </c>
      <c r="J91" s="288">
        <v>46.068000000000005</v>
      </c>
      <c r="K91" s="288">
        <v>0</v>
      </c>
      <c r="L91" s="288">
        <v>0</v>
      </c>
      <c r="M91" s="288">
        <v>342.04499999999996</v>
      </c>
      <c r="N91" s="200">
        <v>0.10479651162790676</v>
      </c>
      <c r="O91" s="869"/>
      <c r="P91" s="870"/>
    </row>
    <row r="92" spans="1:16" ht="16" x14ac:dyDescent="0.35">
      <c r="A92" s="864"/>
      <c r="B92" s="865"/>
      <c r="C92" s="865"/>
      <c r="D92" s="865"/>
      <c r="E92" s="865"/>
      <c r="F92" s="865"/>
      <c r="G92" s="865"/>
      <c r="H92" s="865"/>
      <c r="I92" s="865"/>
      <c r="J92" s="865"/>
      <c r="K92" s="865"/>
      <c r="L92" s="865"/>
      <c r="M92" s="865"/>
      <c r="N92" s="156"/>
      <c r="O92" s="861"/>
      <c r="P92" s="861"/>
    </row>
    <row r="93" spans="1:16" ht="16" x14ac:dyDescent="0.35">
      <c r="A93" s="315" t="s">
        <v>1542</v>
      </c>
      <c r="B93" s="166"/>
      <c r="C93" s="166"/>
      <c r="D93" s="166"/>
      <c r="E93" s="166"/>
      <c r="F93" s="166"/>
      <c r="G93" s="166"/>
      <c r="H93" s="166"/>
      <c r="I93" s="166"/>
      <c r="J93" s="166"/>
      <c r="K93" s="166"/>
      <c r="L93" s="166"/>
      <c r="M93" s="166"/>
      <c r="N93" s="258"/>
      <c r="O93" s="874"/>
      <c r="P93" s="874"/>
    </row>
    <row r="94" spans="1:16" ht="48" x14ac:dyDescent="0.35">
      <c r="A94" s="598" t="s">
        <v>1543</v>
      </c>
      <c r="B94" s="676">
        <v>0</v>
      </c>
      <c r="C94" s="676">
        <v>0</v>
      </c>
      <c r="D94" s="676">
        <v>57.29</v>
      </c>
      <c r="E94" s="676">
        <v>0</v>
      </c>
      <c r="F94" s="676">
        <v>0</v>
      </c>
      <c r="G94" s="677">
        <v>57.29</v>
      </c>
      <c r="H94" s="676">
        <v>0</v>
      </c>
      <c r="I94" s="676">
        <v>0</v>
      </c>
      <c r="J94" s="676">
        <v>80</v>
      </c>
      <c r="K94" s="676">
        <v>0</v>
      </c>
      <c r="L94" s="676">
        <v>0</v>
      </c>
      <c r="M94" s="677">
        <v>80</v>
      </c>
      <c r="N94" s="601">
        <v>0.39640425903299009</v>
      </c>
      <c r="O94" s="678" t="s">
        <v>1544</v>
      </c>
      <c r="P94" s="602" t="s">
        <v>1545</v>
      </c>
    </row>
    <row r="95" spans="1:16" ht="48" x14ac:dyDescent="0.35">
      <c r="A95" s="620" t="s">
        <v>1546</v>
      </c>
      <c r="B95" s="856">
        <v>0</v>
      </c>
      <c r="C95" s="856">
        <v>0</v>
      </c>
      <c r="D95" s="856">
        <v>80.563999999999993</v>
      </c>
      <c r="E95" s="856">
        <v>0</v>
      </c>
      <c r="F95" s="856">
        <v>0</v>
      </c>
      <c r="G95" s="790">
        <v>80.563999999999993</v>
      </c>
      <c r="H95" s="676">
        <v>0</v>
      </c>
      <c r="I95" s="676">
        <v>0</v>
      </c>
      <c r="J95" s="676">
        <v>127.282</v>
      </c>
      <c r="K95" s="676">
        <v>0</v>
      </c>
      <c r="L95" s="676">
        <v>0</v>
      </c>
      <c r="M95" s="790">
        <v>127.282</v>
      </c>
      <c r="N95" s="601">
        <v>0.57988679807358134</v>
      </c>
      <c r="O95" s="29" t="s">
        <v>1547</v>
      </c>
      <c r="P95" s="446" t="s">
        <v>1548</v>
      </c>
    </row>
    <row r="96" spans="1:16" ht="32" x14ac:dyDescent="0.35">
      <c r="A96" s="620" t="s">
        <v>1549</v>
      </c>
      <c r="B96" s="856">
        <v>0</v>
      </c>
      <c r="C96" s="856">
        <v>0</v>
      </c>
      <c r="D96" s="856">
        <v>-13</v>
      </c>
      <c r="E96" s="856">
        <v>0</v>
      </c>
      <c r="F96" s="856">
        <v>0</v>
      </c>
      <c r="G96" s="790">
        <v>-13</v>
      </c>
      <c r="H96" s="676">
        <v>0</v>
      </c>
      <c r="I96" s="676">
        <v>0</v>
      </c>
      <c r="J96" s="676">
        <v>-16.28</v>
      </c>
      <c r="K96" s="676">
        <v>0</v>
      </c>
      <c r="L96" s="676">
        <v>0</v>
      </c>
      <c r="M96" s="790">
        <v>-16.28</v>
      </c>
      <c r="N96" s="601">
        <v>0.2523076923076924</v>
      </c>
      <c r="O96" s="29" t="s">
        <v>1550</v>
      </c>
      <c r="P96" s="446" t="s">
        <v>1551</v>
      </c>
    </row>
    <row r="97" spans="1:16" ht="16" x14ac:dyDescent="0.35">
      <c r="A97" s="322" t="s">
        <v>1552</v>
      </c>
      <c r="B97" s="288">
        <v>0</v>
      </c>
      <c r="C97" s="288">
        <v>0</v>
      </c>
      <c r="D97" s="288">
        <v>124.85399999999998</v>
      </c>
      <c r="E97" s="288">
        <v>0</v>
      </c>
      <c r="F97" s="288">
        <v>0</v>
      </c>
      <c r="G97" s="288">
        <v>124.85399999999998</v>
      </c>
      <c r="H97" s="288">
        <v>0</v>
      </c>
      <c r="I97" s="288">
        <v>0</v>
      </c>
      <c r="J97" s="288">
        <v>191.00199999999998</v>
      </c>
      <c r="K97" s="288">
        <v>0</v>
      </c>
      <c r="L97" s="288">
        <v>0</v>
      </c>
      <c r="M97" s="288">
        <v>191.00199999999998</v>
      </c>
      <c r="N97" s="200">
        <v>0.52980280968170823</v>
      </c>
      <c r="O97" s="869"/>
      <c r="P97" s="875"/>
    </row>
    <row r="98" spans="1:16" ht="16" x14ac:dyDescent="0.35">
      <c r="A98" s="864"/>
      <c r="B98" s="865"/>
      <c r="C98" s="865"/>
      <c r="D98" s="865"/>
      <c r="E98" s="865"/>
      <c r="F98" s="865"/>
      <c r="G98" s="865"/>
      <c r="H98" s="865"/>
      <c r="I98" s="865"/>
      <c r="J98" s="865"/>
      <c r="K98" s="865"/>
      <c r="L98" s="865"/>
      <c r="M98" s="865"/>
      <c r="N98" s="156"/>
      <c r="O98" s="861"/>
      <c r="P98" s="861"/>
    </row>
    <row r="99" spans="1:16" ht="16" x14ac:dyDescent="0.35">
      <c r="A99" s="857" t="s">
        <v>1553</v>
      </c>
      <c r="B99" s="680">
        <v>275.60000000000002</v>
      </c>
      <c r="C99" s="680">
        <v>0</v>
      </c>
      <c r="D99" s="680">
        <v>158.85399999999998</v>
      </c>
      <c r="E99" s="680">
        <v>0</v>
      </c>
      <c r="F99" s="680">
        <v>0</v>
      </c>
      <c r="G99" s="680">
        <v>434.45400000000001</v>
      </c>
      <c r="H99" s="680">
        <v>295.97699999999998</v>
      </c>
      <c r="I99" s="680">
        <v>0</v>
      </c>
      <c r="J99" s="680">
        <v>237.07</v>
      </c>
      <c r="K99" s="680">
        <v>0</v>
      </c>
      <c r="L99" s="680">
        <v>0</v>
      </c>
      <c r="M99" s="680">
        <v>533.04699999999991</v>
      </c>
      <c r="N99" s="631">
        <v>0.22693541778876453</v>
      </c>
      <c r="O99" s="681"/>
      <c r="P99" s="682"/>
    </row>
    <row r="100" spans="1:16" ht="16" x14ac:dyDescent="0.35">
      <c r="A100" s="864"/>
      <c r="B100" s="865"/>
      <c r="C100" s="865"/>
      <c r="D100" s="865"/>
      <c r="E100" s="865"/>
      <c r="F100" s="865"/>
      <c r="G100" s="865"/>
      <c r="H100" s="865"/>
      <c r="I100" s="865"/>
      <c r="J100" s="865"/>
      <c r="K100" s="865"/>
      <c r="L100" s="865"/>
      <c r="M100" s="865"/>
      <c r="N100" s="156"/>
      <c r="O100" s="861"/>
      <c r="P100" s="861"/>
    </row>
    <row r="101" spans="1:16" ht="16" x14ac:dyDescent="0.35">
      <c r="A101" s="840" t="s">
        <v>1554</v>
      </c>
      <c r="B101" s="143"/>
      <c r="C101" s="143"/>
      <c r="D101" s="143"/>
      <c r="E101" s="143"/>
      <c r="F101" s="143"/>
      <c r="G101" s="143"/>
      <c r="H101" s="143"/>
      <c r="I101" s="143"/>
      <c r="J101" s="143"/>
      <c r="K101" s="143"/>
      <c r="L101" s="143"/>
      <c r="M101" s="143"/>
      <c r="N101" s="265"/>
      <c r="O101" s="862"/>
      <c r="P101" s="862"/>
    </row>
    <row r="102" spans="1:16" ht="16" x14ac:dyDescent="0.35">
      <c r="A102" s="873"/>
      <c r="B102" s="890"/>
      <c r="C102" s="890"/>
      <c r="D102" s="890"/>
      <c r="E102" s="890"/>
      <c r="F102" s="890"/>
      <c r="G102" s="890"/>
      <c r="H102" s="890"/>
      <c r="I102" s="890"/>
      <c r="J102" s="890"/>
      <c r="K102" s="890"/>
      <c r="L102" s="890"/>
      <c r="M102" s="890"/>
      <c r="N102" s="891"/>
      <c r="O102" s="861"/>
      <c r="P102" s="861"/>
    </row>
    <row r="103" spans="1:16" ht="32" x14ac:dyDescent="0.35">
      <c r="A103" s="315" t="s">
        <v>1555</v>
      </c>
      <c r="B103" s="166"/>
      <c r="C103" s="166"/>
      <c r="D103" s="166"/>
      <c r="E103" s="166"/>
      <c r="F103" s="166"/>
      <c r="G103" s="166"/>
      <c r="H103" s="166"/>
      <c r="I103" s="166"/>
      <c r="J103" s="166"/>
      <c r="K103" s="166"/>
      <c r="L103" s="166"/>
      <c r="M103" s="166"/>
      <c r="N103" s="258"/>
      <c r="O103" s="874"/>
      <c r="P103" s="874"/>
    </row>
    <row r="104" spans="1:16" ht="48" x14ac:dyDescent="0.35">
      <c r="A104" s="598" t="s">
        <v>1556</v>
      </c>
      <c r="B104" s="676">
        <v>39.445999999999998</v>
      </c>
      <c r="C104" s="676">
        <v>0</v>
      </c>
      <c r="D104" s="676">
        <v>0</v>
      </c>
      <c r="E104" s="676">
        <v>0</v>
      </c>
      <c r="F104" s="676">
        <v>0</v>
      </c>
      <c r="G104" s="677">
        <v>39.445999999999998</v>
      </c>
      <c r="H104" s="676">
        <v>39.445999999999998</v>
      </c>
      <c r="I104" s="676">
        <v>0</v>
      </c>
      <c r="J104" s="676">
        <v>0</v>
      </c>
      <c r="K104" s="676">
        <v>0</v>
      </c>
      <c r="L104" s="676">
        <v>0</v>
      </c>
      <c r="M104" s="677">
        <v>39.445999999999998</v>
      </c>
      <c r="N104" s="601">
        <v>0</v>
      </c>
      <c r="O104" s="678" t="s">
        <v>1557</v>
      </c>
      <c r="P104" s="446" t="s">
        <v>1558</v>
      </c>
    </row>
    <row r="105" spans="1:16" ht="48" x14ac:dyDescent="0.35">
      <c r="A105" s="620" t="s">
        <v>1559</v>
      </c>
      <c r="B105" s="856">
        <v>0</v>
      </c>
      <c r="C105" s="856">
        <v>0</v>
      </c>
      <c r="D105" s="856">
        <v>22.303000000000001</v>
      </c>
      <c r="E105" s="856">
        <v>0</v>
      </c>
      <c r="F105" s="856">
        <v>0</v>
      </c>
      <c r="G105" s="790">
        <v>22.303000000000001</v>
      </c>
      <c r="H105" s="676">
        <v>0</v>
      </c>
      <c r="I105" s="676">
        <v>0</v>
      </c>
      <c r="J105" s="676">
        <v>21.1</v>
      </c>
      <c r="K105" s="676">
        <v>0</v>
      </c>
      <c r="L105" s="676">
        <v>0</v>
      </c>
      <c r="M105" s="790">
        <v>21.1</v>
      </c>
      <c r="N105" s="601">
        <v>-5.393893198224451E-2</v>
      </c>
      <c r="O105" s="29" t="s">
        <v>1560</v>
      </c>
      <c r="P105" s="446" t="s">
        <v>1561</v>
      </c>
    </row>
    <row r="106" spans="1:16" ht="32" x14ac:dyDescent="0.35">
      <c r="A106" s="620" t="s">
        <v>1562</v>
      </c>
      <c r="B106" s="856">
        <v>0</v>
      </c>
      <c r="C106" s="856">
        <v>9.5</v>
      </c>
      <c r="D106" s="856">
        <v>0</v>
      </c>
      <c r="E106" s="856">
        <v>0</v>
      </c>
      <c r="F106" s="856">
        <v>0</v>
      </c>
      <c r="G106" s="790">
        <v>9.5</v>
      </c>
      <c r="H106" s="676">
        <v>0</v>
      </c>
      <c r="I106" s="676">
        <v>12.5</v>
      </c>
      <c r="J106" s="676">
        <v>0</v>
      </c>
      <c r="K106" s="676">
        <v>0</v>
      </c>
      <c r="L106" s="676">
        <v>0</v>
      </c>
      <c r="M106" s="790">
        <v>12.5</v>
      </c>
      <c r="N106" s="601">
        <v>0.31578947368421051</v>
      </c>
      <c r="O106" s="29" t="s">
        <v>1563</v>
      </c>
      <c r="P106" s="446" t="s">
        <v>1564</v>
      </c>
    </row>
    <row r="107" spans="1:16" ht="32" x14ac:dyDescent="0.35">
      <c r="A107" s="322" t="s">
        <v>1565</v>
      </c>
      <c r="B107" s="288">
        <v>39.445999999999998</v>
      </c>
      <c r="C107" s="288">
        <v>9.5</v>
      </c>
      <c r="D107" s="288">
        <v>22.303000000000001</v>
      </c>
      <c r="E107" s="288">
        <v>0</v>
      </c>
      <c r="F107" s="288">
        <v>0</v>
      </c>
      <c r="G107" s="288">
        <v>71.248999999999995</v>
      </c>
      <c r="H107" s="288">
        <v>39.445999999999998</v>
      </c>
      <c r="I107" s="288">
        <v>12.5</v>
      </c>
      <c r="J107" s="288">
        <v>21.1</v>
      </c>
      <c r="K107" s="288">
        <v>0</v>
      </c>
      <c r="L107" s="288">
        <v>0</v>
      </c>
      <c r="M107" s="288">
        <v>73.045999999999992</v>
      </c>
      <c r="N107" s="200">
        <v>2.522140661623317E-2</v>
      </c>
      <c r="O107" s="869"/>
      <c r="P107" s="870"/>
    </row>
    <row r="108" spans="1:16" ht="16" x14ac:dyDescent="0.35">
      <c r="A108" s="873"/>
      <c r="B108" s="890"/>
      <c r="C108" s="890"/>
      <c r="D108" s="890"/>
      <c r="E108" s="890"/>
      <c r="F108" s="890"/>
      <c r="G108" s="890"/>
      <c r="H108" s="890"/>
      <c r="I108" s="890"/>
      <c r="J108" s="890"/>
      <c r="K108" s="890"/>
      <c r="L108" s="890"/>
      <c r="M108" s="890"/>
      <c r="N108" s="893"/>
      <c r="O108" s="861"/>
      <c r="P108" s="861"/>
    </row>
    <row r="109" spans="1:16" ht="48" x14ac:dyDescent="0.35">
      <c r="A109" s="620" t="s">
        <v>1566</v>
      </c>
      <c r="B109" s="856">
        <v>18.012</v>
      </c>
      <c r="C109" s="856">
        <v>0</v>
      </c>
      <c r="D109" s="856">
        <v>0</v>
      </c>
      <c r="E109" s="856">
        <v>0</v>
      </c>
      <c r="F109" s="856">
        <v>0</v>
      </c>
      <c r="G109" s="790">
        <v>18.012</v>
      </c>
      <c r="H109" s="676">
        <v>19.012</v>
      </c>
      <c r="I109" s="676">
        <v>0</v>
      </c>
      <c r="J109" s="676">
        <v>0</v>
      </c>
      <c r="K109" s="676">
        <v>0</v>
      </c>
      <c r="L109" s="676">
        <v>0</v>
      </c>
      <c r="M109" s="790">
        <v>19.012</v>
      </c>
      <c r="N109" s="601">
        <v>5.5518543193426605E-2</v>
      </c>
      <c r="O109" s="29" t="s">
        <v>1568</v>
      </c>
      <c r="P109" s="446" t="s">
        <v>74</v>
      </c>
    </row>
    <row r="110" spans="1:16" ht="16" x14ac:dyDescent="0.35">
      <c r="A110" s="857" t="s">
        <v>1569</v>
      </c>
      <c r="B110" s="680">
        <v>57.457999999999998</v>
      </c>
      <c r="C110" s="680">
        <v>9.5</v>
      </c>
      <c r="D110" s="680">
        <v>22.303000000000001</v>
      </c>
      <c r="E110" s="680">
        <v>0</v>
      </c>
      <c r="F110" s="680">
        <v>0</v>
      </c>
      <c r="G110" s="680">
        <v>89.260999999999996</v>
      </c>
      <c r="H110" s="680">
        <v>58.457999999999998</v>
      </c>
      <c r="I110" s="680">
        <v>12.5</v>
      </c>
      <c r="J110" s="680">
        <v>21.1</v>
      </c>
      <c r="K110" s="680">
        <v>0</v>
      </c>
      <c r="L110" s="680">
        <v>0</v>
      </c>
      <c r="M110" s="680">
        <v>92.057999999999993</v>
      </c>
      <c r="N110" s="631">
        <v>3.1335073548358156E-2</v>
      </c>
      <c r="O110" s="681"/>
      <c r="P110" s="682"/>
    </row>
    <row r="112" spans="1:16" ht="16" x14ac:dyDescent="0.35">
      <c r="A112" s="711"/>
      <c r="B112" s="282"/>
      <c r="C112" s="282"/>
      <c r="D112" s="282"/>
      <c r="E112" s="282"/>
      <c r="F112" s="282"/>
      <c r="G112" s="898"/>
      <c r="H112" s="282"/>
      <c r="I112" s="282"/>
      <c r="J112" s="282"/>
      <c r="K112" s="282"/>
      <c r="L112" s="282"/>
      <c r="M112" s="898"/>
      <c r="N112" s="899"/>
      <c r="O112" s="711"/>
      <c r="P112" s="711"/>
    </row>
    <row r="113" spans="1:17" ht="16" x14ac:dyDescent="0.35">
      <c r="A113" s="286" t="s">
        <v>338</v>
      </c>
      <c r="B113" s="287"/>
      <c r="C113" s="287"/>
      <c r="D113" s="287"/>
      <c r="E113" s="287"/>
      <c r="F113" s="287"/>
      <c r="G113" s="288"/>
      <c r="H113" s="287"/>
      <c r="I113" s="287"/>
      <c r="J113" s="287"/>
      <c r="K113" s="287"/>
      <c r="L113" s="287"/>
      <c r="M113" s="288"/>
      <c r="N113" s="899"/>
      <c r="O113" s="711"/>
      <c r="P113" s="711"/>
    </row>
    <row r="114" spans="1:17" s="411" customFormat="1" ht="19.5" x14ac:dyDescent="0.45">
      <c r="A114" s="900"/>
      <c r="B114" s="901"/>
      <c r="C114" s="901"/>
      <c r="D114" s="901"/>
      <c r="E114" s="901"/>
      <c r="F114" s="901"/>
      <c r="G114" s="902"/>
      <c r="H114" s="901"/>
      <c r="I114" s="901"/>
      <c r="J114" s="901"/>
      <c r="K114" s="901"/>
      <c r="L114" s="901"/>
      <c r="M114" s="902"/>
      <c r="N114" s="903"/>
      <c r="O114" s="900"/>
      <c r="P114" s="900"/>
      <c r="Q114" s="410"/>
    </row>
    <row r="115" spans="1:17" ht="16" x14ac:dyDescent="0.35">
      <c r="A115" s="699" t="s">
        <v>1570</v>
      </c>
      <c r="B115" s="729">
        <v>1483.4549999999999</v>
      </c>
      <c r="C115" s="729">
        <v>361.52100000000002</v>
      </c>
      <c r="D115" s="729">
        <v>2022.4809999999998</v>
      </c>
      <c r="E115" s="729">
        <v>-26.5</v>
      </c>
      <c r="F115" s="729">
        <v>0.54</v>
      </c>
      <c r="G115" s="729">
        <v>3841.4969999999998</v>
      </c>
      <c r="H115" s="1027">
        <v>1548.1999999999998</v>
      </c>
      <c r="I115" s="729">
        <v>345.13499999999999</v>
      </c>
      <c r="J115" s="729">
        <v>2128.4000000000005</v>
      </c>
      <c r="K115" s="729">
        <v>-10</v>
      </c>
      <c r="L115" s="729">
        <v>0.52800000000000002</v>
      </c>
      <c r="M115" s="1027">
        <v>4012.2630000000008</v>
      </c>
      <c r="N115" s="1028">
        <v>4.4452982782493648E-2</v>
      </c>
      <c r="O115" s="904"/>
      <c r="P115" s="905"/>
    </row>
    <row r="116" spans="1:17" ht="16" x14ac:dyDescent="0.35">
      <c r="A116" s="506"/>
      <c r="B116" s="647"/>
      <c r="C116" s="647"/>
      <c r="D116" s="647"/>
      <c r="E116" s="647"/>
      <c r="F116" s="647"/>
      <c r="G116" s="648"/>
      <c r="H116" s="647"/>
      <c r="I116" s="647"/>
      <c r="J116" s="647"/>
      <c r="K116" s="647"/>
      <c r="L116" s="647"/>
      <c r="M116" s="648"/>
      <c r="N116" s="906"/>
      <c r="O116" s="578"/>
      <c r="P116" s="578"/>
    </row>
    <row r="117" spans="1:17" ht="16" x14ac:dyDescent="0.35">
      <c r="A117" s="506"/>
      <c r="B117" s="647"/>
      <c r="C117" s="647"/>
      <c r="D117" s="647"/>
      <c r="E117" s="647"/>
      <c r="F117" s="647"/>
      <c r="G117" s="648"/>
      <c r="H117" s="647"/>
      <c r="I117" s="647"/>
      <c r="J117" s="647"/>
      <c r="K117" s="647"/>
      <c r="L117" s="647"/>
      <c r="M117" s="648"/>
      <c r="N117" s="906"/>
      <c r="O117" s="578"/>
      <c r="P117" s="578"/>
    </row>
    <row r="118" spans="1:17" ht="32" x14ac:dyDescent="0.35">
      <c r="A118" s="907" t="s">
        <v>340</v>
      </c>
      <c r="B118" s="908"/>
      <c r="C118" s="908"/>
      <c r="D118" s="908"/>
      <c r="E118" s="908"/>
      <c r="F118" s="908"/>
      <c r="G118" s="908"/>
      <c r="H118" s="908"/>
      <c r="I118" s="908"/>
      <c r="J118" s="908"/>
      <c r="K118" s="908"/>
      <c r="L118" s="908"/>
      <c r="M118" s="908"/>
      <c r="N118" s="909"/>
      <c r="O118" s="910"/>
      <c r="P118" s="910"/>
    </row>
    <row r="119" spans="1:17" ht="32" x14ac:dyDescent="0.35">
      <c r="A119" s="911" t="s">
        <v>1571</v>
      </c>
      <c r="B119" s="856">
        <v>0</v>
      </c>
      <c r="C119" s="856">
        <v>0</v>
      </c>
      <c r="D119" s="856">
        <v>0</v>
      </c>
      <c r="E119" s="856">
        <v>0</v>
      </c>
      <c r="F119" s="856">
        <v>0</v>
      </c>
      <c r="G119" s="790">
        <v>0</v>
      </c>
      <c r="H119" s="863">
        <v>0</v>
      </c>
      <c r="I119" s="676">
        <v>0</v>
      </c>
      <c r="J119" s="676">
        <v>23.927</v>
      </c>
      <c r="K119" s="676">
        <v>0</v>
      </c>
      <c r="L119" s="676">
        <v>0</v>
      </c>
      <c r="M119" s="790">
        <v>23.927</v>
      </c>
      <c r="N119" s="601" t="s">
        <v>50</v>
      </c>
      <c r="O119" s="29" t="s">
        <v>1572</v>
      </c>
      <c r="P119" s="446" t="s">
        <v>1573</v>
      </c>
    </row>
    <row r="120" spans="1:17" ht="80" x14ac:dyDescent="0.35">
      <c r="A120" s="620" t="s">
        <v>1574</v>
      </c>
      <c r="B120" s="856">
        <v>41.7</v>
      </c>
      <c r="C120" s="856">
        <v>0</v>
      </c>
      <c r="D120" s="856">
        <v>0</v>
      </c>
      <c r="E120" s="856">
        <v>0</v>
      </c>
      <c r="F120" s="856">
        <v>0</v>
      </c>
      <c r="G120" s="790">
        <v>41.7</v>
      </c>
      <c r="H120" s="863">
        <v>36.4</v>
      </c>
      <c r="I120" s="676">
        <v>0</v>
      </c>
      <c r="J120" s="676">
        <v>0</v>
      </c>
      <c r="K120" s="676">
        <v>0</v>
      </c>
      <c r="L120" s="676">
        <v>0</v>
      </c>
      <c r="M120" s="790">
        <v>36.4</v>
      </c>
      <c r="N120" s="601">
        <v>-0.12949640287769798</v>
      </c>
      <c r="O120" s="29" t="s">
        <v>1575</v>
      </c>
      <c r="P120" s="446" t="s">
        <v>1576</v>
      </c>
    </row>
    <row r="121" spans="1:17" ht="96" x14ac:dyDescent="0.35">
      <c r="A121" s="620" t="s">
        <v>1577</v>
      </c>
      <c r="B121" s="856">
        <v>0</v>
      </c>
      <c r="C121" s="856">
        <v>0</v>
      </c>
      <c r="D121" s="856">
        <v>0</v>
      </c>
      <c r="E121" s="856">
        <v>0</v>
      </c>
      <c r="F121" s="856">
        <v>0</v>
      </c>
      <c r="G121" s="790">
        <v>0</v>
      </c>
      <c r="H121" s="863">
        <v>0</v>
      </c>
      <c r="I121" s="676">
        <v>0</v>
      </c>
      <c r="J121" s="676">
        <v>12.4</v>
      </c>
      <c r="K121" s="676">
        <v>0</v>
      </c>
      <c r="L121" s="676">
        <v>0</v>
      </c>
      <c r="M121" s="790">
        <v>12.4</v>
      </c>
      <c r="N121" s="601" t="s">
        <v>50</v>
      </c>
      <c r="O121" s="29" t="s">
        <v>1578</v>
      </c>
      <c r="P121" s="446" t="s">
        <v>1579</v>
      </c>
    </row>
    <row r="122" spans="1:17" ht="32" x14ac:dyDescent="0.35">
      <c r="A122" s="857" t="s">
        <v>1580</v>
      </c>
      <c r="B122" s="680">
        <v>41.7</v>
      </c>
      <c r="C122" s="680">
        <v>0</v>
      </c>
      <c r="D122" s="680">
        <v>0</v>
      </c>
      <c r="E122" s="680">
        <v>0</v>
      </c>
      <c r="F122" s="680">
        <v>0</v>
      </c>
      <c r="G122" s="680">
        <v>41.7</v>
      </c>
      <c r="H122" s="680">
        <v>36.4</v>
      </c>
      <c r="I122" s="680">
        <v>0</v>
      </c>
      <c r="J122" s="680">
        <v>36.326999999999998</v>
      </c>
      <c r="K122" s="680">
        <v>0</v>
      </c>
      <c r="L122" s="680">
        <v>0</v>
      </c>
      <c r="M122" s="680">
        <v>72.727000000000004</v>
      </c>
      <c r="N122" s="631">
        <v>0.74100719424460404</v>
      </c>
      <c r="O122" s="861"/>
      <c r="P122" s="861"/>
    </row>
    <row r="123" spans="1:17" ht="15" x14ac:dyDescent="0.35">
      <c r="A123" s="281"/>
      <c r="B123" s="283"/>
      <c r="C123" s="283"/>
      <c r="D123" s="283"/>
      <c r="E123" s="283"/>
      <c r="F123" s="283"/>
      <c r="G123" s="731"/>
      <c r="H123" s="283"/>
      <c r="I123" s="283"/>
      <c r="J123" s="283"/>
      <c r="K123" s="283"/>
      <c r="L123" s="283"/>
      <c r="M123" s="731"/>
      <c r="N123" s="283"/>
      <c r="O123" s="283"/>
      <c r="P123" s="28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9220E-FC56-4925-AB96-AE629D7BEA43}">
  <dimension ref="A1:Q222"/>
  <sheetViews>
    <sheetView showGridLines="0" topLeftCell="A158" zoomScale="60" zoomScaleNormal="60" workbookViewId="0">
      <selection activeCell="M178" sqref="M178"/>
    </sheetView>
  </sheetViews>
  <sheetFormatPr defaultColWidth="9.1796875" defaultRowHeight="14.5" outlineLevelCol="1" x14ac:dyDescent="0.35"/>
  <cols>
    <col min="1" max="1" width="40.81640625" style="733" customWidth="1"/>
    <col min="2" max="13" width="17.81640625" style="734" customWidth="1" outlineLevel="1"/>
    <col min="14" max="14" width="17.81640625" style="735" customWidth="1" outlineLevel="1"/>
    <col min="15" max="16" width="75.81640625" style="159" customWidth="1" outlineLevel="1"/>
    <col min="17" max="17" width="2.453125" style="158" customWidth="1"/>
    <col min="18" max="16384" width="9.1796875" style="159"/>
  </cols>
  <sheetData>
    <row r="1" spans="1:16" ht="28.4" customHeight="1" thickBot="1" x14ac:dyDescent="0.4"/>
    <row r="2" spans="1:16" ht="28.4" customHeight="1" x14ac:dyDescent="0.35">
      <c r="A2" s="736"/>
      <c r="B2" s="737"/>
      <c r="C2" s="738"/>
      <c r="D2" s="738"/>
      <c r="E2" s="738"/>
      <c r="F2" s="738"/>
      <c r="G2" s="739"/>
      <c r="H2" s="737"/>
      <c r="I2" s="738"/>
      <c r="J2" s="738"/>
      <c r="K2" s="738"/>
      <c r="L2" s="738"/>
      <c r="M2" s="739"/>
      <c r="N2" s="740"/>
      <c r="O2" s="741"/>
      <c r="P2" s="742"/>
    </row>
    <row r="3" spans="1:16" ht="100.4" customHeight="1" x14ac:dyDescent="0.35">
      <c r="A3" s="743" t="s">
        <v>926</v>
      </c>
      <c r="B3" s="307" t="s">
        <v>6</v>
      </c>
      <c r="C3" s="307" t="s">
        <v>7</v>
      </c>
      <c r="D3" s="307" t="s">
        <v>8</v>
      </c>
      <c r="E3" s="307" t="s">
        <v>9</v>
      </c>
      <c r="F3" s="307" t="s">
        <v>10</v>
      </c>
      <c r="G3" s="307" t="s">
        <v>11</v>
      </c>
      <c r="H3" s="307" t="s">
        <v>12</v>
      </c>
      <c r="I3" s="307" t="s">
        <v>13</v>
      </c>
      <c r="J3" s="307" t="s">
        <v>14</v>
      </c>
      <c r="K3" s="307" t="s">
        <v>15</v>
      </c>
      <c r="L3" s="307" t="s">
        <v>16</v>
      </c>
      <c r="M3" s="307" t="s">
        <v>17</v>
      </c>
      <c r="N3" s="10" t="s">
        <v>18</v>
      </c>
      <c r="O3" s="744" t="s">
        <v>3</v>
      </c>
      <c r="P3" s="745" t="s">
        <v>4</v>
      </c>
    </row>
    <row r="4" spans="1:16" ht="22" thickBot="1" x14ac:dyDescent="0.4">
      <c r="A4" s="746"/>
      <c r="B4" s="747"/>
      <c r="C4" s="747"/>
      <c r="D4" s="747"/>
      <c r="E4" s="747"/>
      <c r="F4" s="747"/>
      <c r="G4" s="747"/>
      <c r="H4" s="747"/>
      <c r="I4" s="747"/>
      <c r="J4" s="747"/>
      <c r="K4" s="747"/>
      <c r="L4" s="747"/>
      <c r="M4" s="747"/>
      <c r="N4" s="748"/>
      <c r="O4" s="749"/>
      <c r="P4" s="749"/>
    </row>
    <row r="5" spans="1:16" ht="16" x14ac:dyDescent="0.35">
      <c r="A5" s="154"/>
      <c r="B5" s="155"/>
      <c r="C5" s="155"/>
      <c r="D5" s="155"/>
      <c r="E5" s="155"/>
      <c r="F5" s="155"/>
      <c r="G5" s="155"/>
      <c r="H5" s="155"/>
      <c r="I5" s="155"/>
      <c r="J5" s="155"/>
      <c r="K5" s="155"/>
      <c r="L5" s="155"/>
      <c r="M5" s="155"/>
      <c r="N5" s="156"/>
      <c r="O5" s="157"/>
      <c r="P5" s="157"/>
    </row>
    <row r="6" spans="1:16" ht="16" x14ac:dyDescent="0.35">
      <c r="A6" s="229"/>
      <c r="B6" s="230"/>
      <c r="C6" s="230"/>
      <c r="D6" s="230"/>
      <c r="E6" s="230"/>
      <c r="F6" s="230"/>
      <c r="G6" s="750"/>
      <c r="H6" s="230"/>
      <c r="I6" s="230"/>
      <c r="J6" s="230"/>
      <c r="K6" s="230"/>
      <c r="L6" s="230"/>
      <c r="M6" s="750"/>
      <c r="N6" s="231"/>
      <c r="O6" s="229"/>
      <c r="P6" s="229"/>
    </row>
    <row r="7" spans="1:16" ht="16" x14ac:dyDescent="0.35">
      <c r="A7" s="228" t="s">
        <v>1198</v>
      </c>
      <c r="B7" s="237"/>
      <c r="C7" s="237"/>
      <c r="D7" s="237"/>
      <c r="E7" s="237"/>
      <c r="F7" s="237"/>
      <c r="G7" s="237"/>
      <c r="H7" s="237"/>
      <c r="I7" s="237"/>
      <c r="J7" s="237"/>
      <c r="K7" s="237"/>
      <c r="L7" s="237"/>
      <c r="M7" s="237"/>
      <c r="N7" s="238"/>
      <c r="O7" s="223"/>
      <c r="P7" s="223"/>
    </row>
    <row r="8" spans="1:16" ht="16" x14ac:dyDescent="0.35">
      <c r="A8" s="229"/>
      <c r="B8" s="230"/>
      <c r="C8" s="230"/>
      <c r="D8" s="230"/>
      <c r="E8" s="230"/>
      <c r="F8" s="230"/>
      <c r="G8" s="750"/>
      <c r="H8" s="230"/>
      <c r="I8" s="230"/>
      <c r="J8" s="230"/>
      <c r="K8" s="230"/>
      <c r="L8" s="230"/>
      <c r="M8" s="750"/>
      <c r="N8" s="231"/>
      <c r="O8" s="229"/>
      <c r="P8" s="229"/>
    </row>
    <row r="9" spans="1:16" ht="16" x14ac:dyDescent="0.35">
      <c r="A9" s="184" t="s">
        <v>1199</v>
      </c>
      <c r="B9" s="185"/>
      <c r="C9" s="185"/>
      <c r="D9" s="185"/>
      <c r="E9" s="185"/>
      <c r="F9" s="185"/>
      <c r="G9" s="185"/>
      <c r="H9" s="185"/>
      <c r="I9" s="185"/>
      <c r="J9" s="185"/>
      <c r="K9" s="185"/>
      <c r="L9" s="185"/>
      <c r="M9" s="185"/>
      <c r="N9" s="186"/>
      <c r="O9" s="259"/>
      <c r="P9" s="751"/>
    </row>
    <row r="10" spans="1:16" ht="64" x14ac:dyDescent="0.35">
      <c r="A10" s="752" t="s">
        <v>1200</v>
      </c>
      <c r="B10" s="203">
        <v>0</v>
      </c>
      <c r="C10" s="203">
        <v>0</v>
      </c>
      <c r="D10" s="203">
        <v>140.19999999999999</v>
      </c>
      <c r="E10" s="203">
        <v>0</v>
      </c>
      <c r="F10" s="203">
        <v>0</v>
      </c>
      <c r="G10" s="190">
        <v>140.19999999999999</v>
      </c>
      <c r="H10" s="246">
        <v>0</v>
      </c>
      <c r="I10" s="246">
        <v>0</v>
      </c>
      <c r="J10" s="246">
        <v>97.53</v>
      </c>
      <c r="K10" s="246">
        <v>0</v>
      </c>
      <c r="L10" s="246">
        <v>0</v>
      </c>
      <c r="M10" s="190">
        <v>97.53</v>
      </c>
      <c r="N10" s="753">
        <v>-0.30435092724679025</v>
      </c>
      <c r="O10" s="754" t="s">
        <v>1201</v>
      </c>
      <c r="P10" s="755" t="s">
        <v>1202</v>
      </c>
    </row>
    <row r="11" spans="1:16" ht="64" x14ac:dyDescent="0.35">
      <c r="A11" s="752" t="s">
        <v>1203</v>
      </c>
      <c r="B11" s="203">
        <v>0</v>
      </c>
      <c r="C11" s="203">
        <v>0</v>
      </c>
      <c r="D11" s="203">
        <v>0</v>
      </c>
      <c r="E11" s="203">
        <v>0</v>
      </c>
      <c r="F11" s="203">
        <v>0</v>
      </c>
      <c r="G11" s="190">
        <v>0</v>
      </c>
      <c r="H11" s="246">
        <v>0</v>
      </c>
      <c r="I11" s="246">
        <v>0</v>
      </c>
      <c r="J11" s="246">
        <v>-67.7</v>
      </c>
      <c r="K11" s="246">
        <v>0</v>
      </c>
      <c r="L11" s="246">
        <v>0</v>
      </c>
      <c r="M11" s="190">
        <v>-67.7</v>
      </c>
      <c r="N11" s="753" t="s">
        <v>50</v>
      </c>
      <c r="O11" s="754" t="s">
        <v>1204</v>
      </c>
      <c r="P11" s="755" t="s">
        <v>1205</v>
      </c>
    </row>
    <row r="12" spans="1:16" ht="96" x14ac:dyDescent="0.35">
      <c r="A12" s="756" t="s">
        <v>1206</v>
      </c>
      <c r="B12" s="204">
        <v>2.7149999999999999</v>
      </c>
      <c r="C12" s="204">
        <v>0</v>
      </c>
      <c r="D12" s="204">
        <v>0</v>
      </c>
      <c r="E12" s="204">
        <v>0</v>
      </c>
      <c r="F12" s="204">
        <v>0</v>
      </c>
      <c r="G12" s="195">
        <v>2.7149999999999999</v>
      </c>
      <c r="H12" s="246">
        <v>3.6059999999999999</v>
      </c>
      <c r="I12" s="246">
        <v>0</v>
      </c>
      <c r="J12" s="246">
        <v>0</v>
      </c>
      <c r="K12" s="246">
        <v>0</v>
      </c>
      <c r="L12" s="246">
        <v>0</v>
      </c>
      <c r="M12" s="195">
        <v>3.6059999999999999</v>
      </c>
      <c r="N12" s="757">
        <v>0.32817679558011054</v>
      </c>
      <c r="O12" s="758" t="s">
        <v>1207</v>
      </c>
      <c r="P12" s="759" t="s">
        <v>1208</v>
      </c>
    </row>
    <row r="13" spans="1:16" ht="16" x14ac:dyDescent="0.35">
      <c r="A13" s="184" t="s">
        <v>1209</v>
      </c>
      <c r="B13" s="185">
        <v>2.7149999999999999</v>
      </c>
      <c r="C13" s="185">
        <v>0</v>
      </c>
      <c r="D13" s="185">
        <v>140.19999999999999</v>
      </c>
      <c r="E13" s="185">
        <v>0</v>
      </c>
      <c r="F13" s="185">
        <v>0</v>
      </c>
      <c r="G13" s="185">
        <v>142.91499999999999</v>
      </c>
      <c r="H13" s="185">
        <v>3.6059999999999999</v>
      </c>
      <c r="I13" s="185">
        <v>0</v>
      </c>
      <c r="J13" s="185">
        <v>29.83</v>
      </c>
      <c r="K13" s="185">
        <v>0</v>
      </c>
      <c r="L13" s="185">
        <v>0</v>
      </c>
      <c r="M13" s="185">
        <v>33.436</v>
      </c>
      <c r="N13" s="186">
        <v>-0.76604275268516242</v>
      </c>
      <c r="O13" s="259"/>
      <c r="P13" s="751"/>
    </row>
    <row r="14" spans="1:16" ht="16" x14ac:dyDescent="0.35">
      <c r="A14" s="154"/>
      <c r="B14" s="155"/>
      <c r="C14" s="155"/>
      <c r="D14" s="155"/>
      <c r="E14" s="155"/>
      <c r="F14" s="155"/>
      <c r="G14" s="155"/>
      <c r="H14" s="155"/>
      <c r="I14" s="155"/>
      <c r="J14" s="155"/>
      <c r="K14" s="155"/>
      <c r="L14" s="155"/>
      <c r="M14" s="155"/>
      <c r="N14" s="156"/>
      <c r="O14" s="157"/>
      <c r="P14" s="157"/>
    </row>
    <row r="15" spans="1:16" ht="16" x14ac:dyDescent="0.35">
      <c r="A15" s="184" t="s">
        <v>1210</v>
      </c>
      <c r="B15" s="185"/>
      <c r="C15" s="185"/>
      <c r="D15" s="185"/>
      <c r="E15" s="185"/>
      <c r="F15" s="185"/>
      <c r="G15" s="185"/>
      <c r="H15" s="185"/>
      <c r="I15" s="185"/>
      <c r="J15" s="185"/>
      <c r="K15" s="185"/>
      <c r="L15" s="185"/>
      <c r="M15" s="185"/>
      <c r="N15" s="186"/>
      <c r="O15" s="259"/>
      <c r="P15" s="751"/>
    </row>
    <row r="16" spans="1:16" ht="32" x14ac:dyDescent="0.35">
      <c r="A16" s="752" t="s">
        <v>1211</v>
      </c>
      <c r="B16" s="189">
        <v>0</v>
      </c>
      <c r="C16" s="189">
        <v>0</v>
      </c>
      <c r="D16" s="189">
        <v>0</v>
      </c>
      <c r="E16" s="189">
        <v>0</v>
      </c>
      <c r="F16" s="189">
        <v>0</v>
      </c>
      <c r="G16" s="191">
        <v>0</v>
      </c>
      <c r="H16" s="246">
        <v>0</v>
      </c>
      <c r="I16" s="246">
        <v>0</v>
      </c>
      <c r="J16" s="246">
        <v>0</v>
      </c>
      <c r="K16" s="246">
        <v>0</v>
      </c>
      <c r="L16" s="246">
        <v>0</v>
      </c>
      <c r="M16" s="191">
        <v>0</v>
      </c>
      <c r="N16" s="192" t="s">
        <v>50</v>
      </c>
      <c r="O16" s="760" t="s">
        <v>1212</v>
      </c>
      <c r="P16" s="761" t="s">
        <v>1213</v>
      </c>
    </row>
    <row r="17" spans="1:16" ht="16" x14ac:dyDescent="0.35">
      <c r="A17" s="184" t="s">
        <v>1214</v>
      </c>
      <c r="B17" s="185">
        <v>0</v>
      </c>
      <c r="C17" s="185">
        <v>0</v>
      </c>
      <c r="D17" s="185">
        <v>0</v>
      </c>
      <c r="E17" s="185">
        <v>0</v>
      </c>
      <c r="F17" s="185">
        <v>0</v>
      </c>
      <c r="G17" s="185">
        <v>0</v>
      </c>
      <c r="H17" s="185">
        <v>0</v>
      </c>
      <c r="I17" s="185">
        <v>0</v>
      </c>
      <c r="J17" s="185">
        <v>0</v>
      </c>
      <c r="K17" s="185">
        <v>0</v>
      </c>
      <c r="L17" s="185">
        <v>0</v>
      </c>
      <c r="M17" s="185">
        <v>0</v>
      </c>
      <c r="N17" s="186" t="s">
        <v>50</v>
      </c>
      <c r="O17" s="259"/>
      <c r="P17" s="751"/>
    </row>
    <row r="18" spans="1:16" ht="16" x14ac:dyDescent="0.35">
      <c r="A18" s="157"/>
      <c r="B18" s="180"/>
      <c r="C18" s="180"/>
      <c r="D18" s="180"/>
      <c r="E18" s="180"/>
      <c r="F18" s="180"/>
      <c r="G18" s="181"/>
      <c r="H18" s="180"/>
      <c r="I18" s="180"/>
      <c r="J18" s="180"/>
      <c r="K18" s="180"/>
      <c r="L18" s="180"/>
      <c r="M18" s="181"/>
      <c r="N18" s="182"/>
      <c r="O18" s="183"/>
      <c r="P18" s="183"/>
    </row>
    <row r="19" spans="1:16" ht="16" x14ac:dyDescent="0.35">
      <c r="A19" s="184" t="s">
        <v>1215</v>
      </c>
      <c r="B19" s="185"/>
      <c r="C19" s="185"/>
      <c r="D19" s="185"/>
      <c r="E19" s="185"/>
      <c r="F19" s="185"/>
      <c r="G19" s="185"/>
      <c r="H19" s="185"/>
      <c r="I19" s="185"/>
      <c r="J19" s="185"/>
      <c r="K19" s="185"/>
      <c r="L19" s="185"/>
      <c r="M19" s="185"/>
      <c r="N19" s="186"/>
      <c r="O19" s="259"/>
      <c r="P19" s="751"/>
    </row>
    <row r="20" spans="1:16" ht="144" x14ac:dyDescent="0.35">
      <c r="A20" s="752" t="s">
        <v>1215</v>
      </c>
      <c r="B20" s="189">
        <v>36.270000000000003</v>
      </c>
      <c r="C20" s="189">
        <v>4.8</v>
      </c>
      <c r="D20" s="189">
        <v>26.3</v>
      </c>
      <c r="E20" s="189">
        <v>0</v>
      </c>
      <c r="F20" s="189">
        <v>0</v>
      </c>
      <c r="G20" s="191">
        <v>67.37</v>
      </c>
      <c r="H20" s="246">
        <v>34.295000000000002</v>
      </c>
      <c r="I20" s="246">
        <v>4.8</v>
      </c>
      <c r="J20" s="246">
        <v>25.5</v>
      </c>
      <c r="K20" s="246">
        <v>0</v>
      </c>
      <c r="L20" s="246">
        <v>0</v>
      </c>
      <c r="M20" s="191">
        <v>64.594999999999999</v>
      </c>
      <c r="N20" s="192">
        <v>-4.1190440849042685E-2</v>
      </c>
      <c r="O20" s="760" t="s">
        <v>1216</v>
      </c>
      <c r="P20" s="761" t="s">
        <v>1217</v>
      </c>
    </row>
    <row r="21" spans="1:16" ht="16" x14ac:dyDescent="0.35">
      <c r="A21" s="184" t="s">
        <v>1218</v>
      </c>
      <c r="B21" s="185">
        <v>36.270000000000003</v>
      </c>
      <c r="C21" s="185">
        <v>4.8</v>
      </c>
      <c r="D21" s="185">
        <v>26.3</v>
      </c>
      <c r="E21" s="185">
        <v>0</v>
      </c>
      <c r="F21" s="185">
        <v>0</v>
      </c>
      <c r="G21" s="185">
        <v>67.37</v>
      </c>
      <c r="H21" s="185">
        <v>34.295000000000002</v>
      </c>
      <c r="I21" s="185">
        <v>4.8</v>
      </c>
      <c r="J21" s="185">
        <v>25.5</v>
      </c>
      <c r="K21" s="185">
        <v>0</v>
      </c>
      <c r="L21" s="185">
        <v>0</v>
      </c>
      <c r="M21" s="185">
        <v>64.594999999999999</v>
      </c>
      <c r="N21" s="186">
        <v>-4.1190440849042685E-2</v>
      </c>
      <c r="O21" s="259"/>
      <c r="P21" s="751"/>
    </row>
    <row r="22" spans="1:16" ht="16" x14ac:dyDescent="0.35">
      <c r="A22" s="229"/>
      <c r="B22" s="230"/>
      <c r="C22" s="230"/>
      <c r="D22" s="230"/>
      <c r="E22" s="230"/>
      <c r="F22" s="230"/>
      <c r="G22" s="750"/>
      <c r="H22" s="230"/>
      <c r="I22" s="230"/>
      <c r="J22" s="230"/>
      <c r="K22" s="230"/>
      <c r="L22" s="230"/>
      <c r="M22" s="750"/>
      <c r="N22" s="231"/>
      <c r="O22" s="229"/>
      <c r="P22" s="229"/>
    </row>
    <row r="23" spans="1:16" ht="16" x14ac:dyDescent="0.35">
      <c r="A23" s="216" t="s">
        <v>1219</v>
      </c>
      <c r="B23" s="226">
        <v>38.984999999999999</v>
      </c>
      <c r="C23" s="226">
        <v>4.8</v>
      </c>
      <c r="D23" s="226">
        <v>166.5</v>
      </c>
      <c r="E23" s="226">
        <v>0</v>
      </c>
      <c r="F23" s="226">
        <v>0</v>
      </c>
      <c r="G23" s="226">
        <v>210.285</v>
      </c>
      <c r="H23" s="226">
        <v>37.901000000000003</v>
      </c>
      <c r="I23" s="226">
        <v>4.8</v>
      </c>
      <c r="J23" s="226">
        <v>55.33</v>
      </c>
      <c r="K23" s="226">
        <v>0</v>
      </c>
      <c r="L23" s="226">
        <v>0</v>
      </c>
      <c r="M23" s="226">
        <v>98.031000000000006</v>
      </c>
      <c r="N23" s="221">
        <v>-0.53381838932876802</v>
      </c>
      <c r="O23" s="261"/>
      <c r="P23" s="262"/>
    </row>
    <row r="24" spans="1:16" ht="16" x14ac:dyDescent="0.35">
      <c r="A24" s="229"/>
      <c r="B24" s="230"/>
      <c r="C24" s="230"/>
      <c r="D24" s="230"/>
      <c r="E24" s="230"/>
      <c r="F24" s="230"/>
      <c r="G24" s="750"/>
      <c r="H24" s="230"/>
      <c r="I24" s="230"/>
      <c r="J24" s="230"/>
      <c r="K24" s="230"/>
      <c r="L24" s="230"/>
      <c r="M24" s="750"/>
      <c r="N24" s="231"/>
      <c r="O24" s="229"/>
      <c r="P24" s="229"/>
    </row>
    <row r="25" spans="1:16" ht="16" x14ac:dyDescent="0.35">
      <c r="A25" s="228" t="s">
        <v>1220</v>
      </c>
      <c r="B25" s="237"/>
      <c r="C25" s="237"/>
      <c r="D25" s="237"/>
      <c r="E25" s="237"/>
      <c r="F25" s="237"/>
      <c r="G25" s="237"/>
      <c r="H25" s="237"/>
      <c r="I25" s="237"/>
      <c r="J25" s="237"/>
      <c r="K25" s="237"/>
      <c r="L25" s="237"/>
      <c r="M25" s="237"/>
      <c r="N25" s="238"/>
      <c r="O25" s="223"/>
      <c r="P25" s="223"/>
    </row>
    <row r="26" spans="1:16" ht="16" x14ac:dyDescent="0.35">
      <c r="A26" s="229"/>
      <c r="B26" s="230"/>
      <c r="C26" s="230"/>
      <c r="D26" s="230"/>
      <c r="E26" s="230"/>
      <c r="F26" s="230"/>
      <c r="G26" s="230"/>
      <c r="H26" s="230"/>
      <c r="I26" s="230"/>
      <c r="J26" s="230"/>
      <c r="K26" s="230"/>
      <c r="L26" s="230"/>
      <c r="M26" s="230"/>
      <c r="N26" s="231"/>
      <c r="O26" s="229"/>
      <c r="P26" s="229"/>
    </row>
    <row r="27" spans="1:16" ht="16" x14ac:dyDescent="0.35">
      <c r="A27" s="184" t="s">
        <v>1220</v>
      </c>
      <c r="B27" s="185"/>
      <c r="C27" s="185"/>
      <c r="D27" s="185"/>
      <c r="E27" s="185"/>
      <c r="F27" s="185"/>
      <c r="G27" s="185"/>
      <c r="H27" s="185"/>
      <c r="I27" s="185"/>
      <c r="J27" s="185"/>
      <c r="K27" s="185"/>
      <c r="L27" s="185"/>
      <c r="M27" s="185"/>
      <c r="N27" s="186"/>
      <c r="O27" s="259"/>
      <c r="P27" s="751"/>
    </row>
    <row r="28" spans="1:16" ht="160" x14ac:dyDescent="0.35">
      <c r="A28" s="762" t="s">
        <v>1221</v>
      </c>
      <c r="B28" s="189">
        <v>83.355000000000004</v>
      </c>
      <c r="C28" s="189">
        <v>0</v>
      </c>
      <c r="D28" s="189">
        <v>0</v>
      </c>
      <c r="E28" s="189">
        <v>0</v>
      </c>
      <c r="F28" s="189">
        <v>0</v>
      </c>
      <c r="G28" s="191">
        <v>83.355000000000004</v>
      </c>
      <c r="H28" s="246">
        <v>98.1</v>
      </c>
      <c r="I28" s="246">
        <v>0</v>
      </c>
      <c r="J28" s="246">
        <v>0</v>
      </c>
      <c r="K28" s="246">
        <v>0</v>
      </c>
      <c r="L28" s="246">
        <v>0</v>
      </c>
      <c r="M28" s="191">
        <v>98.1</v>
      </c>
      <c r="N28" s="192">
        <v>0.17689400755803478</v>
      </c>
      <c r="O28" s="762" t="s">
        <v>1222</v>
      </c>
      <c r="P28" s="763" t="s">
        <v>1223</v>
      </c>
    </row>
    <row r="29" spans="1:16" ht="80" x14ac:dyDescent="0.35">
      <c r="A29" s="224" t="s">
        <v>1224</v>
      </c>
      <c r="B29" s="194">
        <v>13.3</v>
      </c>
      <c r="C29" s="194">
        <v>3.5999999999999997E-2</v>
      </c>
      <c r="D29" s="194">
        <v>0</v>
      </c>
      <c r="E29" s="194">
        <v>0</v>
      </c>
      <c r="F29" s="194">
        <v>0</v>
      </c>
      <c r="G29" s="196">
        <v>13.336</v>
      </c>
      <c r="H29" s="246">
        <v>2.8</v>
      </c>
      <c r="I29" s="246">
        <v>3.5999999999999997E-2</v>
      </c>
      <c r="J29" s="246">
        <v>0</v>
      </c>
      <c r="K29" s="246">
        <v>0</v>
      </c>
      <c r="L29" s="246">
        <v>0</v>
      </c>
      <c r="M29" s="196">
        <v>2.8359999999999999</v>
      </c>
      <c r="N29" s="197">
        <v>-0.78734253149370126</v>
      </c>
      <c r="O29" s="224" t="s">
        <v>1225</v>
      </c>
      <c r="P29" s="764" t="s">
        <v>1226</v>
      </c>
    </row>
    <row r="30" spans="1:16" ht="89.5" customHeight="1" x14ac:dyDescent="0.35">
      <c r="A30" s="224" t="s">
        <v>1227</v>
      </c>
      <c r="B30" s="194">
        <v>3.5</v>
      </c>
      <c r="C30" s="194">
        <v>0</v>
      </c>
      <c r="D30" s="194">
        <v>0</v>
      </c>
      <c r="E30" s="194">
        <v>0</v>
      </c>
      <c r="F30" s="194">
        <v>0</v>
      </c>
      <c r="G30" s="196">
        <v>3.5</v>
      </c>
      <c r="H30" s="246">
        <v>3.516</v>
      </c>
      <c r="I30" s="246">
        <v>0</v>
      </c>
      <c r="J30" s="246">
        <v>0</v>
      </c>
      <c r="K30" s="246">
        <v>0</v>
      </c>
      <c r="L30" s="246">
        <v>0</v>
      </c>
      <c r="M30" s="196">
        <v>3.516</v>
      </c>
      <c r="N30" s="197">
        <v>4.5714285714285752E-3</v>
      </c>
      <c r="O30" s="224" t="s">
        <v>1228</v>
      </c>
      <c r="P30" s="764" t="s">
        <v>1229</v>
      </c>
    </row>
    <row r="31" spans="1:16" ht="16" x14ac:dyDescent="0.35">
      <c r="A31" s="198" t="s">
        <v>1230</v>
      </c>
      <c r="B31" s="199">
        <v>100.155</v>
      </c>
      <c r="C31" s="199">
        <v>3.5999999999999997E-2</v>
      </c>
      <c r="D31" s="199">
        <v>0</v>
      </c>
      <c r="E31" s="199">
        <v>0</v>
      </c>
      <c r="F31" s="199">
        <v>0</v>
      </c>
      <c r="G31" s="199">
        <v>100.191</v>
      </c>
      <c r="H31" s="199">
        <v>104.416</v>
      </c>
      <c r="I31" s="199">
        <v>3.5999999999999997E-2</v>
      </c>
      <c r="J31" s="199">
        <v>0</v>
      </c>
      <c r="K31" s="199">
        <v>0</v>
      </c>
      <c r="L31" s="199">
        <v>0</v>
      </c>
      <c r="M31" s="199">
        <v>104.452</v>
      </c>
      <c r="N31" s="200">
        <v>4.2528770049205973E-2</v>
      </c>
      <c r="O31" s="765"/>
      <c r="P31" s="766"/>
    </row>
    <row r="32" spans="1:16" ht="16" x14ac:dyDescent="0.35">
      <c r="A32" s="229"/>
      <c r="B32" s="230"/>
      <c r="C32" s="230"/>
      <c r="D32" s="230"/>
      <c r="E32" s="230"/>
      <c r="F32" s="230"/>
      <c r="G32" s="230"/>
      <c r="H32" s="230"/>
      <c r="I32" s="230"/>
      <c r="J32" s="230"/>
      <c r="K32" s="230"/>
      <c r="L32" s="230"/>
      <c r="M32" s="230"/>
      <c r="N32" s="231"/>
      <c r="O32" s="229"/>
      <c r="P32" s="229"/>
    </row>
    <row r="33" spans="1:16" ht="16" x14ac:dyDescent="0.35">
      <c r="A33" s="216" t="s">
        <v>1231</v>
      </c>
      <c r="B33" s="226">
        <v>100.155</v>
      </c>
      <c r="C33" s="226">
        <v>3.5999999999999997E-2</v>
      </c>
      <c r="D33" s="226">
        <v>0</v>
      </c>
      <c r="E33" s="226">
        <v>0</v>
      </c>
      <c r="F33" s="226">
        <v>0</v>
      </c>
      <c r="G33" s="226">
        <v>100.191</v>
      </c>
      <c r="H33" s="226">
        <v>104.416</v>
      </c>
      <c r="I33" s="226">
        <v>3.5999999999999997E-2</v>
      </c>
      <c r="J33" s="226">
        <v>0</v>
      </c>
      <c r="K33" s="226">
        <v>0</v>
      </c>
      <c r="L33" s="226">
        <v>0</v>
      </c>
      <c r="M33" s="226">
        <v>104.452</v>
      </c>
      <c r="N33" s="221">
        <v>4.2528770049205973E-2</v>
      </c>
      <c r="O33" s="261"/>
      <c r="P33" s="262"/>
    </row>
    <row r="34" spans="1:16" ht="16" x14ac:dyDescent="0.35">
      <c r="A34" s="229"/>
      <c r="B34" s="230"/>
      <c r="C34" s="230"/>
      <c r="D34" s="230"/>
      <c r="E34" s="230"/>
      <c r="F34" s="230"/>
      <c r="G34" s="230"/>
      <c r="H34" s="230"/>
      <c r="I34" s="230"/>
      <c r="J34" s="230"/>
      <c r="K34" s="230"/>
      <c r="L34" s="230"/>
      <c r="M34" s="230"/>
      <c r="N34" s="231"/>
      <c r="O34" s="229"/>
      <c r="P34" s="229"/>
    </row>
    <row r="35" spans="1:16" ht="32" x14ac:dyDescent="0.35">
      <c r="A35" s="176" t="s">
        <v>1232</v>
      </c>
      <c r="B35" s="177"/>
      <c r="C35" s="177"/>
      <c r="D35" s="177"/>
      <c r="E35" s="177"/>
      <c r="F35" s="177"/>
      <c r="G35" s="177"/>
      <c r="H35" s="177"/>
      <c r="I35" s="177"/>
      <c r="J35" s="177"/>
      <c r="K35" s="177"/>
      <c r="L35" s="177"/>
      <c r="M35" s="177"/>
      <c r="N35" s="178"/>
      <c r="O35" s="179"/>
      <c r="P35" s="179"/>
    </row>
    <row r="36" spans="1:16" ht="16" x14ac:dyDescent="0.35">
      <c r="A36" s="229"/>
      <c r="B36" s="230"/>
      <c r="C36" s="230"/>
      <c r="D36" s="230"/>
      <c r="E36" s="230"/>
      <c r="F36" s="230"/>
      <c r="G36" s="230"/>
      <c r="H36" s="230"/>
      <c r="I36" s="230"/>
      <c r="J36" s="230"/>
      <c r="K36" s="230"/>
      <c r="L36" s="230"/>
      <c r="M36" s="230"/>
      <c r="N36" s="231"/>
      <c r="O36" s="205"/>
      <c r="P36" s="205"/>
    </row>
    <row r="37" spans="1:16" ht="16" x14ac:dyDescent="0.35">
      <c r="A37" s="184" t="s">
        <v>1233</v>
      </c>
      <c r="B37" s="185"/>
      <c r="C37" s="185"/>
      <c r="D37" s="185"/>
      <c r="E37" s="185"/>
      <c r="F37" s="185"/>
      <c r="G37" s="185"/>
      <c r="H37" s="185"/>
      <c r="I37" s="185"/>
      <c r="J37" s="185"/>
      <c r="K37" s="185"/>
      <c r="L37" s="185"/>
      <c r="M37" s="185"/>
      <c r="N37" s="186"/>
      <c r="O37" s="187"/>
      <c r="P37" s="187"/>
    </row>
    <row r="38" spans="1:16" ht="115.5" customHeight="1" x14ac:dyDescent="0.35">
      <c r="A38" s="193" t="s">
        <v>1234</v>
      </c>
      <c r="B38" s="194">
        <v>1.81</v>
      </c>
      <c r="C38" s="194">
        <v>0</v>
      </c>
      <c r="D38" s="194">
        <v>0</v>
      </c>
      <c r="E38" s="194">
        <v>0</v>
      </c>
      <c r="F38" s="194">
        <v>0</v>
      </c>
      <c r="G38" s="196">
        <v>1.81</v>
      </c>
      <c r="H38" s="246">
        <v>2.36</v>
      </c>
      <c r="I38" s="246">
        <v>0</v>
      </c>
      <c r="J38" s="246">
        <v>6.94</v>
      </c>
      <c r="K38" s="246">
        <v>0</v>
      </c>
      <c r="L38" s="246">
        <v>0</v>
      </c>
      <c r="M38" s="196">
        <v>9.3000000000000007</v>
      </c>
      <c r="N38" s="197">
        <v>4.1381215469613259</v>
      </c>
      <c r="O38" s="767" t="s">
        <v>1417</v>
      </c>
      <c r="P38" s="768" t="s">
        <v>1235</v>
      </c>
    </row>
    <row r="39" spans="1:16" ht="32" x14ac:dyDescent="0.35">
      <c r="A39" s="193" t="s">
        <v>1236</v>
      </c>
      <c r="B39" s="194">
        <v>2.4</v>
      </c>
      <c r="C39" s="194">
        <v>0</v>
      </c>
      <c r="D39" s="194">
        <v>0</v>
      </c>
      <c r="E39" s="194">
        <v>0</v>
      </c>
      <c r="F39" s="194">
        <v>0</v>
      </c>
      <c r="G39" s="196">
        <v>2.4</v>
      </c>
      <c r="H39" s="246">
        <v>0.34499999999999997</v>
      </c>
      <c r="I39" s="246">
        <v>0</v>
      </c>
      <c r="J39" s="246">
        <v>0</v>
      </c>
      <c r="K39" s="246">
        <v>0</v>
      </c>
      <c r="L39" s="246">
        <v>0</v>
      </c>
      <c r="M39" s="196">
        <v>0.34499999999999997</v>
      </c>
      <c r="N39" s="197">
        <v>-0.85624999999999996</v>
      </c>
      <c r="O39" s="767" t="s">
        <v>1237</v>
      </c>
      <c r="P39" s="769" t="s">
        <v>1238</v>
      </c>
    </row>
    <row r="40" spans="1:16" ht="16" x14ac:dyDescent="0.35">
      <c r="A40" s="193" t="s">
        <v>1239</v>
      </c>
      <c r="B40" s="194">
        <v>0</v>
      </c>
      <c r="C40" s="194">
        <v>0</v>
      </c>
      <c r="D40" s="194">
        <v>0</v>
      </c>
      <c r="E40" s="194">
        <v>0</v>
      </c>
      <c r="F40" s="194">
        <v>0</v>
      </c>
      <c r="G40" s="196">
        <v>0</v>
      </c>
      <c r="H40" s="246">
        <v>0</v>
      </c>
      <c r="I40" s="246">
        <v>0</v>
      </c>
      <c r="J40" s="246">
        <v>0</v>
      </c>
      <c r="K40" s="246">
        <v>0</v>
      </c>
      <c r="L40" s="246">
        <v>0</v>
      </c>
      <c r="M40" s="196">
        <v>0</v>
      </c>
      <c r="N40" s="197" t="s">
        <v>50</v>
      </c>
      <c r="O40" s="767" t="s">
        <v>1240</v>
      </c>
      <c r="P40" s="769" t="s">
        <v>237</v>
      </c>
    </row>
    <row r="41" spans="1:16" ht="16" x14ac:dyDescent="0.35">
      <c r="A41" s="198" t="s">
        <v>1241</v>
      </c>
      <c r="B41" s="199">
        <v>4.21</v>
      </c>
      <c r="C41" s="199">
        <v>0</v>
      </c>
      <c r="D41" s="199">
        <v>0</v>
      </c>
      <c r="E41" s="199">
        <v>0</v>
      </c>
      <c r="F41" s="199">
        <v>0</v>
      </c>
      <c r="G41" s="199">
        <v>4.21</v>
      </c>
      <c r="H41" s="199">
        <v>2.7050000000000001</v>
      </c>
      <c r="I41" s="199">
        <v>0</v>
      </c>
      <c r="J41" s="199">
        <v>6.94</v>
      </c>
      <c r="K41" s="199">
        <v>0</v>
      </c>
      <c r="L41" s="199">
        <v>0</v>
      </c>
      <c r="M41" s="199">
        <v>9.6450000000000014</v>
      </c>
      <c r="N41" s="200">
        <v>1.2909738717339672</v>
      </c>
      <c r="O41" s="201"/>
      <c r="P41" s="202"/>
    </row>
    <row r="42" spans="1:16" ht="16" x14ac:dyDescent="0.35">
      <c r="A42" s="229"/>
      <c r="B42" s="230"/>
      <c r="C42" s="230"/>
      <c r="D42" s="230"/>
      <c r="E42" s="230"/>
      <c r="F42" s="230"/>
      <c r="G42" s="230"/>
      <c r="H42" s="230"/>
      <c r="I42" s="230"/>
      <c r="J42" s="230"/>
      <c r="K42" s="230"/>
      <c r="L42" s="230"/>
      <c r="M42" s="230"/>
      <c r="N42" s="231"/>
      <c r="O42" s="205"/>
      <c r="P42" s="205"/>
    </row>
    <row r="43" spans="1:16" ht="16" x14ac:dyDescent="0.35">
      <c r="A43" s="184" t="s">
        <v>1242</v>
      </c>
      <c r="B43" s="185"/>
      <c r="C43" s="185"/>
      <c r="D43" s="185"/>
      <c r="E43" s="185"/>
      <c r="F43" s="185"/>
      <c r="G43" s="185"/>
      <c r="H43" s="185"/>
      <c r="I43" s="185"/>
      <c r="J43" s="185"/>
      <c r="K43" s="185"/>
      <c r="L43" s="185"/>
      <c r="M43" s="185"/>
      <c r="N43" s="186"/>
      <c r="O43" s="187"/>
      <c r="P43" s="187"/>
    </row>
    <row r="44" spans="1:16" ht="112" x14ac:dyDescent="0.35">
      <c r="A44" s="188" t="s">
        <v>1243</v>
      </c>
      <c r="B44" s="189">
        <v>136.708</v>
      </c>
      <c r="C44" s="189">
        <v>0</v>
      </c>
      <c r="D44" s="189">
        <v>0</v>
      </c>
      <c r="E44" s="189">
        <v>0</v>
      </c>
      <c r="F44" s="189">
        <v>0</v>
      </c>
      <c r="G44" s="191">
        <v>136.708</v>
      </c>
      <c r="H44" s="246">
        <v>132.422</v>
      </c>
      <c r="I44" s="246">
        <v>0</v>
      </c>
      <c r="J44" s="246">
        <v>0</v>
      </c>
      <c r="K44" s="246">
        <v>0</v>
      </c>
      <c r="L44" s="246">
        <v>0</v>
      </c>
      <c r="M44" s="191">
        <v>132.422</v>
      </c>
      <c r="N44" s="192">
        <v>-3.1351493694589942E-2</v>
      </c>
      <c r="O44" s="770" t="s">
        <v>1244</v>
      </c>
      <c r="P44" s="761" t="s">
        <v>1245</v>
      </c>
    </row>
    <row r="45" spans="1:16" ht="64" x14ac:dyDescent="0.35">
      <c r="A45" s="193" t="s">
        <v>1246</v>
      </c>
      <c r="B45" s="194">
        <v>0</v>
      </c>
      <c r="C45" s="194">
        <v>0</v>
      </c>
      <c r="D45" s="194">
        <v>82.941000000000003</v>
      </c>
      <c r="E45" s="194">
        <v>0</v>
      </c>
      <c r="F45" s="194">
        <v>0</v>
      </c>
      <c r="G45" s="196">
        <v>82.941000000000003</v>
      </c>
      <c r="H45" s="246">
        <v>0</v>
      </c>
      <c r="I45" s="246">
        <v>0</v>
      </c>
      <c r="J45" s="246">
        <v>82.037999999999997</v>
      </c>
      <c r="K45" s="246">
        <v>0</v>
      </c>
      <c r="L45" s="246">
        <v>0</v>
      </c>
      <c r="M45" s="196">
        <v>82.037999999999997</v>
      </c>
      <c r="N45" s="197">
        <v>-1.0887257206930297E-2</v>
      </c>
      <c r="O45" s="767" t="s">
        <v>1247</v>
      </c>
      <c r="P45" s="768" t="s">
        <v>1248</v>
      </c>
    </row>
    <row r="46" spans="1:16" ht="32" x14ac:dyDescent="0.35">
      <c r="A46" s="193" t="s">
        <v>1249</v>
      </c>
      <c r="B46" s="194">
        <v>0</v>
      </c>
      <c r="C46" s="194">
        <v>15.042999999999999</v>
      </c>
      <c r="D46" s="194">
        <v>0</v>
      </c>
      <c r="E46" s="194">
        <v>0</v>
      </c>
      <c r="F46" s="194">
        <v>0</v>
      </c>
      <c r="G46" s="196">
        <v>15.042999999999999</v>
      </c>
      <c r="H46" s="246">
        <v>0</v>
      </c>
      <c r="I46" s="246">
        <v>13.5</v>
      </c>
      <c r="J46" s="246">
        <v>0</v>
      </c>
      <c r="K46" s="246">
        <v>0</v>
      </c>
      <c r="L46" s="246">
        <v>0</v>
      </c>
      <c r="M46" s="196">
        <v>13.5</v>
      </c>
      <c r="N46" s="197">
        <v>-0.10257262514126167</v>
      </c>
      <c r="O46" s="767" t="s">
        <v>1250</v>
      </c>
      <c r="P46" s="768" t="s">
        <v>237</v>
      </c>
    </row>
    <row r="47" spans="1:16" ht="64" x14ac:dyDescent="0.35">
      <c r="A47" s="193" t="s">
        <v>1251</v>
      </c>
      <c r="B47" s="194">
        <v>0</v>
      </c>
      <c r="C47" s="194">
        <v>0</v>
      </c>
      <c r="D47" s="194">
        <v>0</v>
      </c>
      <c r="E47" s="194">
        <v>27.4</v>
      </c>
      <c r="F47" s="194">
        <v>0</v>
      </c>
      <c r="G47" s="196">
        <v>27.4</v>
      </c>
      <c r="H47" s="246">
        <v>0</v>
      </c>
      <c r="I47" s="246">
        <v>0</v>
      </c>
      <c r="J47" s="246">
        <v>0</v>
      </c>
      <c r="K47" s="246">
        <v>28.76</v>
      </c>
      <c r="L47" s="246">
        <v>0</v>
      </c>
      <c r="M47" s="196">
        <v>28.76</v>
      </c>
      <c r="N47" s="197">
        <v>4.9635036496350475E-2</v>
      </c>
      <c r="O47" s="767" t="s">
        <v>1252</v>
      </c>
      <c r="P47" s="768" t="s">
        <v>1253</v>
      </c>
    </row>
    <row r="48" spans="1:16" ht="32" x14ac:dyDescent="0.35">
      <c r="A48" s="193" t="s">
        <v>1254</v>
      </c>
      <c r="B48" s="194">
        <v>0</v>
      </c>
      <c r="C48" s="194">
        <v>0</v>
      </c>
      <c r="D48" s="194">
        <v>0</v>
      </c>
      <c r="E48" s="194">
        <v>-27.4</v>
      </c>
      <c r="F48" s="194">
        <v>0</v>
      </c>
      <c r="G48" s="196">
        <v>-27.4</v>
      </c>
      <c r="H48" s="246">
        <v>0</v>
      </c>
      <c r="I48" s="246">
        <v>0</v>
      </c>
      <c r="J48" s="246">
        <v>0</v>
      </c>
      <c r="K48" s="246">
        <v>-20.66</v>
      </c>
      <c r="L48" s="246">
        <v>0</v>
      </c>
      <c r="M48" s="196">
        <v>-20.66</v>
      </c>
      <c r="N48" s="197">
        <v>-0.24598540145985398</v>
      </c>
      <c r="O48" s="767" t="s">
        <v>1212</v>
      </c>
      <c r="P48" s="768" t="s">
        <v>237</v>
      </c>
    </row>
    <row r="49" spans="1:16" ht="16" x14ac:dyDescent="0.35">
      <c r="A49" s="198" t="s">
        <v>1255</v>
      </c>
      <c r="B49" s="199">
        <v>136.708</v>
      </c>
      <c r="C49" s="199">
        <v>15.042999999999999</v>
      </c>
      <c r="D49" s="199">
        <v>82.941000000000003</v>
      </c>
      <c r="E49" s="199">
        <v>0</v>
      </c>
      <c r="F49" s="199">
        <v>0</v>
      </c>
      <c r="G49" s="199">
        <v>234.69199999999998</v>
      </c>
      <c r="H49" s="199">
        <v>132.422</v>
      </c>
      <c r="I49" s="199">
        <v>13.5</v>
      </c>
      <c r="J49" s="199">
        <v>82.037999999999997</v>
      </c>
      <c r="K49" s="199">
        <v>8.1000000000000014</v>
      </c>
      <c r="L49" s="199">
        <v>0</v>
      </c>
      <c r="M49" s="199">
        <v>236.05999999999997</v>
      </c>
      <c r="N49" s="200">
        <v>5.8289161965469427E-3</v>
      </c>
      <c r="O49" s="201"/>
      <c r="P49" s="202"/>
    </row>
    <row r="50" spans="1:16" ht="16" x14ac:dyDescent="0.35">
      <c r="A50" s="771"/>
      <c r="B50" s="772"/>
      <c r="C50" s="772"/>
      <c r="D50" s="772"/>
      <c r="E50" s="772"/>
      <c r="F50" s="772"/>
      <c r="G50" s="773"/>
      <c r="H50" s="772"/>
      <c r="I50" s="772"/>
      <c r="J50" s="772"/>
      <c r="K50" s="772"/>
      <c r="L50" s="772"/>
      <c r="M50" s="773"/>
      <c r="N50" s="774"/>
      <c r="O50" s="775"/>
      <c r="P50" s="775"/>
    </row>
    <row r="51" spans="1:16" ht="32" x14ac:dyDescent="0.35">
      <c r="A51" s="257" t="s">
        <v>1256</v>
      </c>
      <c r="B51" s="776"/>
      <c r="C51" s="776"/>
      <c r="D51" s="776"/>
      <c r="E51" s="776"/>
      <c r="F51" s="776"/>
      <c r="G51" s="776"/>
      <c r="H51" s="776"/>
      <c r="I51" s="776"/>
      <c r="J51" s="776"/>
      <c r="K51" s="776"/>
      <c r="L51" s="776"/>
      <c r="M51" s="776"/>
      <c r="N51" s="241"/>
      <c r="O51" s="777"/>
      <c r="P51" s="777"/>
    </row>
    <row r="52" spans="1:16" ht="96" x14ac:dyDescent="0.35">
      <c r="A52" s="770" t="s">
        <v>1257</v>
      </c>
      <c r="B52" s="246">
        <v>27.864999999999998</v>
      </c>
      <c r="C52" s="246">
        <v>0</v>
      </c>
      <c r="D52" s="246">
        <v>0</v>
      </c>
      <c r="E52" s="246">
        <v>0</v>
      </c>
      <c r="F52" s="246">
        <v>0</v>
      </c>
      <c r="G52" s="778">
        <v>27.864999999999998</v>
      </c>
      <c r="H52" s="246">
        <v>28.01</v>
      </c>
      <c r="I52" s="246">
        <v>0</v>
      </c>
      <c r="J52" s="246">
        <v>0</v>
      </c>
      <c r="K52" s="246">
        <v>0</v>
      </c>
      <c r="L52" s="246">
        <v>0</v>
      </c>
      <c r="M52" s="778">
        <v>28.01</v>
      </c>
      <c r="N52" s="779">
        <v>5.2036605060112378E-3</v>
      </c>
      <c r="O52" s="243" t="s">
        <v>1258</v>
      </c>
      <c r="P52" s="755" t="s">
        <v>1259</v>
      </c>
    </row>
    <row r="53" spans="1:16" ht="64" x14ac:dyDescent="0.35">
      <c r="A53" s="767" t="s">
        <v>1260</v>
      </c>
      <c r="B53" s="780">
        <v>0</v>
      </c>
      <c r="C53" s="780">
        <v>0</v>
      </c>
      <c r="D53" s="780">
        <v>24.4</v>
      </c>
      <c r="E53" s="780">
        <v>0</v>
      </c>
      <c r="F53" s="780">
        <v>0</v>
      </c>
      <c r="G53" s="781">
        <v>24.4</v>
      </c>
      <c r="H53" s="246">
        <v>0</v>
      </c>
      <c r="I53" s="246">
        <v>0</v>
      </c>
      <c r="J53" s="246">
        <v>25.245000000000001</v>
      </c>
      <c r="K53" s="246">
        <v>0</v>
      </c>
      <c r="L53" s="246">
        <v>0</v>
      </c>
      <c r="M53" s="781">
        <v>25.245000000000001</v>
      </c>
      <c r="N53" s="782">
        <v>3.463114754098371E-2</v>
      </c>
      <c r="O53" s="783" t="s">
        <v>1247</v>
      </c>
      <c r="P53" s="759" t="s">
        <v>1261</v>
      </c>
    </row>
    <row r="54" spans="1:16" ht="32" x14ac:dyDescent="0.35">
      <c r="A54" s="767" t="s">
        <v>1262</v>
      </c>
      <c r="B54" s="780">
        <v>0</v>
      </c>
      <c r="C54" s="780">
        <v>0</v>
      </c>
      <c r="D54" s="780">
        <v>0</v>
      </c>
      <c r="E54" s="780">
        <v>0</v>
      </c>
      <c r="F54" s="780">
        <v>0</v>
      </c>
      <c r="G54" s="781">
        <v>0</v>
      </c>
      <c r="H54" s="246">
        <v>0</v>
      </c>
      <c r="I54" s="246">
        <v>0</v>
      </c>
      <c r="J54" s="246">
        <v>0</v>
      </c>
      <c r="K54" s="246">
        <v>0</v>
      </c>
      <c r="L54" s="246">
        <v>0</v>
      </c>
      <c r="M54" s="781">
        <v>0</v>
      </c>
      <c r="N54" s="782" t="s">
        <v>50</v>
      </c>
      <c r="O54" s="783" t="s">
        <v>237</v>
      </c>
      <c r="P54" s="759" t="s">
        <v>237</v>
      </c>
    </row>
    <row r="55" spans="1:16" ht="32" x14ac:dyDescent="0.35">
      <c r="A55" s="767" t="s">
        <v>1263</v>
      </c>
      <c r="B55" s="780">
        <v>0</v>
      </c>
      <c r="C55" s="780">
        <v>0</v>
      </c>
      <c r="D55" s="780">
        <v>0</v>
      </c>
      <c r="E55" s="780">
        <v>0</v>
      </c>
      <c r="F55" s="780">
        <v>0</v>
      </c>
      <c r="G55" s="781">
        <v>0</v>
      </c>
      <c r="H55" s="246">
        <v>0</v>
      </c>
      <c r="I55" s="246">
        <v>0</v>
      </c>
      <c r="J55" s="246">
        <v>0</v>
      </c>
      <c r="K55" s="246">
        <v>0</v>
      </c>
      <c r="L55" s="246">
        <v>0</v>
      </c>
      <c r="M55" s="781">
        <v>0</v>
      </c>
      <c r="N55" s="782"/>
      <c r="O55" s="783"/>
      <c r="P55" s="759"/>
    </row>
    <row r="56" spans="1:16" ht="32" x14ac:dyDescent="0.35">
      <c r="A56" s="767" t="s">
        <v>1264</v>
      </c>
      <c r="B56" s="780">
        <v>0</v>
      </c>
      <c r="C56" s="780">
        <v>3.6960000000000002</v>
      </c>
      <c r="D56" s="780">
        <v>0</v>
      </c>
      <c r="E56" s="780">
        <v>0</v>
      </c>
      <c r="F56" s="780">
        <v>0</v>
      </c>
      <c r="G56" s="781">
        <v>3.6960000000000002</v>
      </c>
      <c r="H56" s="246">
        <v>0</v>
      </c>
      <c r="I56" s="246">
        <v>3</v>
      </c>
      <c r="J56" s="246">
        <v>0</v>
      </c>
      <c r="K56" s="246">
        <v>0</v>
      </c>
      <c r="L56" s="246">
        <v>0</v>
      </c>
      <c r="M56" s="781">
        <v>3</v>
      </c>
      <c r="N56" s="782">
        <v>-0.18831168831168835</v>
      </c>
      <c r="O56" s="783" t="s">
        <v>1265</v>
      </c>
      <c r="P56" s="759" t="s">
        <v>237</v>
      </c>
    </row>
    <row r="57" spans="1:16" ht="16" x14ac:dyDescent="0.35">
      <c r="A57" s="767" t="s">
        <v>1266</v>
      </c>
      <c r="B57" s="780">
        <v>0</v>
      </c>
      <c r="C57" s="780">
        <v>0</v>
      </c>
      <c r="D57" s="780">
        <v>0</v>
      </c>
      <c r="E57" s="780">
        <v>0</v>
      </c>
      <c r="F57" s="780">
        <v>0</v>
      </c>
      <c r="G57" s="781">
        <v>0</v>
      </c>
      <c r="H57" s="246">
        <v>0</v>
      </c>
      <c r="I57" s="246">
        <v>0</v>
      </c>
      <c r="J57" s="246">
        <v>0</v>
      </c>
      <c r="K57" s="246">
        <v>0</v>
      </c>
      <c r="L57" s="246">
        <v>0</v>
      </c>
      <c r="M57" s="781">
        <v>0</v>
      </c>
      <c r="N57" s="782" t="s">
        <v>50</v>
      </c>
      <c r="O57" s="783" t="s">
        <v>237</v>
      </c>
      <c r="P57" s="759" t="s">
        <v>237</v>
      </c>
    </row>
    <row r="58" spans="1:16" ht="32" x14ac:dyDescent="0.35">
      <c r="A58" s="198" t="s">
        <v>1267</v>
      </c>
      <c r="B58" s="199">
        <v>27.864999999999998</v>
      </c>
      <c r="C58" s="199">
        <v>3.6960000000000002</v>
      </c>
      <c r="D58" s="199">
        <v>24.4</v>
      </c>
      <c r="E58" s="199">
        <v>0</v>
      </c>
      <c r="F58" s="199">
        <v>0</v>
      </c>
      <c r="G58" s="199">
        <v>55.960999999999999</v>
      </c>
      <c r="H58" s="199">
        <v>28.01</v>
      </c>
      <c r="I58" s="199">
        <v>3</v>
      </c>
      <c r="J58" s="199">
        <v>25.245000000000001</v>
      </c>
      <c r="K58" s="199">
        <v>0</v>
      </c>
      <c r="L58" s="199">
        <v>0</v>
      </c>
      <c r="M58" s="199">
        <v>56.255000000000003</v>
      </c>
      <c r="N58" s="603">
        <v>5.2536587980916002E-3</v>
      </c>
      <c r="O58" s="784"/>
      <c r="P58" s="766"/>
    </row>
    <row r="59" spans="1:16" ht="16" x14ac:dyDescent="0.35">
      <c r="A59" s="771"/>
      <c r="B59" s="772"/>
      <c r="C59" s="772"/>
      <c r="D59" s="772"/>
      <c r="E59" s="772"/>
      <c r="F59" s="772"/>
      <c r="G59" s="773"/>
      <c r="H59" s="772"/>
      <c r="I59" s="772"/>
      <c r="J59" s="772"/>
      <c r="K59" s="772"/>
      <c r="L59" s="772"/>
      <c r="M59" s="773"/>
      <c r="N59" s="774"/>
      <c r="O59" s="775"/>
      <c r="P59" s="775"/>
    </row>
    <row r="60" spans="1:16" ht="48" x14ac:dyDescent="0.35">
      <c r="A60" s="184" t="s">
        <v>1268</v>
      </c>
      <c r="B60" s="185"/>
      <c r="C60" s="185"/>
      <c r="D60" s="185"/>
      <c r="E60" s="185"/>
      <c r="F60" s="185"/>
      <c r="G60" s="185"/>
      <c r="H60" s="185"/>
      <c r="I60" s="185"/>
      <c r="J60" s="185"/>
      <c r="K60" s="185"/>
      <c r="L60" s="185"/>
      <c r="M60" s="185"/>
      <c r="N60" s="186"/>
      <c r="O60" s="187"/>
      <c r="P60" s="187"/>
    </row>
    <row r="61" spans="1:16" ht="64" x14ac:dyDescent="0.35">
      <c r="A61" s="188" t="s">
        <v>1269</v>
      </c>
      <c r="B61" s="189">
        <v>0</v>
      </c>
      <c r="C61" s="189">
        <v>0</v>
      </c>
      <c r="D61" s="189">
        <v>0</v>
      </c>
      <c r="E61" s="189">
        <v>0</v>
      </c>
      <c r="F61" s="189">
        <v>0</v>
      </c>
      <c r="G61" s="191">
        <v>0</v>
      </c>
      <c r="H61" s="246">
        <v>0</v>
      </c>
      <c r="I61" s="246">
        <v>0</v>
      </c>
      <c r="J61" s="246">
        <v>0</v>
      </c>
      <c r="K61" s="246">
        <v>0</v>
      </c>
      <c r="L61" s="246">
        <v>0</v>
      </c>
      <c r="M61" s="191">
        <v>0</v>
      </c>
      <c r="N61" s="192" t="s">
        <v>50</v>
      </c>
      <c r="O61" s="770" t="s">
        <v>1270</v>
      </c>
      <c r="P61" s="761" t="s">
        <v>1271</v>
      </c>
    </row>
    <row r="62" spans="1:16" ht="224" x14ac:dyDescent="0.35">
      <c r="A62" s="188" t="s">
        <v>1272</v>
      </c>
      <c r="B62" s="189">
        <v>27.943999999999999</v>
      </c>
      <c r="C62" s="189">
        <v>0</v>
      </c>
      <c r="D62" s="189">
        <v>0</v>
      </c>
      <c r="E62" s="189">
        <v>0</v>
      </c>
      <c r="F62" s="189">
        <v>0</v>
      </c>
      <c r="G62" s="191">
        <v>27.943999999999999</v>
      </c>
      <c r="H62" s="246">
        <v>43.18</v>
      </c>
      <c r="I62" s="246">
        <v>0</v>
      </c>
      <c r="J62" s="246">
        <v>0</v>
      </c>
      <c r="K62" s="246">
        <v>0</v>
      </c>
      <c r="L62" s="246">
        <v>0</v>
      </c>
      <c r="M62" s="191">
        <v>43.18</v>
      </c>
      <c r="N62" s="192">
        <v>0.5452333237904381</v>
      </c>
      <c r="O62" s="770" t="s">
        <v>1273</v>
      </c>
      <c r="P62" s="761" t="s">
        <v>1274</v>
      </c>
    </row>
    <row r="63" spans="1:16" ht="115.5" customHeight="1" x14ac:dyDescent="0.35">
      <c r="A63" s="188" t="s">
        <v>1275</v>
      </c>
      <c r="B63" s="189">
        <v>6.2690000000000001</v>
      </c>
      <c r="C63" s="189">
        <v>0</v>
      </c>
      <c r="D63" s="189">
        <v>0</v>
      </c>
      <c r="E63" s="189">
        <v>0</v>
      </c>
      <c r="F63" s="189">
        <v>0</v>
      </c>
      <c r="G63" s="191">
        <v>6.2690000000000001</v>
      </c>
      <c r="H63" s="246">
        <v>6.2690000000000001</v>
      </c>
      <c r="I63" s="246">
        <v>0</v>
      </c>
      <c r="J63" s="246">
        <v>0</v>
      </c>
      <c r="K63" s="246">
        <v>0</v>
      </c>
      <c r="L63" s="246">
        <v>0</v>
      </c>
      <c r="M63" s="191">
        <v>6.2690000000000001</v>
      </c>
      <c r="N63" s="192">
        <v>0</v>
      </c>
      <c r="O63" s="770" t="s">
        <v>1276</v>
      </c>
      <c r="P63" s="761" t="s">
        <v>74</v>
      </c>
    </row>
    <row r="64" spans="1:16" ht="240" customHeight="1" x14ac:dyDescent="0.35">
      <c r="A64" s="193" t="s">
        <v>1277</v>
      </c>
      <c r="B64" s="194">
        <v>10.221</v>
      </c>
      <c r="C64" s="194">
        <v>0</v>
      </c>
      <c r="D64" s="194">
        <v>32.9</v>
      </c>
      <c r="E64" s="194">
        <v>25</v>
      </c>
      <c r="F64" s="194">
        <v>0</v>
      </c>
      <c r="G64" s="196">
        <v>68.120999999999995</v>
      </c>
      <c r="H64" s="246">
        <v>14.228999999999999</v>
      </c>
      <c r="I64" s="246">
        <v>0</v>
      </c>
      <c r="J64" s="246">
        <v>0</v>
      </c>
      <c r="K64" s="246">
        <v>0</v>
      </c>
      <c r="L64" s="246">
        <v>0</v>
      </c>
      <c r="M64" s="196">
        <v>14.228999999999999</v>
      </c>
      <c r="N64" s="197">
        <v>-0.79112168053904086</v>
      </c>
      <c r="O64" s="785" t="s">
        <v>1278</v>
      </c>
      <c r="P64" s="768" t="s">
        <v>1279</v>
      </c>
    </row>
    <row r="65" spans="1:16" ht="48" x14ac:dyDescent="0.35">
      <c r="A65" s="193" t="s">
        <v>1280</v>
      </c>
      <c r="B65" s="194">
        <v>0</v>
      </c>
      <c r="C65" s="194">
        <v>0</v>
      </c>
      <c r="D65" s="194">
        <v>0</v>
      </c>
      <c r="E65" s="194">
        <v>3.1</v>
      </c>
      <c r="F65" s="194">
        <v>0</v>
      </c>
      <c r="G65" s="196">
        <v>3.1</v>
      </c>
      <c r="H65" s="246">
        <v>0</v>
      </c>
      <c r="I65" s="246">
        <v>0</v>
      </c>
      <c r="J65" s="246">
        <v>0</v>
      </c>
      <c r="K65" s="246">
        <v>6.8250000000000002</v>
      </c>
      <c r="L65" s="246">
        <v>0</v>
      </c>
      <c r="M65" s="196">
        <v>6.8250000000000002</v>
      </c>
      <c r="N65" s="197">
        <v>1.2016129032258065</v>
      </c>
      <c r="O65" s="767" t="s">
        <v>1281</v>
      </c>
      <c r="P65" s="768" t="s">
        <v>1282</v>
      </c>
    </row>
    <row r="66" spans="1:16" ht="32" x14ac:dyDescent="0.35">
      <c r="A66" s="193" t="s">
        <v>1283</v>
      </c>
      <c r="B66" s="194">
        <v>0</v>
      </c>
      <c r="C66" s="194">
        <v>0</v>
      </c>
      <c r="D66" s="194">
        <v>0</v>
      </c>
      <c r="E66" s="194">
        <v>-9.1999999999999993</v>
      </c>
      <c r="F66" s="194">
        <v>0</v>
      </c>
      <c r="G66" s="196">
        <v>-9.1999999999999993</v>
      </c>
      <c r="H66" s="246">
        <v>0</v>
      </c>
      <c r="I66" s="246">
        <v>0</v>
      </c>
      <c r="J66" s="246">
        <v>0</v>
      </c>
      <c r="K66" s="246">
        <v>-14.925000000000001</v>
      </c>
      <c r="L66" s="246">
        <v>0</v>
      </c>
      <c r="M66" s="196">
        <v>-14.925000000000001</v>
      </c>
      <c r="N66" s="197">
        <v>0.62228260869565233</v>
      </c>
      <c r="O66" s="767" t="s">
        <v>1212</v>
      </c>
      <c r="P66" s="768" t="s">
        <v>1284</v>
      </c>
    </row>
    <row r="67" spans="1:16" ht="64" x14ac:dyDescent="0.35">
      <c r="A67" s="198" t="s">
        <v>1285</v>
      </c>
      <c r="B67" s="199">
        <v>44.433999999999997</v>
      </c>
      <c r="C67" s="199">
        <v>0</v>
      </c>
      <c r="D67" s="199">
        <v>32.9</v>
      </c>
      <c r="E67" s="199">
        <v>18.900000000000002</v>
      </c>
      <c r="F67" s="199">
        <v>0</v>
      </c>
      <c r="G67" s="199">
        <v>96.233999999999995</v>
      </c>
      <c r="H67" s="199">
        <v>63.677999999999997</v>
      </c>
      <c r="I67" s="199">
        <v>0</v>
      </c>
      <c r="J67" s="199">
        <v>0</v>
      </c>
      <c r="K67" s="199">
        <v>-8.1000000000000014</v>
      </c>
      <c r="L67" s="199">
        <v>0</v>
      </c>
      <c r="M67" s="199">
        <v>55.578000000000003</v>
      </c>
      <c r="N67" s="200">
        <v>-0.42247022881725788</v>
      </c>
      <c r="O67" s="201"/>
      <c r="P67" s="202"/>
    </row>
    <row r="68" spans="1:16" ht="16" x14ac:dyDescent="0.35">
      <c r="A68" s="229"/>
      <c r="B68" s="230"/>
      <c r="C68" s="230"/>
      <c r="D68" s="230"/>
      <c r="E68" s="230"/>
      <c r="F68" s="230"/>
      <c r="G68" s="230"/>
      <c r="H68" s="230"/>
      <c r="I68" s="230"/>
      <c r="J68" s="230"/>
      <c r="K68" s="230"/>
      <c r="L68" s="230"/>
      <c r="M68" s="230"/>
      <c r="N68" s="231"/>
      <c r="O68" s="205"/>
      <c r="P68" s="205"/>
    </row>
    <row r="69" spans="1:16" ht="16" x14ac:dyDescent="0.35">
      <c r="A69" s="184" t="s">
        <v>1286</v>
      </c>
      <c r="B69" s="240"/>
      <c r="C69" s="240"/>
      <c r="D69" s="240"/>
      <c r="E69" s="240"/>
      <c r="F69" s="240"/>
      <c r="G69" s="240"/>
      <c r="H69" s="240"/>
      <c r="I69" s="240"/>
      <c r="J69" s="240"/>
      <c r="K69" s="240"/>
      <c r="L69" s="240"/>
      <c r="M69" s="240"/>
      <c r="N69" s="597"/>
      <c r="O69" s="751"/>
      <c r="P69" s="751"/>
    </row>
    <row r="70" spans="1:16" ht="80" x14ac:dyDescent="0.35">
      <c r="A70" s="770" t="s">
        <v>1286</v>
      </c>
      <c r="B70" s="246">
        <v>15.81</v>
      </c>
      <c r="C70" s="246">
        <v>5.7000000000000002E-2</v>
      </c>
      <c r="D70" s="246">
        <v>13</v>
      </c>
      <c r="E70" s="246">
        <v>0</v>
      </c>
      <c r="F70" s="246">
        <v>0</v>
      </c>
      <c r="G70" s="778">
        <v>28.867000000000001</v>
      </c>
      <c r="H70" s="246">
        <v>14.39</v>
      </c>
      <c r="I70" s="246">
        <v>0.65</v>
      </c>
      <c r="J70" s="246">
        <v>14.097</v>
      </c>
      <c r="K70" s="246">
        <v>0</v>
      </c>
      <c r="L70" s="246">
        <v>0</v>
      </c>
      <c r="M70" s="778">
        <v>29.137</v>
      </c>
      <c r="N70" s="779">
        <v>9.3532407247029336E-3</v>
      </c>
      <c r="O70" s="243" t="s">
        <v>1287</v>
      </c>
      <c r="P70" s="755" t="s">
        <v>1288</v>
      </c>
    </row>
    <row r="71" spans="1:16" ht="32" x14ac:dyDescent="0.35">
      <c r="A71" s="770" t="s">
        <v>1289</v>
      </c>
      <c r="B71" s="246">
        <v>0</v>
      </c>
      <c r="C71" s="246">
        <v>0</v>
      </c>
      <c r="D71" s="246">
        <v>0</v>
      </c>
      <c r="E71" s="246">
        <v>0</v>
      </c>
      <c r="F71" s="246">
        <v>0</v>
      </c>
      <c r="G71" s="778">
        <v>0</v>
      </c>
      <c r="H71" s="246">
        <v>0</v>
      </c>
      <c r="I71" s="246">
        <v>0</v>
      </c>
      <c r="J71" s="246">
        <v>0</v>
      </c>
      <c r="K71" s="246">
        <v>0</v>
      </c>
      <c r="L71" s="246">
        <v>0</v>
      </c>
      <c r="M71" s="778">
        <v>0</v>
      </c>
      <c r="N71" s="779" t="s">
        <v>50</v>
      </c>
      <c r="O71" s="243" t="s">
        <v>237</v>
      </c>
      <c r="P71" s="755" t="s">
        <v>237</v>
      </c>
    </row>
    <row r="72" spans="1:16" ht="32" x14ac:dyDescent="0.35">
      <c r="A72" s="198" t="s">
        <v>1290</v>
      </c>
      <c r="B72" s="199">
        <v>15.81</v>
      </c>
      <c r="C72" s="199">
        <v>5.7000000000000002E-2</v>
      </c>
      <c r="D72" s="199">
        <v>13</v>
      </c>
      <c r="E72" s="199">
        <v>0</v>
      </c>
      <c r="F72" s="199">
        <v>0</v>
      </c>
      <c r="G72" s="199">
        <v>28.867000000000001</v>
      </c>
      <c r="H72" s="199">
        <v>14.39</v>
      </c>
      <c r="I72" s="199">
        <v>0.65</v>
      </c>
      <c r="J72" s="199">
        <v>14.097</v>
      </c>
      <c r="K72" s="199">
        <v>0</v>
      </c>
      <c r="L72" s="199">
        <v>0</v>
      </c>
      <c r="M72" s="199">
        <v>29.137</v>
      </c>
      <c r="N72" s="603">
        <v>9.3532407247029336E-3</v>
      </c>
      <c r="O72" s="784"/>
      <c r="P72" s="766"/>
    </row>
    <row r="73" spans="1:16" ht="16" x14ac:dyDescent="0.35">
      <c r="A73" s="229"/>
      <c r="B73" s="230"/>
      <c r="C73" s="230"/>
      <c r="D73" s="230"/>
      <c r="E73" s="230"/>
      <c r="F73" s="230"/>
      <c r="G73" s="230"/>
      <c r="H73" s="230"/>
      <c r="I73" s="230"/>
      <c r="J73" s="230"/>
      <c r="K73" s="230"/>
      <c r="L73" s="230"/>
      <c r="M73" s="230"/>
      <c r="N73" s="231"/>
      <c r="O73" s="205"/>
      <c r="P73" s="205"/>
    </row>
    <row r="74" spans="1:16" ht="32" x14ac:dyDescent="0.35">
      <c r="A74" s="216" t="s">
        <v>1291</v>
      </c>
      <c r="B74" s="226">
        <v>229.02700000000002</v>
      </c>
      <c r="C74" s="226">
        <v>18.795999999999999</v>
      </c>
      <c r="D74" s="226">
        <v>153.24100000000001</v>
      </c>
      <c r="E74" s="226">
        <v>18.900000000000002</v>
      </c>
      <c r="F74" s="226">
        <v>0</v>
      </c>
      <c r="G74" s="226">
        <v>419.964</v>
      </c>
      <c r="H74" s="226">
        <v>241.20499999999998</v>
      </c>
      <c r="I74" s="226">
        <v>17.149999999999999</v>
      </c>
      <c r="J74" s="226">
        <v>128.32</v>
      </c>
      <c r="K74" s="226">
        <v>0</v>
      </c>
      <c r="L74" s="226">
        <v>0</v>
      </c>
      <c r="M74" s="226">
        <v>386.67499999999995</v>
      </c>
      <c r="N74" s="221">
        <v>-7.9266318065358082E-2</v>
      </c>
      <c r="O74" s="222"/>
      <c r="P74" s="276"/>
    </row>
    <row r="75" spans="1:16" ht="16" x14ac:dyDescent="0.35">
      <c r="A75" s="229"/>
      <c r="B75" s="230"/>
      <c r="C75" s="230"/>
      <c r="D75" s="230"/>
      <c r="E75" s="230"/>
      <c r="F75" s="230"/>
      <c r="G75" s="230"/>
      <c r="H75" s="230"/>
      <c r="I75" s="230"/>
      <c r="J75" s="230"/>
      <c r="K75" s="230"/>
      <c r="L75" s="230"/>
      <c r="M75" s="230"/>
      <c r="N75" s="231"/>
      <c r="O75" s="205"/>
      <c r="P75" s="205"/>
    </row>
    <row r="76" spans="1:16" ht="16" x14ac:dyDescent="0.35">
      <c r="A76" s="176" t="s">
        <v>1292</v>
      </c>
      <c r="B76" s="177"/>
      <c r="C76" s="177"/>
      <c r="D76" s="177"/>
      <c r="E76" s="177"/>
      <c r="F76" s="177"/>
      <c r="G76" s="177"/>
      <c r="H76" s="177"/>
      <c r="I76" s="177"/>
      <c r="J76" s="177"/>
      <c r="K76" s="177"/>
      <c r="L76" s="177"/>
      <c r="M76" s="177"/>
      <c r="N76" s="268"/>
      <c r="O76" s="179"/>
      <c r="P76" s="179"/>
    </row>
    <row r="77" spans="1:16" ht="16" x14ac:dyDescent="0.35">
      <c r="A77" s="184" t="s">
        <v>1293</v>
      </c>
      <c r="B77" s="240"/>
      <c r="C77" s="240"/>
      <c r="D77" s="240"/>
      <c r="E77" s="240"/>
      <c r="F77" s="240"/>
      <c r="G77" s="240"/>
      <c r="H77" s="240"/>
      <c r="I77" s="240"/>
      <c r="J77" s="240"/>
      <c r="K77" s="240"/>
      <c r="L77" s="240"/>
      <c r="M77" s="240"/>
      <c r="N77" s="597"/>
      <c r="O77" s="751"/>
      <c r="P77" s="751"/>
    </row>
    <row r="78" spans="1:16" ht="112" x14ac:dyDescent="0.35">
      <c r="A78" s="193" t="s">
        <v>1294</v>
      </c>
      <c r="B78" s="194">
        <v>3.6120000000000001</v>
      </c>
      <c r="C78" s="194">
        <v>0</v>
      </c>
      <c r="D78" s="194">
        <v>0</v>
      </c>
      <c r="E78" s="194">
        <v>0</v>
      </c>
      <c r="F78" s="194">
        <v>0</v>
      </c>
      <c r="G78" s="196">
        <v>3.6120000000000001</v>
      </c>
      <c r="H78" s="246">
        <v>4.407</v>
      </c>
      <c r="I78" s="246">
        <v>0</v>
      </c>
      <c r="J78" s="246">
        <v>0</v>
      </c>
      <c r="K78" s="246">
        <v>0</v>
      </c>
      <c r="L78" s="246">
        <v>0</v>
      </c>
      <c r="M78" s="196">
        <v>4.407</v>
      </c>
      <c r="N78" s="197">
        <v>0.22009966777408635</v>
      </c>
      <c r="O78" s="243" t="s">
        <v>1295</v>
      </c>
      <c r="P78" s="755" t="s">
        <v>1296</v>
      </c>
    </row>
    <row r="79" spans="1:16" ht="16" x14ac:dyDescent="0.35">
      <c r="A79" s="198" t="s">
        <v>1297</v>
      </c>
      <c r="B79" s="199">
        <v>3.6120000000000001</v>
      </c>
      <c r="C79" s="199">
        <v>0</v>
      </c>
      <c r="D79" s="199">
        <v>0</v>
      </c>
      <c r="E79" s="199">
        <v>0</v>
      </c>
      <c r="F79" s="199">
        <v>0</v>
      </c>
      <c r="G79" s="199">
        <v>3.6120000000000001</v>
      </c>
      <c r="H79" s="199">
        <v>4.407</v>
      </c>
      <c r="I79" s="199">
        <v>0</v>
      </c>
      <c r="J79" s="199">
        <v>0</v>
      </c>
      <c r="K79" s="199">
        <v>0</v>
      </c>
      <c r="L79" s="199">
        <v>0</v>
      </c>
      <c r="M79" s="199">
        <v>4.407</v>
      </c>
      <c r="N79" s="603">
        <v>0.22009966777408635</v>
      </c>
      <c r="O79" s="201"/>
      <c r="P79" s="202"/>
    </row>
    <row r="80" spans="1:16" ht="16" x14ac:dyDescent="0.35">
      <c r="A80" s="229"/>
      <c r="B80" s="230"/>
      <c r="C80" s="230"/>
      <c r="D80" s="230"/>
      <c r="E80" s="230"/>
      <c r="F80" s="230"/>
      <c r="G80" s="230"/>
      <c r="H80" s="230"/>
      <c r="I80" s="230"/>
      <c r="J80" s="230"/>
      <c r="K80" s="230"/>
      <c r="L80" s="230"/>
      <c r="M80" s="230"/>
      <c r="N80" s="231"/>
      <c r="O80" s="205"/>
      <c r="P80" s="205"/>
    </row>
    <row r="81" spans="1:16" ht="16" x14ac:dyDescent="0.35">
      <c r="A81" s="184" t="s">
        <v>1298</v>
      </c>
      <c r="B81" s="240"/>
      <c r="C81" s="240"/>
      <c r="D81" s="240"/>
      <c r="E81" s="240"/>
      <c r="F81" s="240"/>
      <c r="G81" s="240"/>
      <c r="H81" s="240"/>
      <c r="I81" s="240"/>
      <c r="J81" s="240"/>
      <c r="K81" s="240"/>
      <c r="L81" s="240"/>
      <c r="M81" s="240"/>
      <c r="N81" s="597"/>
      <c r="O81" s="751"/>
      <c r="P81" s="751"/>
    </row>
    <row r="82" spans="1:16" ht="128" x14ac:dyDescent="0.35">
      <c r="A82" s="188" t="s">
        <v>1298</v>
      </c>
      <c r="B82" s="194">
        <v>3.0249999999999999</v>
      </c>
      <c r="C82" s="194">
        <v>0</v>
      </c>
      <c r="D82" s="194">
        <v>0</v>
      </c>
      <c r="E82" s="194">
        <v>0</v>
      </c>
      <c r="F82" s="194">
        <v>0</v>
      </c>
      <c r="G82" s="196">
        <v>3.0249999999999999</v>
      </c>
      <c r="H82" s="246">
        <v>3.0249999999999999</v>
      </c>
      <c r="I82" s="246">
        <v>0</v>
      </c>
      <c r="J82" s="246">
        <v>0</v>
      </c>
      <c r="K82" s="246">
        <v>0</v>
      </c>
      <c r="L82" s="246">
        <v>0</v>
      </c>
      <c r="M82" s="196">
        <v>3.0249999999999999</v>
      </c>
      <c r="N82" s="197">
        <v>0</v>
      </c>
      <c r="O82" s="767" t="s">
        <v>1299</v>
      </c>
      <c r="P82" s="768" t="s">
        <v>1300</v>
      </c>
    </row>
    <row r="83" spans="1:16" ht="32" x14ac:dyDescent="0.35">
      <c r="A83" s="184" t="s">
        <v>1301</v>
      </c>
      <c r="B83" s="199">
        <v>3.0249999999999999</v>
      </c>
      <c r="C83" s="199">
        <v>0</v>
      </c>
      <c r="D83" s="199">
        <v>0</v>
      </c>
      <c r="E83" s="199">
        <v>0</v>
      </c>
      <c r="F83" s="199">
        <v>0</v>
      </c>
      <c r="G83" s="199">
        <v>3.0249999999999999</v>
      </c>
      <c r="H83" s="199">
        <v>3.0249999999999999</v>
      </c>
      <c r="I83" s="199">
        <v>0</v>
      </c>
      <c r="J83" s="199">
        <v>0</v>
      </c>
      <c r="K83" s="199">
        <v>0</v>
      </c>
      <c r="L83" s="199">
        <v>0</v>
      </c>
      <c r="M83" s="199">
        <v>3.0249999999999999</v>
      </c>
      <c r="N83" s="603">
        <v>0</v>
      </c>
      <c r="O83" s="201"/>
      <c r="P83" s="202"/>
    </row>
    <row r="84" spans="1:16" ht="16" x14ac:dyDescent="0.35">
      <c r="A84" s="188"/>
      <c r="B84" s="189"/>
      <c r="C84" s="189"/>
      <c r="D84" s="189"/>
      <c r="E84" s="189"/>
      <c r="F84" s="189"/>
      <c r="G84" s="191"/>
      <c r="H84" s="246"/>
      <c r="I84" s="246"/>
      <c r="J84" s="246"/>
      <c r="K84" s="246"/>
      <c r="L84" s="246"/>
      <c r="M84" s="191"/>
      <c r="N84" s="192"/>
      <c r="O84" s="770"/>
      <c r="P84" s="761"/>
    </row>
    <row r="85" spans="1:16" ht="32" x14ac:dyDescent="0.35">
      <c r="A85" s="184" t="s">
        <v>1302</v>
      </c>
      <c r="B85" s="240"/>
      <c r="C85" s="240"/>
      <c r="D85" s="240"/>
      <c r="E85" s="240"/>
      <c r="F85" s="240"/>
      <c r="G85" s="240"/>
      <c r="H85" s="240"/>
      <c r="I85" s="240"/>
      <c r="J85" s="240"/>
      <c r="K85" s="240"/>
      <c r="L85" s="240"/>
      <c r="M85" s="240"/>
      <c r="N85" s="597"/>
      <c r="O85" s="751"/>
      <c r="P85" s="751"/>
    </row>
    <row r="86" spans="1:16" ht="240" x14ac:dyDescent="0.35">
      <c r="A86" s="188" t="s">
        <v>1302</v>
      </c>
      <c r="B86" s="189">
        <v>6.2080000000000002</v>
      </c>
      <c r="C86" s="189">
        <v>0</v>
      </c>
      <c r="D86" s="189">
        <v>0</v>
      </c>
      <c r="E86" s="189">
        <v>0</v>
      </c>
      <c r="F86" s="189">
        <v>0</v>
      </c>
      <c r="G86" s="191">
        <v>6.2080000000000002</v>
      </c>
      <c r="H86" s="246">
        <v>6.7729999999999997</v>
      </c>
      <c r="I86" s="246">
        <v>0</v>
      </c>
      <c r="J86" s="246">
        <v>0</v>
      </c>
      <c r="K86" s="246">
        <v>0</v>
      </c>
      <c r="L86" s="246">
        <v>0</v>
      </c>
      <c r="M86" s="191">
        <v>6.7729999999999997</v>
      </c>
      <c r="N86" s="192">
        <v>9.1011597938144242E-2</v>
      </c>
      <c r="O86" s="770" t="s">
        <v>1303</v>
      </c>
      <c r="P86" s="761" t="s">
        <v>1304</v>
      </c>
    </row>
    <row r="87" spans="1:16" ht="32" x14ac:dyDescent="0.35">
      <c r="A87" s="184" t="s">
        <v>1305</v>
      </c>
      <c r="B87" s="199">
        <v>6.2080000000000002</v>
      </c>
      <c r="C87" s="199">
        <v>0</v>
      </c>
      <c r="D87" s="199">
        <v>0</v>
      </c>
      <c r="E87" s="199">
        <v>0</v>
      </c>
      <c r="F87" s="199">
        <v>0</v>
      </c>
      <c r="G87" s="199">
        <v>6.2080000000000002</v>
      </c>
      <c r="H87" s="199">
        <v>6.7729999999999997</v>
      </c>
      <c r="I87" s="199">
        <v>0</v>
      </c>
      <c r="J87" s="199">
        <v>0</v>
      </c>
      <c r="K87" s="199">
        <v>0</v>
      </c>
      <c r="L87" s="199">
        <v>0</v>
      </c>
      <c r="M87" s="199">
        <v>6.7729999999999997</v>
      </c>
      <c r="N87" s="603">
        <v>9.1011597938144242E-2</v>
      </c>
      <c r="O87" s="201"/>
      <c r="P87" s="202"/>
    </row>
    <row r="88" spans="1:16" ht="16" x14ac:dyDescent="0.35">
      <c r="A88" s="229"/>
      <c r="B88" s="230"/>
      <c r="C88" s="230"/>
      <c r="D88" s="230"/>
      <c r="E88" s="230"/>
      <c r="F88" s="230"/>
      <c r="G88" s="230"/>
      <c r="H88" s="230"/>
      <c r="I88" s="230"/>
      <c r="J88" s="230"/>
      <c r="K88" s="230"/>
      <c r="L88" s="230"/>
      <c r="M88" s="230"/>
      <c r="N88" s="231"/>
      <c r="O88" s="205"/>
      <c r="P88" s="205"/>
    </row>
    <row r="89" spans="1:16" ht="32" x14ac:dyDescent="0.35">
      <c r="A89" s="216" t="s">
        <v>1306</v>
      </c>
      <c r="B89" s="226">
        <v>12.845000000000001</v>
      </c>
      <c r="C89" s="226">
        <v>0</v>
      </c>
      <c r="D89" s="226">
        <v>0</v>
      </c>
      <c r="E89" s="226">
        <v>0</v>
      </c>
      <c r="F89" s="226">
        <v>0</v>
      </c>
      <c r="G89" s="226">
        <v>12.845000000000001</v>
      </c>
      <c r="H89" s="226">
        <v>14.205</v>
      </c>
      <c r="I89" s="226">
        <v>0</v>
      </c>
      <c r="J89" s="226">
        <v>0</v>
      </c>
      <c r="K89" s="226">
        <v>0</v>
      </c>
      <c r="L89" s="226">
        <v>0</v>
      </c>
      <c r="M89" s="226">
        <v>14.205</v>
      </c>
      <c r="N89" s="221">
        <v>0.10587777345270528</v>
      </c>
      <c r="O89" s="222"/>
      <c r="P89" s="218"/>
    </row>
    <row r="90" spans="1:16" ht="16" x14ac:dyDescent="0.35">
      <c r="A90" s="229"/>
      <c r="B90" s="230"/>
      <c r="C90" s="230"/>
      <c r="D90" s="230"/>
      <c r="E90" s="230"/>
      <c r="F90" s="230"/>
      <c r="G90" s="230"/>
      <c r="H90" s="230"/>
      <c r="I90" s="230"/>
      <c r="J90" s="230"/>
      <c r="K90" s="230"/>
      <c r="L90" s="230"/>
      <c r="M90" s="230"/>
      <c r="N90" s="231"/>
      <c r="O90" s="205"/>
      <c r="P90" s="205"/>
    </row>
    <row r="91" spans="1:16" ht="32" x14ac:dyDescent="0.35">
      <c r="A91" s="176" t="s">
        <v>1307</v>
      </c>
      <c r="B91" s="177"/>
      <c r="C91" s="177"/>
      <c r="D91" s="177"/>
      <c r="E91" s="177"/>
      <c r="F91" s="177"/>
      <c r="G91" s="177"/>
      <c r="H91" s="177"/>
      <c r="I91" s="177"/>
      <c r="J91" s="177"/>
      <c r="K91" s="177"/>
      <c r="L91" s="177"/>
      <c r="M91" s="177"/>
      <c r="N91" s="178"/>
      <c r="O91" s="223"/>
      <c r="P91" s="223"/>
    </row>
    <row r="92" spans="1:16" ht="64" x14ac:dyDescent="0.35">
      <c r="A92" s="786" t="s">
        <v>1307</v>
      </c>
      <c r="B92" s="189">
        <v>2.8</v>
      </c>
      <c r="C92" s="189">
        <v>0.31</v>
      </c>
      <c r="D92" s="189">
        <v>0</v>
      </c>
      <c r="E92" s="189">
        <v>0</v>
      </c>
      <c r="F92" s="189">
        <v>0</v>
      </c>
      <c r="G92" s="191">
        <v>3.11</v>
      </c>
      <c r="H92" s="246">
        <v>0</v>
      </c>
      <c r="I92" s="246">
        <v>0.39400000000000002</v>
      </c>
      <c r="J92" s="246">
        <v>32.6</v>
      </c>
      <c r="K92" s="246">
        <v>0</v>
      </c>
      <c r="L92" s="246">
        <v>0</v>
      </c>
      <c r="M92" s="191">
        <v>32.994</v>
      </c>
      <c r="N92" s="192">
        <v>9.6090032154340843</v>
      </c>
      <c r="O92" s="786" t="s">
        <v>1308</v>
      </c>
      <c r="P92" s="787" t="s">
        <v>1309</v>
      </c>
    </row>
    <row r="93" spans="1:16" ht="48" x14ac:dyDescent="0.35">
      <c r="A93" s="786" t="s">
        <v>1310</v>
      </c>
      <c r="B93" s="194">
        <v>0</v>
      </c>
      <c r="C93" s="194">
        <v>0</v>
      </c>
      <c r="D93" s="194">
        <v>0</v>
      </c>
      <c r="E93" s="194">
        <v>180.9</v>
      </c>
      <c r="F93" s="194">
        <v>0</v>
      </c>
      <c r="G93" s="196">
        <v>180.9</v>
      </c>
      <c r="H93" s="246">
        <v>0</v>
      </c>
      <c r="I93" s="246">
        <v>0</v>
      </c>
      <c r="J93" s="246">
        <v>0</v>
      </c>
      <c r="K93" s="246">
        <v>175.1</v>
      </c>
      <c r="L93" s="246">
        <v>0</v>
      </c>
      <c r="M93" s="196">
        <v>175.1</v>
      </c>
      <c r="N93" s="197">
        <v>-3.2061912658927647E-2</v>
      </c>
      <c r="O93" s="788" t="s">
        <v>1308</v>
      </c>
      <c r="P93" s="769" t="s">
        <v>1311</v>
      </c>
    </row>
    <row r="94" spans="1:16" ht="32" x14ac:dyDescent="0.35">
      <c r="A94" s="193" t="s">
        <v>1312</v>
      </c>
      <c r="B94" s="194">
        <v>0</v>
      </c>
      <c r="C94" s="194">
        <v>0</v>
      </c>
      <c r="D94" s="194">
        <v>0</v>
      </c>
      <c r="E94" s="194">
        <v>-6.9</v>
      </c>
      <c r="F94" s="194">
        <v>0</v>
      </c>
      <c r="G94" s="196">
        <v>-6.9</v>
      </c>
      <c r="H94" s="246">
        <v>0</v>
      </c>
      <c r="I94" s="246">
        <v>0</v>
      </c>
      <c r="J94" s="246">
        <v>0</v>
      </c>
      <c r="K94" s="246">
        <v>-7.7</v>
      </c>
      <c r="L94" s="246">
        <v>0</v>
      </c>
      <c r="M94" s="196">
        <v>-7.7</v>
      </c>
      <c r="N94" s="197">
        <v>0.11594202898550722</v>
      </c>
      <c r="O94" s="767" t="s">
        <v>1313</v>
      </c>
      <c r="P94" s="768" t="s">
        <v>1314</v>
      </c>
    </row>
    <row r="95" spans="1:16" ht="32" x14ac:dyDescent="0.35">
      <c r="A95" s="216" t="s">
        <v>1315</v>
      </c>
      <c r="B95" s="226">
        <v>2.8</v>
      </c>
      <c r="C95" s="226">
        <v>0.31</v>
      </c>
      <c r="D95" s="226">
        <v>0</v>
      </c>
      <c r="E95" s="226">
        <v>174</v>
      </c>
      <c r="F95" s="226">
        <v>0</v>
      </c>
      <c r="G95" s="226">
        <v>177.11</v>
      </c>
      <c r="H95" s="226">
        <v>0</v>
      </c>
      <c r="I95" s="226">
        <v>0.39400000000000002</v>
      </c>
      <c r="J95" s="226">
        <v>32.6</v>
      </c>
      <c r="K95" s="226">
        <v>167.4</v>
      </c>
      <c r="L95" s="226">
        <v>0</v>
      </c>
      <c r="M95" s="226">
        <v>200.39400000000001</v>
      </c>
      <c r="N95" s="221">
        <v>0.13146632036587425</v>
      </c>
      <c r="O95" s="227"/>
      <c r="P95" s="228"/>
    </row>
    <row r="96" spans="1:16" ht="16" x14ac:dyDescent="0.35">
      <c r="A96" s="209"/>
      <c r="B96" s="210"/>
      <c r="C96" s="210"/>
      <c r="D96" s="210"/>
      <c r="E96" s="210"/>
      <c r="F96" s="210"/>
      <c r="G96" s="210"/>
      <c r="H96" s="210"/>
      <c r="I96" s="210"/>
      <c r="J96" s="210"/>
      <c r="K96" s="210"/>
      <c r="L96" s="210"/>
      <c r="M96" s="210"/>
      <c r="N96" s="211"/>
      <c r="O96" s="212"/>
      <c r="P96" s="212"/>
    </row>
    <row r="97" spans="1:17" customFormat="1" ht="16" x14ac:dyDescent="0.35">
      <c r="A97" s="142" t="s">
        <v>1316</v>
      </c>
      <c r="B97" s="143"/>
      <c r="C97" s="143"/>
      <c r="D97" s="143"/>
      <c r="E97" s="143"/>
      <c r="F97" s="143"/>
      <c r="G97" s="143"/>
      <c r="H97" s="143"/>
      <c r="I97" s="143"/>
      <c r="J97" s="143"/>
      <c r="K97" s="143"/>
      <c r="L97" s="143"/>
      <c r="M97" s="143"/>
      <c r="N97" s="143"/>
      <c r="O97" s="144"/>
      <c r="P97" s="144"/>
      <c r="Q97" s="126"/>
    </row>
    <row r="98" spans="1:17" customFormat="1" ht="64.25" customHeight="1" x14ac:dyDescent="0.35">
      <c r="A98" s="145" t="s">
        <v>1317</v>
      </c>
      <c r="B98" s="146">
        <v>3.33</v>
      </c>
      <c r="C98" s="146">
        <v>0</v>
      </c>
      <c r="D98" s="146">
        <v>0</v>
      </c>
      <c r="E98" s="146">
        <v>0</v>
      </c>
      <c r="F98" s="146">
        <v>0</v>
      </c>
      <c r="G98" s="147">
        <v>3.33</v>
      </c>
      <c r="H98" s="246">
        <v>7.7450000000000001</v>
      </c>
      <c r="I98" s="246">
        <v>0</v>
      </c>
      <c r="J98" s="246">
        <v>0</v>
      </c>
      <c r="K98" s="246">
        <v>0</v>
      </c>
      <c r="L98" s="246">
        <v>0</v>
      </c>
      <c r="M98" s="147">
        <v>7.7450000000000001</v>
      </c>
      <c r="N98" s="148">
        <v>1.3258258258258258</v>
      </c>
      <c r="O98" s="145" t="s">
        <v>1318</v>
      </c>
      <c r="P98" s="149" t="s">
        <v>1319</v>
      </c>
      <c r="Q98" s="126"/>
    </row>
    <row r="99" spans="1:17" customFormat="1" ht="77.900000000000006" customHeight="1" x14ac:dyDescent="0.35">
      <c r="A99" s="344" t="s">
        <v>1320</v>
      </c>
      <c r="B99" s="299">
        <v>4.66</v>
      </c>
      <c r="C99" s="345">
        <v>0</v>
      </c>
      <c r="D99" s="345">
        <v>0</v>
      </c>
      <c r="E99" s="345">
        <v>0</v>
      </c>
      <c r="F99" s="345">
        <v>0</v>
      </c>
      <c r="G99" s="320">
        <v>4.66</v>
      </c>
      <c r="H99" s="246">
        <v>4.6479999999999997</v>
      </c>
      <c r="I99" s="246">
        <v>0</v>
      </c>
      <c r="J99" s="246">
        <v>0</v>
      </c>
      <c r="K99" s="246">
        <v>0</v>
      </c>
      <c r="L99" s="246">
        <v>0</v>
      </c>
      <c r="M99" s="320">
        <v>4.6479999999999997</v>
      </c>
      <c r="N99" s="148">
        <v>-2.5751072961374367E-3</v>
      </c>
      <c r="O99" s="145" t="s">
        <v>1321</v>
      </c>
      <c r="P99" s="149" t="s">
        <v>1322</v>
      </c>
      <c r="Q99" s="126"/>
    </row>
    <row r="100" spans="1:17" customFormat="1" ht="112" x14ac:dyDescent="0.35">
      <c r="A100" s="266" t="s">
        <v>1323</v>
      </c>
      <c r="B100" s="789">
        <v>0.76500000000000001</v>
      </c>
      <c r="C100" s="299">
        <v>0</v>
      </c>
      <c r="D100" s="299">
        <v>0</v>
      </c>
      <c r="E100" s="299">
        <v>0</v>
      </c>
      <c r="F100" s="789">
        <v>0</v>
      </c>
      <c r="G100" s="790">
        <v>0.76500000000000001</v>
      </c>
      <c r="H100" s="246">
        <v>0.95</v>
      </c>
      <c r="I100" s="246">
        <v>0</v>
      </c>
      <c r="J100" s="246">
        <v>0</v>
      </c>
      <c r="K100" s="246">
        <v>0</v>
      </c>
      <c r="L100" s="246">
        <v>0</v>
      </c>
      <c r="M100" s="790">
        <v>0.95</v>
      </c>
      <c r="N100" s="148">
        <v>0.24183006535947704</v>
      </c>
      <c r="O100" s="145" t="s">
        <v>1324</v>
      </c>
      <c r="P100" s="149" t="s">
        <v>237</v>
      </c>
      <c r="Q100" s="126"/>
    </row>
    <row r="101" spans="1:17" customFormat="1" ht="32" x14ac:dyDescent="0.35">
      <c r="A101" s="145" t="s">
        <v>1325</v>
      </c>
      <c r="B101" s="146">
        <v>28.489000000000001</v>
      </c>
      <c r="C101" s="146">
        <v>0.67200000000000004</v>
      </c>
      <c r="D101" s="146">
        <v>0</v>
      </c>
      <c r="E101" s="146">
        <v>0</v>
      </c>
      <c r="F101" s="146">
        <v>0</v>
      </c>
      <c r="G101" s="147">
        <v>29.161000000000001</v>
      </c>
      <c r="H101" s="246">
        <v>26.669</v>
      </c>
      <c r="I101" s="246">
        <v>0</v>
      </c>
      <c r="J101" s="246">
        <v>0</v>
      </c>
      <c r="K101" s="246">
        <v>0</v>
      </c>
      <c r="L101" s="246">
        <v>0</v>
      </c>
      <c r="M101" s="147">
        <v>26.669</v>
      </c>
      <c r="N101" s="148">
        <v>-8.5456602997153755E-2</v>
      </c>
      <c r="O101" s="145" t="s">
        <v>1326</v>
      </c>
      <c r="P101" s="149" t="s">
        <v>1327</v>
      </c>
      <c r="Q101" s="126"/>
    </row>
    <row r="102" spans="1:17" customFormat="1" ht="16" x14ac:dyDescent="0.35">
      <c r="A102" s="150" t="s">
        <v>1328</v>
      </c>
      <c r="B102" s="151">
        <v>37.244</v>
      </c>
      <c r="C102" s="151">
        <v>0.67200000000000004</v>
      </c>
      <c r="D102" s="151">
        <v>0</v>
      </c>
      <c r="E102" s="151">
        <v>0</v>
      </c>
      <c r="F102" s="151">
        <v>0</v>
      </c>
      <c r="G102" s="151">
        <v>37.916000000000004</v>
      </c>
      <c r="H102" s="151">
        <v>40.012</v>
      </c>
      <c r="I102" s="151">
        <v>0</v>
      </c>
      <c r="J102" s="151">
        <v>0</v>
      </c>
      <c r="K102" s="151">
        <v>0</v>
      </c>
      <c r="L102" s="151">
        <v>0</v>
      </c>
      <c r="M102" s="151">
        <v>40.012</v>
      </c>
      <c r="N102" s="152">
        <v>5.528009283679703E-2</v>
      </c>
      <c r="O102" s="151"/>
      <c r="P102" s="153"/>
      <c r="Q102" s="126"/>
    </row>
    <row r="103" spans="1:17" ht="16.5" thickBot="1" x14ac:dyDescent="0.4">
      <c r="A103" s="209"/>
      <c r="B103" s="210"/>
      <c r="C103" s="210"/>
      <c r="D103" s="210"/>
      <c r="E103" s="210"/>
      <c r="F103" s="210"/>
      <c r="G103" s="210"/>
      <c r="H103" s="210"/>
      <c r="I103" s="210"/>
      <c r="J103" s="210"/>
      <c r="K103" s="210"/>
      <c r="L103" s="210"/>
      <c r="M103" s="210"/>
      <c r="N103" s="211"/>
      <c r="O103" s="212"/>
      <c r="P103" s="212"/>
    </row>
    <row r="104" spans="1:17" customFormat="1" ht="32" x14ac:dyDescent="0.35">
      <c r="A104" s="791" t="s">
        <v>1329</v>
      </c>
      <c r="B104" s="792"/>
      <c r="C104" s="792"/>
      <c r="D104" s="792"/>
      <c r="E104" s="792"/>
      <c r="F104" s="792"/>
      <c r="G104" s="792"/>
      <c r="H104" s="792"/>
      <c r="I104" s="792"/>
      <c r="J104" s="792"/>
      <c r="K104" s="792"/>
      <c r="L104" s="792"/>
      <c r="M104" s="792"/>
      <c r="N104" s="792"/>
      <c r="O104" s="792"/>
      <c r="P104" s="792"/>
      <c r="Q104" s="126"/>
    </row>
    <row r="105" spans="1:17" customFormat="1" ht="48" x14ac:dyDescent="0.35">
      <c r="A105" s="266" t="s">
        <v>1330</v>
      </c>
      <c r="B105" s="789">
        <v>0.75</v>
      </c>
      <c r="C105" s="299">
        <v>0</v>
      </c>
      <c r="D105" s="299">
        <v>0</v>
      </c>
      <c r="E105" s="299">
        <v>0</v>
      </c>
      <c r="F105" s="789">
        <v>0</v>
      </c>
      <c r="G105" s="790">
        <v>0.75</v>
      </c>
      <c r="H105" s="246">
        <v>0.75</v>
      </c>
      <c r="I105" s="246">
        <v>0</v>
      </c>
      <c r="J105" s="246">
        <v>0</v>
      </c>
      <c r="K105" s="246">
        <v>0</v>
      </c>
      <c r="L105" s="246">
        <v>0</v>
      </c>
      <c r="M105" s="790">
        <v>0.75</v>
      </c>
      <c r="N105" s="148">
        <v>0</v>
      </c>
      <c r="O105" s="145" t="s">
        <v>1331</v>
      </c>
      <c r="P105" s="149" t="s">
        <v>1332</v>
      </c>
      <c r="Q105" s="126"/>
    </row>
    <row r="106" spans="1:17" customFormat="1" ht="48" x14ac:dyDescent="0.35">
      <c r="A106" s="266" t="s">
        <v>1333</v>
      </c>
      <c r="B106" s="789">
        <v>0.41499999999999998</v>
      </c>
      <c r="C106" s="299">
        <v>0</v>
      </c>
      <c r="D106" s="299">
        <v>0</v>
      </c>
      <c r="E106" s="299">
        <v>0</v>
      </c>
      <c r="F106" s="789">
        <v>0</v>
      </c>
      <c r="G106" s="790">
        <v>0.41499999999999998</v>
      </c>
      <c r="H106" s="246">
        <v>0.39400000000000002</v>
      </c>
      <c r="I106" s="246">
        <v>0</v>
      </c>
      <c r="J106" s="246">
        <v>0</v>
      </c>
      <c r="K106" s="246">
        <v>0</v>
      </c>
      <c r="L106" s="246">
        <v>0</v>
      </c>
      <c r="M106" s="790">
        <v>0.39400000000000002</v>
      </c>
      <c r="N106" s="148">
        <v>-5.0602409638554127E-2</v>
      </c>
      <c r="O106" s="145" t="s">
        <v>1335</v>
      </c>
      <c r="P106" s="149" t="s">
        <v>50</v>
      </c>
      <c r="Q106" s="126"/>
    </row>
    <row r="107" spans="1:17" customFormat="1" ht="32" x14ac:dyDescent="0.35">
      <c r="A107" s="266" t="s">
        <v>1336</v>
      </c>
      <c r="B107" s="789">
        <v>0.13</v>
      </c>
      <c r="C107" s="299">
        <v>0</v>
      </c>
      <c r="D107" s="299">
        <v>0</v>
      </c>
      <c r="E107" s="299">
        <v>0</v>
      </c>
      <c r="F107" s="789">
        <v>0</v>
      </c>
      <c r="G107" s="790">
        <v>0.13</v>
      </c>
      <c r="H107" s="246">
        <v>0.13</v>
      </c>
      <c r="I107" s="246">
        <v>0</v>
      </c>
      <c r="J107" s="246">
        <v>0</v>
      </c>
      <c r="K107" s="246">
        <v>0</v>
      </c>
      <c r="L107" s="246">
        <v>0</v>
      </c>
      <c r="M107" s="790">
        <v>0.13</v>
      </c>
      <c r="N107" s="148">
        <v>0</v>
      </c>
      <c r="O107" s="793" t="s">
        <v>1337</v>
      </c>
      <c r="P107" s="794" t="s">
        <v>50</v>
      </c>
      <c r="Q107" s="126"/>
    </row>
    <row r="108" spans="1:17" customFormat="1" ht="80" x14ac:dyDescent="0.35">
      <c r="A108" s="795" t="s">
        <v>1338</v>
      </c>
      <c r="B108" s="789">
        <v>8.298</v>
      </c>
      <c r="C108" s="299">
        <v>0</v>
      </c>
      <c r="D108" s="299">
        <v>0</v>
      </c>
      <c r="E108" s="299">
        <v>0</v>
      </c>
      <c r="F108" s="789">
        <v>0</v>
      </c>
      <c r="G108" s="790">
        <v>8.298</v>
      </c>
      <c r="H108" s="246">
        <v>5.92</v>
      </c>
      <c r="I108" s="246">
        <v>0</v>
      </c>
      <c r="J108" s="246">
        <v>0</v>
      </c>
      <c r="K108" s="246">
        <v>0</v>
      </c>
      <c r="L108" s="246">
        <v>0</v>
      </c>
      <c r="M108" s="790">
        <v>5.92</v>
      </c>
      <c r="N108" s="148">
        <v>-0.28657507833212825</v>
      </c>
      <c r="O108" s="793" t="s">
        <v>1339</v>
      </c>
      <c r="P108" s="794" t="s">
        <v>1340</v>
      </c>
      <c r="Q108" s="126"/>
    </row>
    <row r="109" spans="1:17" customFormat="1" ht="32" x14ac:dyDescent="0.35">
      <c r="A109" s="796" t="s">
        <v>1341</v>
      </c>
      <c r="B109" s="797">
        <v>9.593</v>
      </c>
      <c r="C109" s="797">
        <v>0</v>
      </c>
      <c r="D109" s="797">
        <v>0</v>
      </c>
      <c r="E109" s="797">
        <v>0</v>
      </c>
      <c r="F109" s="797">
        <v>0</v>
      </c>
      <c r="G109" s="797">
        <v>9.593</v>
      </c>
      <c r="H109" s="797">
        <v>7.194</v>
      </c>
      <c r="I109" s="797">
        <v>0</v>
      </c>
      <c r="J109" s="797">
        <v>0</v>
      </c>
      <c r="K109" s="797">
        <v>0</v>
      </c>
      <c r="L109" s="797">
        <v>0</v>
      </c>
      <c r="M109" s="797">
        <v>7.194</v>
      </c>
      <c r="N109" s="152">
        <v>-0.25007818200771398</v>
      </c>
      <c r="O109" s="284"/>
      <c r="P109" s="285"/>
      <c r="Q109" s="126"/>
    </row>
    <row r="110" spans="1:17" customFormat="1" ht="16" x14ac:dyDescent="0.35">
      <c r="A110" s="798"/>
      <c r="B110" s="799"/>
      <c r="C110" s="799"/>
      <c r="D110" s="799"/>
      <c r="E110" s="799"/>
      <c r="F110" s="799"/>
      <c r="G110" s="799"/>
      <c r="H110" s="799"/>
      <c r="I110" s="799"/>
      <c r="J110" s="799"/>
      <c r="K110" s="799"/>
      <c r="L110" s="799"/>
      <c r="M110" s="799"/>
      <c r="N110" s="800"/>
      <c r="O110" s="284"/>
      <c r="P110" s="285"/>
      <c r="Q110" s="236"/>
    </row>
    <row r="111" spans="1:17" customFormat="1" ht="16" x14ac:dyDescent="0.35">
      <c r="A111" s="142" t="s">
        <v>1342</v>
      </c>
      <c r="B111" s="143"/>
      <c r="C111" s="143"/>
      <c r="D111" s="143"/>
      <c r="E111" s="143"/>
      <c r="F111" s="143"/>
      <c r="G111" s="143"/>
      <c r="H111" s="143"/>
      <c r="I111" s="143"/>
      <c r="J111" s="143"/>
      <c r="K111" s="143"/>
      <c r="L111" s="143"/>
      <c r="M111" s="143"/>
      <c r="N111" s="143"/>
      <c r="O111" s="144"/>
      <c r="P111" s="144"/>
      <c r="Q111" s="126"/>
    </row>
    <row r="112" spans="1:17" customFormat="1" ht="112" x14ac:dyDescent="0.35">
      <c r="A112" s="145" t="s">
        <v>1343</v>
      </c>
      <c r="B112" s="146">
        <v>14.942</v>
      </c>
      <c r="C112" s="146">
        <v>0</v>
      </c>
      <c r="D112" s="146">
        <v>45.8</v>
      </c>
      <c r="E112" s="146">
        <v>0</v>
      </c>
      <c r="F112" s="146">
        <v>0</v>
      </c>
      <c r="G112" s="147">
        <v>60.741999999999997</v>
      </c>
      <c r="H112" s="246">
        <v>12.15</v>
      </c>
      <c r="I112" s="246">
        <v>0</v>
      </c>
      <c r="J112" s="246">
        <v>50</v>
      </c>
      <c r="K112" s="246">
        <v>0</v>
      </c>
      <c r="L112" s="246">
        <v>0</v>
      </c>
      <c r="M112" s="147">
        <v>62.15</v>
      </c>
      <c r="N112" s="148">
        <v>2.3180007243752285E-2</v>
      </c>
      <c r="O112" s="145" t="s">
        <v>1344</v>
      </c>
      <c r="P112" s="149" t="s">
        <v>1345</v>
      </c>
      <c r="Q112" s="126"/>
    </row>
    <row r="113" spans="1:17" customFormat="1" ht="77.900000000000006" customHeight="1" x14ac:dyDescent="0.35">
      <c r="A113" s="344" t="s">
        <v>1346</v>
      </c>
      <c r="B113" s="299">
        <v>0</v>
      </c>
      <c r="C113" s="345">
        <v>0</v>
      </c>
      <c r="D113" s="345">
        <v>0</v>
      </c>
      <c r="E113" s="345">
        <v>0</v>
      </c>
      <c r="F113" s="345">
        <v>0</v>
      </c>
      <c r="G113" s="320">
        <v>0</v>
      </c>
      <c r="H113" s="246">
        <v>0</v>
      </c>
      <c r="I113" s="246">
        <v>0</v>
      </c>
      <c r="J113" s="246">
        <v>0</v>
      </c>
      <c r="K113" s="246">
        <v>0</v>
      </c>
      <c r="L113" s="246">
        <v>0</v>
      </c>
      <c r="M113" s="320">
        <v>0</v>
      </c>
      <c r="N113" s="148" t="s">
        <v>50</v>
      </c>
      <c r="O113" s="145" t="s">
        <v>237</v>
      </c>
      <c r="P113" s="149" t="s">
        <v>237</v>
      </c>
      <c r="Q113" s="126"/>
    </row>
    <row r="114" spans="1:17" customFormat="1" ht="16" x14ac:dyDescent="0.35">
      <c r="A114" s="145" t="s">
        <v>1347</v>
      </c>
      <c r="B114" s="146">
        <v>0</v>
      </c>
      <c r="C114" s="146">
        <v>0</v>
      </c>
      <c r="D114" s="146">
        <v>0</v>
      </c>
      <c r="E114" s="146">
        <v>0</v>
      </c>
      <c r="F114" s="146">
        <v>0</v>
      </c>
      <c r="G114" s="147">
        <v>0</v>
      </c>
      <c r="H114" s="246">
        <v>0</v>
      </c>
      <c r="I114" s="246">
        <v>0</v>
      </c>
      <c r="J114" s="246">
        <v>0</v>
      </c>
      <c r="K114" s="246">
        <v>0</v>
      </c>
      <c r="L114" s="246">
        <v>0</v>
      </c>
      <c r="M114" s="147">
        <v>0</v>
      </c>
      <c r="N114" s="148" t="s">
        <v>50</v>
      </c>
      <c r="O114" s="145" t="s">
        <v>237</v>
      </c>
      <c r="P114" s="149" t="s">
        <v>237</v>
      </c>
      <c r="Q114" s="126"/>
    </row>
    <row r="115" spans="1:17" customFormat="1" ht="16" x14ac:dyDescent="0.35">
      <c r="A115" s="150" t="s">
        <v>295</v>
      </c>
      <c r="B115" s="151">
        <v>14.942</v>
      </c>
      <c r="C115" s="151">
        <v>0</v>
      </c>
      <c r="D115" s="151">
        <v>45.8</v>
      </c>
      <c r="E115" s="151">
        <v>0</v>
      </c>
      <c r="F115" s="151">
        <v>0</v>
      </c>
      <c r="G115" s="151">
        <v>60.741999999999997</v>
      </c>
      <c r="H115" s="151">
        <v>12.15</v>
      </c>
      <c r="I115" s="151">
        <v>0</v>
      </c>
      <c r="J115" s="151">
        <v>50</v>
      </c>
      <c r="K115" s="151">
        <v>0</v>
      </c>
      <c r="L115" s="151">
        <v>0</v>
      </c>
      <c r="M115" s="151">
        <v>62.15</v>
      </c>
      <c r="N115" s="152">
        <v>2.3180007243752285E-2</v>
      </c>
      <c r="O115" s="151"/>
      <c r="P115" s="153"/>
      <c r="Q115" s="126"/>
    </row>
    <row r="116" spans="1:17" ht="16" x14ac:dyDescent="0.35">
      <c r="A116" s="209"/>
      <c r="B116" s="210"/>
      <c r="C116" s="210"/>
      <c r="D116" s="210"/>
      <c r="E116" s="210"/>
      <c r="F116" s="210"/>
      <c r="G116" s="210"/>
      <c r="H116" s="210"/>
      <c r="I116" s="210"/>
      <c r="J116" s="210"/>
      <c r="K116" s="210"/>
      <c r="L116" s="210"/>
      <c r="M116" s="210"/>
      <c r="N116" s="211"/>
      <c r="O116" s="212"/>
      <c r="P116" s="212"/>
    </row>
    <row r="117" spans="1:17" ht="16" x14ac:dyDescent="0.35">
      <c r="A117" s="263" t="s">
        <v>1348</v>
      </c>
      <c r="B117" s="801"/>
      <c r="C117" s="801"/>
      <c r="D117" s="801"/>
      <c r="E117" s="801"/>
      <c r="F117" s="801"/>
      <c r="G117" s="801"/>
      <c r="H117" s="801"/>
      <c r="I117" s="801"/>
      <c r="J117" s="801"/>
      <c r="K117" s="801"/>
      <c r="L117" s="801"/>
      <c r="M117" s="801"/>
      <c r="N117" s="265"/>
      <c r="O117" s="802"/>
      <c r="P117" s="802"/>
    </row>
    <row r="118" spans="1:17" ht="16" x14ac:dyDescent="0.35">
      <c r="A118" s="154"/>
      <c r="B118" s="155"/>
      <c r="C118" s="155"/>
      <c r="D118" s="155"/>
      <c r="E118" s="155"/>
      <c r="F118" s="155"/>
      <c r="G118" s="155"/>
      <c r="H118" s="155"/>
      <c r="I118" s="155"/>
      <c r="J118" s="155"/>
      <c r="K118" s="155"/>
      <c r="L118" s="155"/>
      <c r="M118" s="155"/>
      <c r="N118" s="156"/>
      <c r="O118" s="157"/>
      <c r="P118" s="157"/>
    </row>
    <row r="119" spans="1:17" ht="16" x14ac:dyDescent="0.35">
      <c r="A119" s="239" t="s">
        <v>1348</v>
      </c>
      <c r="B119" s="240"/>
      <c r="C119" s="240"/>
      <c r="D119" s="240"/>
      <c r="E119" s="240"/>
      <c r="F119" s="240"/>
      <c r="G119" s="240"/>
      <c r="H119" s="240"/>
      <c r="I119" s="240"/>
      <c r="J119" s="240"/>
      <c r="K119" s="240"/>
      <c r="L119" s="240"/>
      <c r="M119" s="240"/>
      <c r="N119" s="241"/>
      <c r="O119" s="242"/>
      <c r="P119" s="242"/>
    </row>
    <row r="120" spans="1:17" ht="112" x14ac:dyDescent="0.35">
      <c r="A120" s="193" t="s">
        <v>1348</v>
      </c>
      <c r="B120" s="204">
        <v>12.7</v>
      </c>
      <c r="C120" s="204">
        <v>0</v>
      </c>
      <c r="D120" s="204">
        <v>185</v>
      </c>
      <c r="E120" s="204">
        <v>0</v>
      </c>
      <c r="F120" s="204">
        <v>0</v>
      </c>
      <c r="G120" s="195">
        <v>197.7</v>
      </c>
      <c r="H120" s="246">
        <v>12.2</v>
      </c>
      <c r="I120" s="246">
        <v>0</v>
      </c>
      <c r="J120" s="246">
        <v>202.75</v>
      </c>
      <c r="K120" s="246">
        <v>0</v>
      </c>
      <c r="L120" s="246">
        <v>0</v>
      </c>
      <c r="M120" s="195">
        <v>214.95</v>
      </c>
      <c r="N120" s="757">
        <v>8.7253414264036419E-2</v>
      </c>
      <c r="O120" s="758" t="s">
        <v>1349</v>
      </c>
      <c r="P120" s="759" t="s">
        <v>1350</v>
      </c>
    </row>
    <row r="121" spans="1:17" ht="32" collapsed="1" x14ac:dyDescent="0.35">
      <c r="A121" s="247" t="s">
        <v>1351</v>
      </c>
      <c r="B121" s="248">
        <v>12.7</v>
      </c>
      <c r="C121" s="248">
        <v>0</v>
      </c>
      <c r="D121" s="248">
        <v>185</v>
      </c>
      <c r="E121" s="248">
        <v>0</v>
      </c>
      <c r="F121" s="248">
        <v>0</v>
      </c>
      <c r="G121" s="248">
        <v>197.7</v>
      </c>
      <c r="H121" s="248">
        <v>12.2</v>
      </c>
      <c r="I121" s="248">
        <v>0</v>
      </c>
      <c r="J121" s="248">
        <v>202.75</v>
      </c>
      <c r="K121" s="248">
        <v>0</v>
      </c>
      <c r="L121" s="248">
        <v>0</v>
      </c>
      <c r="M121" s="248">
        <v>214.95</v>
      </c>
      <c r="N121" s="757">
        <v>8.7253414264036419E-2</v>
      </c>
      <c r="O121" s="250"/>
      <c r="P121" s="251"/>
    </row>
    <row r="122" spans="1:17" ht="16" x14ac:dyDescent="0.35">
      <c r="A122" s="154"/>
      <c r="B122" s="155"/>
      <c r="C122" s="155"/>
      <c r="D122" s="155"/>
      <c r="E122" s="155"/>
      <c r="F122" s="155"/>
      <c r="G122" s="155"/>
      <c r="H122" s="155"/>
      <c r="I122" s="155"/>
      <c r="J122" s="155"/>
      <c r="K122" s="155"/>
      <c r="L122" s="155"/>
      <c r="M122" s="155"/>
      <c r="N122" s="156"/>
      <c r="O122" s="157"/>
      <c r="P122" s="157"/>
    </row>
    <row r="123" spans="1:17" ht="16" x14ac:dyDescent="0.35">
      <c r="A123" s="239" t="s">
        <v>1352</v>
      </c>
      <c r="B123" s="240"/>
      <c r="C123" s="240"/>
      <c r="D123" s="240"/>
      <c r="E123" s="240"/>
      <c r="F123" s="240"/>
      <c r="G123" s="240"/>
      <c r="H123" s="240"/>
      <c r="I123" s="240"/>
      <c r="J123" s="240"/>
      <c r="K123" s="240"/>
      <c r="L123" s="240"/>
      <c r="M123" s="240"/>
      <c r="N123" s="241"/>
      <c r="O123" s="242"/>
      <c r="P123" s="242"/>
    </row>
    <row r="124" spans="1:17" ht="48" x14ac:dyDescent="0.35">
      <c r="A124" s="188" t="s">
        <v>1352</v>
      </c>
      <c r="B124" s="189">
        <v>8.5150000000000006</v>
      </c>
      <c r="C124" s="189">
        <v>0</v>
      </c>
      <c r="D124" s="189">
        <v>0</v>
      </c>
      <c r="E124" s="189">
        <v>0</v>
      </c>
      <c r="F124" s="189">
        <v>0</v>
      </c>
      <c r="G124" s="191">
        <v>8.5150000000000006</v>
      </c>
      <c r="H124" s="246">
        <v>9.0150000000000006</v>
      </c>
      <c r="I124" s="246">
        <v>0</v>
      </c>
      <c r="J124" s="246">
        <v>0</v>
      </c>
      <c r="K124" s="246">
        <v>0</v>
      </c>
      <c r="L124" s="246">
        <v>0</v>
      </c>
      <c r="M124" s="191">
        <v>9.0150000000000006</v>
      </c>
      <c r="N124" s="192">
        <v>5.8719906048150319E-2</v>
      </c>
      <c r="O124" s="803" t="s">
        <v>1353</v>
      </c>
      <c r="P124" s="804" t="s">
        <v>1354</v>
      </c>
    </row>
    <row r="125" spans="1:17" ht="16" collapsed="1" x14ac:dyDescent="0.35">
      <c r="A125" s="247" t="s">
        <v>1355</v>
      </c>
      <c r="B125" s="248">
        <v>8.5150000000000006</v>
      </c>
      <c r="C125" s="248">
        <v>0</v>
      </c>
      <c r="D125" s="248">
        <v>0</v>
      </c>
      <c r="E125" s="248">
        <v>0</v>
      </c>
      <c r="F125" s="248">
        <v>0</v>
      </c>
      <c r="G125" s="248">
        <v>8.5150000000000006</v>
      </c>
      <c r="H125" s="248">
        <v>9.0150000000000006</v>
      </c>
      <c r="I125" s="248">
        <v>0</v>
      </c>
      <c r="J125" s="248">
        <v>0</v>
      </c>
      <c r="K125" s="248">
        <v>0</v>
      </c>
      <c r="L125" s="248">
        <v>0</v>
      </c>
      <c r="M125" s="248">
        <v>9.0150000000000006</v>
      </c>
      <c r="N125" s="249">
        <v>5.8719906048150319E-2</v>
      </c>
      <c r="O125" s="250"/>
      <c r="P125" s="251"/>
    </row>
    <row r="127" spans="1:17" ht="32" x14ac:dyDescent="0.35">
      <c r="A127" s="805" t="s">
        <v>1351</v>
      </c>
      <c r="B127" s="806">
        <v>21.215</v>
      </c>
      <c r="C127" s="806">
        <v>0</v>
      </c>
      <c r="D127" s="806">
        <v>185</v>
      </c>
      <c r="E127" s="806">
        <v>0</v>
      </c>
      <c r="F127" s="806">
        <v>0</v>
      </c>
      <c r="G127" s="806">
        <v>206.21499999999997</v>
      </c>
      <c r="H127" s="806">
        <v>21.215</v>
      </c>
      <c r="I127" s="806">
        <v>0</v>
      </c>
      <c r="J127" s="806">
        <v>202.75</v>
      </c>
      <c r="K127" s="806">
        <v>0</v>
      </c>
      <c r="L127" s="806">
        <v>0</v>
      </c>
      <c r="M127" s="806">
        <v>223.96499999999997</v>
      </c>
      <c r="N127" s="807">
        <v>8.607521276337804E-2</v>
      </c>
      <c r="O127" s="808"/>
      <c r="P127" s="809"/>
    </row>
    <row r="128" spans="1:17" ht="16" x14ac:dyDescent="0.35">
      <c r="A128" s="810"/>
      <c r="B128" s="811"/>
      <c r="C128" s="811"/>
      <c r="D128" s="811"/>
      <c r="E128" s="811"/>
      <c r="F128" s="811"/>
      <c r="G128" s="811"/>
      <c r="H128" s="811"/>
      <c r="I128" s="811"/>
      <c r="J128" s="811"/>
      <c r="K128" s="811"/>
      <c r="L128" s="811"/>
      <c r="M128" s="811"/>
      <c r="N128" s="722"/>
      <c r="O128" s="812"/>
      <c r="P128" s="813"/>
    </row>
    <row r="129" spans="1:17" ht="16" x14ac:dyDescent="0.35">
      <c r="A129" s="263" t="s">
        <v>1356</v>
      </c>
      <c r="B129" s="801"/>
      <c r="C129" s="801"/>
      <c r="D129" s="801"/>
      <c r="E129" s="801"/>
      <c r="F129" s="801"/>
      <c r="G129" s="801"/>
      <c r="H129" s="801"/>
      <c r="I129" s="801"/>
      <c r="J129" s="801"/>
      <c r="K129" s="801"/>
      <c r="L129" s="801"/>
      <c r="M129" s="801"/>
      <c r="N129" s="265"/>
      <c r="O129" s="802"/>
      <c r="P129" s="802"/>
    </row>
    <row r="130" spans="1:17" ht="48" x14ac:dyDescent="0.35">
      <c r="A130" s="188" t="s">
        <v>1356</v>
      </c>
      <c r="B130" s="203">
        <v>1.86</v>
      </c>
      <c r="C130" s="203">
        <v>0.624</v>
      </c>
      <c r="D130" s="203">
        <v>60.2</v>
      </c>
      <c r="E130" s="203">
        <v>0</v>
      </c>
      <c r="F130" s="203">
        <v>0</v>
      </c>
      <c r="G130" s="190">
        <v>62.684000000000005</v>
      </c>
      <c r="H130" s="246">
        <v>1.86</v>
      </c>
      <c r="I130" s="246">
        <v>0</v>
      </c>
      <c r="J130" s="246">
        <v>46</v>
      </c>
      <c r="K130" s="246">
        <v>0</v>
      </c>
      <c r="L130" s="246">
        <v>0</v>
      </c>
      <c r="M130" s="190">
        <v>47.86</v>
      </c>
      <c r="N130" s="814">
        <v>-0.23648777997575146</v>
      </c>
      <c r="O130" s="754" t="s">
        <v>1357</v>
      </c>
      <c r="P130" s="755" t="s">
        <v>1358</v>
      </c>
    </row>
    <row r="131" spans="1:17" ht="16" x14ac:dyDescent="0.35">
      <c r="A131" s="805" t="s">
        <v>1359</v>
      </c>
      <c r="B131" s="806">
        <v>1.86</v>
      </c>
      <c r="C131" s="806">
        <v>0.624</v>
      </c>
      <c r="D131" s="806">
        <v>60.2</v>
      </c>
      <c r="E131" s="806">
        <v>0</v>
      </c>
      <c r="F131" s="806">
        <v>0</v>
      </c>
      <c r="G131" s="806">
        <v>62.684000000000005</v>
      </c>
      <c r="H131" s="806">
        <v>1.86</v>
      </c>
      <c r="I131" s="806">
        <v>0</v>
      </c>
      <c r="J131" s="806">
        <v>46</v>
      </c>
      <c r="K131" s="806">
        <v>0</v>
      </c>
      <c r="L131" s="806">
        <v>0</v>
      </c>
      <c r="M131" s="806">
        <v>47.86</v>
      </c>
      <c r="N131" s="807">
        <v>-0.23648777997575146</v>
      </c>
      <c r="O131" s="808"/>
      <c r="P131" s="809"/>
    </row>
    <row r="132" spans="1:17" ht="16" x14ac:dyDescent="0.35">
      <c r="A132" s="253"/>
      <c r="B132"/>
      <c r="C132"/>
      <c r="D132"/>
      <c r="E132"/>
      <c r="F132"/>
      <c r="G132"/>
      <c r="H132"/>
      <c r="I132"/>
      <c r="J132"/>
      <c r="K132"/>
      <c r="L132"/>
      <c r="M132"/>
      <c r="N132"/>
      <c r="O132" s="256"/>
      <c r="P132" s="256"/>
    </row>
    <row r="133" spans="1:17" ht="16" x14ac:dyDescent="0.35">
      <c r="A133" s="176" t="s">
        <v>1360</v>
      </c>
      <c r="B133" s="815"/>
      <c r="C133" s="815"/>
      <c r="D133" s="815"/>
      <c r="E133" s="815"/>
      <c r="F133" s="815"/>
      <c r="G133" s="815"/>
      <c r="H133" s="815"/>
      <c r="I133" s="815"/>
      <c r="J133" s="815"/>
      <c r="K133" s="815"/>
      <c r="L133" s="815"/>
      <c r="M133" s="815"/>
      <c r="N133" s="816"/>
      <c r="O133" s="817"/>
      <c r="P133" s="817"/>
    </row>
    <row r="134" spans="1:17" ht="16" x14ac:dyDescent="0.35">
      <c r="A134" s="257" t="s">
        <v>1361</v>
      </c>
      <c r="B134" s="776"/>
      <c r="C134" s="776"/>
      <c r="D134" s="776"/>
      <c r="E134" s="776"/>
      <c r="F134" s="776"/>
      <c r="G134" s="776"/>
      <c r="H134" s="776"/>
      <c r="I134" s="776"/>
      <c r="J134" s="776"/>
      <c r="K134" s="776"/>
      <c r="L134" s="776"/>
      <c r="M134" s="776"/>
      <c r="N134" s="241"/>
      <c r="O134" s="777"/>
      <c r="P134" s="777"/>
    </row>
    <row r="135" spans="1:17" ht="64" x14ac:dyDescent="0.35">
      <c r="A135" s="193" t="s">
        <v>1362</v>
      </c>
      <c r="B135" s="194">
        <v>42.354999999999997</v>
      </c>
      <c r="C135" s="194">
        <v>0</v>
      </c>
      <c r="D135" s="194">
        <v>0</v>
      </c>
      <c r="E135" s="194">
        <v>0</v>
      </c>
      <c r="F135" s="194">
        <v>4.2000000000000003E-2</v>
      </c>
      <c r="G135" s="818">
        <v>42.396999999999998</v>
      </c>
      <c r="H135" s="246">
        <v>38.805</v>
      </c>
      <c r="I135" s="246">
        <v>0</v>
      </c>
      <c r="J135" s="246">
        <v>0</v>
      </c>
      <c r="K135" s="246">
        <v>0</v>
      </c>
      <c r="L135" s="246">
        <v>0</v>
      </c>
      <c r="M135" s="818">
        <v>38.805</v>
      </c>
      <c r="N135" s="819">
        <v>-8.4722975682241644E-2</v>
      </c>
      <c r="O135" s="820" t="s">
        <v>1363</v>
      </c>
      <c r="P135" s="821" t="s">
        <v>1364</v>
      </c>
    </row>
    <row r="136" spans="1:17" ht="48" x14ac:dyDescent="0.35">
      <c r="A136" s="193" t="s">
        <v>1365</v>
      </c>
      <c r="B136" s="194">
        <v>0</v>
      </c>
      <c r="C136" s="194">
        <v>0</v>
      </c>
      <c r="D136" s="194">
        <v>2.6</v>
      </c>
      <c r="E136" s="194">
        <v>0</v>
      </c>
      <c r="F136" s="194">
        <v>0</v>
      </c>
      <c r="G136" s="818">
        <v>2.6</v>
      </c>
      <c r="H136" s="246">
        <v>0</v>
      </c>
      <c r="I136" s="246">
        <v>0</v>
      </c>
      <c r="J136" s="246">
        <v>2.2999999999999998</v>
      </c>
      <c r="K136" s="246">
        <v>0</v>
      </c>
      <c r="L136" s="246">
        <v>0</v>
      </c>
      <c r="M136" s="818">
        <v>2.2999999999999998</v>
      </c>
      <c r="N136" s="819">
        <v>-0.11538461538461549</v>
      </c>
      <c r="O136" s="820" t="s">
        <v>1366</v>
      </c>
      <c r="P136" s="822" t="s">
        <v>1367</v>
      </c>
    </row>
    <row r="137" spans="1:17" ht="16" x14ac:dyDescent="0.35">
      <c r="A137" s="193" t="s">
        <v>1368</v>
      </c>
      <c r="B137" s="194">
        <v>0</v>
      </c>
      <c r="C137" s="194">
        <v>3.25</v>
      </c>
      <c r="D137" s="194">
        <v>0</v>
      </c>
      <c r="E137" s="194">
        <v>0</v>
      </c>
      <c r="F137" s="194">
        <v>0</v>
      </c>
      <c r="G137" s="818">
        <v>3.25</v>
      </c>
      <c r="H137" s="246">
        <v>0</v>
      </c>
      <c r="I137" s="246">
        <v>3.07</v>
      </c>
      <c r="J137" s="246">
        <v>0</v>
      </c>
      <c r="K137" s="246">
        <v>0</v>
      </c>
      <c r="L137" s="246">
        <v>0</v>
      </c>
      <c r="M137" s="818">
        <v>3.07</v>
      </c>
      <c r="N137" s="819">
        <v>-5.5384615384615435E-2</v>
      </c>
      <c r="O137" s="823" t="s">
        <v>1369</v>
      </c>
      <c r="P137" s="824" t="s">
        <v>1370</v>
      </c>
    </row>
    <row r="138" spans="1:17" ht="128" x14ac:dyDescent="0.35">
      <c r="A138" s="193" t="s">
        <v>1371</v>
      </c>
      <c r="B138" s="194">
        <v>0</v>
      </c>
      <c r="C138" s="194">
        <v>0</v>
      </c>
      <c r="D138" s="194">
        <v>2.6</v>
      </c>
      <c r="E138" s="194">
        <v>0</v>
      </c>
      <c r="F138" s="194">
        <v>0</v>
      </c>
      <c r="G138" s="818">
        <v>2.6</v>
      </c>
      <c r="H138" s="246">
        <v>2</v>
      </c>
      <c r="I138" s="246">
        <v>0</v>
      </c>
      <c r="J138" s="246">
        <v>6</v>
      </c>
      <c r="K138" s="246">
        <v>0</v>
      </c>
      <c r="L138" s="246">
        <v>0</v>
      </c>
      <c r="M138" s="818">
        <v>8</v>
      </c>
      <c r="N138" s="819">
        <v>2.0769230769230771</v>
      </c>
      <c r="O138" s="823" t="s">
        <v>1372</v>
      </c>
      <c r="P138" s="825" t="s">
        <v>1373</v>
      </c>
    </row>
    <row r="139" spans="1:17" ht="16" x14ac:dyDescent="0.35">
      <c r="A139" s="252" t="s">
        <v>1374</v>
      </c>
      <c r="B139" s="248">
        <v>42.354999999999997</v>
      </c>
      <c r="C139" s="248">
        <v>3.25</v>
      </c>
      <c r="D139" s="248">
        <v>5.2</v>
      </c>
      <c r="E139" s="248">
        <v>0</v>
      </c>
      <c r="F139" s="248">
        <v>4.2000000000000003E-2</v>
      </c>
      <c r="G139" s="248">
        <v>50.847000000000001</v>
      </c>
      <c r="H139" s="248">
        <v>40.805</v>
      </c>
      <c r="I139" s="248">
        <v>3.07</v>
      </c>
      <c r="J139" s="248">
        <v>8.3000000000000007</v>
      </c>
      <c r="K139" s="248">
        <v>0</v>
      </c>
      <c r="L139" s="248">
        <v>0</v>
      </c>
      <c r="M139" s="248">
        <v>52.174999999999997</v>
      </c>
      <c r="N139" s="249">
        <v>2.6117568391448773E-2</v>
      </c>
      <c r="O139" s="826"/>
      <c r="P139" s="827"/>
    </row>
    <row r="140" spans="1:17" ht="16" x14ac:dyDescent="0.35">
      <c r="A140" s="828"/>
      <c r="B140" s="829"/>
      <c r="C140" s="829"/>
      <c r="D140" s="829"/>
      <c r="E140" s="829"/>
      <c r="F140" s="829"/>
      <c r="G140" s="829"/>
      <c r="H140" s="829"/>
      <c r="I140" s="829"/>
      <c r="J140" s="829"/>
      <c r="K140" s="829"/>
      <c r="L140" s="829"/>
      <c r="M140" s="829"/>
      <c r="N140" s="830"/>
      <c r="O140" s="831"/>
      <c r="P140" s="831"/>
      <c r="Q140" s="832"/>
    </row>
    <row r="141" spans="1:17" ht="16" x14ac:dyDescent="0.35">
      <c r="A141" s="257" t="s">
        <v>1375</v>
      </c>
      <c r="B141" s="776"/>
      <c r="C141" s="776"/>
      <c r="D141" s="776"/>
      <c r="E141" s="776"/>
      <c r="F141" s="776"/>
      <c r="G141" s="776"/>
      <c r="H141" s="776"/>
      <c r="I141" s="776"/>
      <c r="J141" s="776"/>
      <c r="K141" s="776"/>
      <c r="L141" s="776"/>
      <c r="M141" s="776"/>
      <c r="N141" s="241"/>
      <c r="O141" s="777"/>
      <c r="P141" s="777"/>
    </row>
    <row r="142" spans="1:17" ht="192" x14ac:dyDescent="0.35">
      <c r="A142" s="193" t="s">
        <v>1375</v>
      </c>
      <c r="B142" s="194">
        <v>0.88300000000000001</v>
      </c>
      <c r="C142" s="194">
        <v>0</v>
      </c>
      <c r="D142" s="194">
        <v>0</v>
      </c>
      <c r="E142" s="194">
        <v>0</v>
      </c>
      <c r="F142" s="194">
        <v>0</v>
      </c>
      <c r="G142" s="818">
        <v>0.88300000000000001</v>
      </c>
      <c r="H142" s="246">
        <v>6.3540000000000001</v>
      </c>
      <c r="I142" s="246">
        <v>0</v>
      </c>
      <c r="J142" s="246">
        <v>0</v>
      </c>
      <c r="K142" s="246">
        <v>0</v>
      </c>
      <c r="L142" s="246">
        <v>0</v>
      </c>
      <c r="M142" s="818">
        <v>6.3540000000000001</v>
      </c>
      <c r="N142" s="819">
        <v>6.1959229898074746</v>
      </c>
      <c r="O142" s="820" t="s">
        <v>1376</v>
      </c>
      <c r="P142" s="821" t="s">
        <v>1377</v>
      </c>
    </row>
    <row r="143" spans="1:17" ht="16" x14ac:dyDescent="0.35">
      <c r="A143" s="252" t="s">
        <v>1378</v>
      </c>
      <c r="B143" s="248">
        <v>0.88300000000000001</v>
      </c>
      <c r="C143" s="248">
        <v>0</v>
      </c>
      <c r="D143" s="248">
        <v>0</v>
      </c>
      <c r="E143" s="248">
        <v>0</v>
      </c>
      <c r="F143" s="248">
        <v>0</v>
      </c>
      <c r="G143" s="248">
        <v>0.88300000000000001</v>
      </c>
      <c r="H143" s="248">
        <v>6.3540000000000001</v>
      </c>
      <c r="I143" s="248">
        <v>0</v>
      </c>
      <c r="J143" s="248">
        <v>0</v>
      </c>
      <c r="K143" s="248">
        <v>0</v>
      </c>
      <c r="L143" s="248">
        <v>0</v>
      </c>
      <c r="M143" s="248">
        <v>6.3540000000000001</v>
      </c>
      <c r="N143" s="249">
        <v>6.1959229898074746</v>
      </c>
      <c r="O143" s="826"/>
      <c r="P143" s="827"/>
    </row>
    <row r="144" spans="1:17" ht="16" x14ac:dyDescent="0.35">
      <c r="A144" s="828"/>
      <c r="B144" s="829"/>
      <c r="C144" s="829"/>
      <c r="D144" s="829"/>
      <c r="E144" s="829"/>
      <c r="F144" s="829"/>
      <c r="G144" s="829"/>
      <c r="H144" s="829"/>
      <c r="I144" s="829"/>
      <c r="J144" s="829"/>
      <c r="K144" s="829"/>
      <c r="L144" s="829"/>
      <c r="M144" s="829"/>
      <c r="N144" s="830"/>
      <c r="O144" s="831"/>
      <c r="P144" s="831"/>
      <c r="Q144" s="832"/>
    </row>
    <row r="145" spans="1:17" ht="32" x14ac:dyDescent="0.35">
      <c r="A145" s="833" t="s">
        <v>1379</v>
      </c>
      <c r="B145" s="834">
        <v>43.238</v>
      </c>
      <c r="C145" s="834">
        <v>3.25</v>
      </c>
      <c r="D145" s="834">
        <v>5.2</v>
      </c>
      <c r="E145" s="834">
        <v>0</v>
      </c>
      <c r="F145" s="834">
        <v>4.2000000000000003E-2</v>
      </c>
      <c r="G145" s="834">
        <v>51.730000000000004</v>
      </c>
      <c r="H145" s="834">
        <v>47.158999999999999</v>
      </c>
      <c r="I145" s="834">
        <v>3.07</v>
      </c>
      <c r="J145" s="834">
        <v>8.3000000000000007</v>
      </c>
      <c r="K145" s="834">
        <v>0</v>
      </c>
      <c r="L145" s="834">
        <v>0</v>
      </c>
      <c r="M145" s="834">
        <v>58.528999999999996</v>
      </c>
      <c r="N145" s="835">
        <v>0.13143243765706539</v>
      </c>
      <c r="O145" s="836"/>
      <c r="P145" s="836"/>
    </row>
    <row r="146" spans="1:17" customFormat="1" x14ac:dyDescent="0.35">
      <c r="A146" s="1"/>
      <c r="Q146" s="126"/>
    </row>
    <row r="147" spans="1:17" ht="16" x14ac:dyDescent="0.35">
      <c r="A147" s="269"/>
      <c r="B147" s="837"/>
      <c r="C147" s="837"/>
      <c r="D147" s="837"/>
      <c r="E147" s="837"/>
      <c r="F147" s="837"/>
      <c r="G147" s="837"/>
      <c r="H147" s="837"/>
      <c r="I147" s="837"/>
      <c r="J147" s="837"/>
      <c r="K147" s="837"/>
      <c r="L147" s="837"/>
      <c r="M147" s="837"/>
      <c r="N147" s="838"/>
      <c r="O147" s="839"/>
      <c r="P147" s="839"/>
      <c r="Q147" s="832"/>
    </row>
    <row r="148" spans="1:17" customFormat="1" ht="16" x14ac:dyDescent="0.35">
      <c r="A148" s="840" t="s">
        <v>1380</v>
      </c>
      <c r="B148" s="143"/>
      <c r="C148" s="143"/>
      <c r="D148" s="143"/>
      <c r="E148" s="143"/>
      <c r="F148" s="143"/>
      <c r="G148" s="143"/>
      <c r="H148" s="143"/>
      <c r="I148" s="143"/>
      <c r="J148" s="143"/>
      <c r="K148" s="143"/>
      <c r="L148" s="143"/>
      <c r="M148" s="143"/>
      <c r="N148" s="673"/>
      <c r="O148" s="674"/>
      <c r="P148" s="674"/>
      <c r="Q148" s="126"/>
    </row>
    <row r="149" spans="1:17" ht="16" x14ac:dyDescent="0.35">
      <c r="A149" s="184" t="s">
        <v>1380</v>
      </c>
      <c r="B149" s="185"/>
      <c r="C149" s="185"/>
      <c r="D149" s="185"/>
      <c r="E149" s="185"/>
      <c r="F149" s="185"/>
      <c r="G149" s="185"/>
      <c r="H149" s="185"/>
      <c r="I149" s="185"/>
      <c r="J149" s="185"/>
      <c r="K149" s="185"/>
      <c r="L149" s="185"/>
      <c r="M149" s="185"/>
      <c r="N149" s="186"/>
      <c r="O149" s="187"/>
      <c r="P149" s="187"/>
    </row>
    <row r="150" spans="1:17" ht="96" x14ac:dyDescent="0.35">
      <c r="A150" s="188" t="s">
        <v>1381</v>
      </c>
      <c r="B150" s="189">
        <v>5.3250000000000002</v>
      </c>
      <c r="C150" s="189">
        <v>0</v>
      </c>
      <c r="D150" s="189">
        <v>0</v>
      </c>
      <c r="E150" s="189">
        <v>0</v>
      </c>
      <c r="F150" s="189">
        <v>0</v>
      </c>
      <c r="G150" s="191">
        <v>5.3250000000000002</v>
      </c>
      <c r="H150" s="246">
        <v>5.6349999999999998</v>
      </c>
      <c r="I150" s="246">
        <v>0</v>
      </c>
      <c r="J150" s="246">
        <v>0</v>
      </c>
      <c r="K150" s="246">
        <v>0</v>
      </c>
      <c r="L150" s="246">
        <v>0</v>
      </c>
      <c r="M150" s="191">
        <v>5.6349999999999998</v>
      </c>
      <c r="N150" s="192">
        <v>5.8215962441314481E-2</v>
      </c>
      <c r="O150" s="770" t="s">
        <v>1382</v>
      </c>
      <c r="P150" s="761" t="s">
        <v>1383</v>
      </c>
    </row>
    <row r="151" spans="1:17" ht="48" x14ac:dyDescent="0.35">
      <c r="A151" s="188" t="s">
        <v>1384</v>
      </c>
      <c r="B151" s="189">
        <v>0</v>
      </c>
      <c r="C151" s="189">
        <v>0</v>
      </c>
      <c r="D151" s="189">
        <v>4</v>
      </c>
      <c r="E151" s="189">
        <v>0</v>
      </c>
      <c r="F151" s="189">
        <v>0</v>
      </c>
      <c r="G151" s="191">
        <v>4</v>
      </c>
      <c r="H151" s="246">
        <v>0</v>
      </c>
      <c r="I151" s="246">
        <v>0</v>
      </c>
      <c r="J151" s="246">
        <v>5</v>
      </c>
      <c r="K151" s="246">
        <v>0</v>
      </c>
      <c r="L151" s="246">
        <v>0</v>
      </c>
      <c r="M151" s="191">
        <v>5</v>
      </c>
      <c r="N151" s="192">
        <v>0.25</v>
      </c>
      <c r="O151" s="770" t="s">
        <v>1385</v>
      </c>
      <c r="P151" s="761" t="s">
        <v>1386</v>
      </c>
    </row>
    <row r="152" spans="1:17" ht="64" x14ac:dyDescent="0.35">
      <c r="A152" s="188" t="s">
        <v>1387</v>
      </c>
      <c r="B152" s="189">
        <v>0</v>
      </c>
      <c r="C152" s="189">
        <v>0</v>
      </c>
      <c r="D152" s="189">
        <v>0</v>
      </c>
      <c r="E152" s="189">
        <v>0</v>
      </c>
      <c r="F152" s="189">
        <v>0</v>
      </c>
      <c r="G152" s="191">
        <v>0</v>
      </c>
      <c r="H152" s="246">
        <v>1</v>
      </c>
      <c r="I152" s="246">
        <v>0</v>
      </c>
      <c r="J152" s="246">
        <v>0</v>
      </c>
      <c r="K152" s="246">
        <v>0</v>
      </c>
      <c r="L152" s="246">
        <v>0</v>
      </c>
      <c r="M152" s="191">
        <v>1</v>
      </c>
      <c r="N152" s="192" t="s">
        <v>50</v>
      </c>
      <c r="O152" s="770" t="s">
        <v>1388</v>
      </c>
      <c r="P152" s="761" t="s">
        <v>1389</v>
      </c>
    </row>
    <row r="153" spans="1:17" ht="48" x14ac:dyDescent="0.35">
      <c r="A153" s="188" t="s">
        <v>1390</v>
      </c>
      <c r="B153" s="189">
        <v>12.8</v>
      </c>
      <c r="C153" s="189">
        <v>0</v>
      </c>
      <c r="D153" s="189">
        <v>0</v>
      </c>
      <c r="E153" s="189">
        <v>0</v>
      </c>
      <c r="F153" s="189">
        <v>0</v>
      </c>
      <c r="G153" s="191">
        <v>12.8</v>
      </c>
      <c r="H153" s="246">
        <v>13.1</v>
      </c>
      <c r="I153" s="246">
        <v>0</v>
      </c>
      <c r="J153" s="246">
        <v>0</v>
      </c>
      <c r="K153" s="246">
        <v>0</v>
      </c>
      <c r="L153" s="246">
        <v>0</v>
      </c>
      <c r="M153" s="191">
        <v>13.1</v>
      </c>
      <c r="N153" s="192">
        <v>2.3437499999999917E-2</v>
      </c>
      <c r="O153" s="770" t="s">
        <v>1391</v>
      </c>
      <c r="P153" s="761" t="s">
        <v>1383</v>
      </c>
    </row>
    <row r="154" spans="1:17" ht="48" x14ac:dyDescent="0.35">
      <c r="A154" s="188" t="s">
        <v>1392</v>
      </c>
      <c r="B154" s="189">
        <v>2.4</v>
      </c>
      <c r="C154" s="189">
        <v>0</v>
      </c>
      <c r="D154" s="189">
        <v>0</v>
      </c>
      <c r="E154" s="189">
        <v>0</v>
      </c>
      <c r="F154" s="189">
        <v>0</v>
      </c>
      <c r="G154" s="191">
        <v>2.4</v>
      </c>
      <c r="H154" s="246">
        <v>3.15</v>
      </c>
      <c r="I154" s="246">
        <v>0</v>
      </c>
      <c r="J154" s="246">
        <v>0</v>
      </c>
      <c r="K154" s="246">
        <v>0</v>
      </c>
      <c r="L154" s="246">
        <v>0</v>
      </c>
      <c r="M154" s="191">
        <v>3.15</v>
      </c>
      <c r="N154" s="192">
        <v>0.3125</v>
      </c>
      <c r="O154" s="770" t="s">
        <v>1393</v>
      </c>
      <c r="P154" s="761" t="s">
        <v>1383</v>
      </c>
    </row>
    <row r="155" spans="1:17" ht="48.9" customHeight="1" x14ac:dyDescent="0.35">
      <c r="A155" s="193" t="s">
        <v>1394</v>
      </c>
      <c r="B155" s="189">
        <v>0.5</v>
      </c>
      <c r="C155" s="189">
        <v>0</v>
      </c>
      <c r="D155" s="189">
        <v>0</v>
      </c>
      <c r="E155" s="189">
        <v>0</v>
      </c>
      <c r="F155" s="189">
        <v>0</v>
      </c>
      <c r="G155" s="191">
        <v>0.5</v>
      </c>
      <c r="H155" s="246">
        <v>0.95</v>
      </c>
      <c r="I155" s="246">
        <v>0</v>
      </c>
      <c r="J155" s="246">
        <v>0</v>
      </c>
      <c r="K155" s="246">
        <v>0</v>
      </c>
      <c r="L155" s="246">
        <v>0</v>
      </c>
      <c r="M155" s="191">
        <v>0.95</v>
      </c>
      <c r="N155" s="192">
        <v>0.89999999999999991</v>
      </c>
      <c r="O155" s="770" t="s">
        <v>1395</v>
      </c>
      <c r="P155" s="761" t="s">
        <v>1383</v>
      </c>
    </row>
    <row r="156" spans="1:17" ht="48" x14ac:dyDescent="0.35">
      <c r="A156" s="193" t="s">
        <v>1396</v>
      </c>
      <c r="B156" s="189">
        <v>0.5</v>
      </c>
      <c r="C156" s="189">
        <v>0</v>
      </c>
      <c r="D156" s="189">
        <v>0</v>
      </c>
      <c r="E156" s="189">
        <v>0</v>
      </c>
      <c r="F156" s="189">
        <v>0</v>
      </c>
      <c r="G156" s="191">
        <v>0.5</v>
      </c>
      <c r="H156" s="246">
        <v>1.7</v>
      </c>
      <c r="I156" s="246">
        <v>0</v>
      </c>
      <c r="J156" s="246">
        <v>0</v>
      </c>
      <c r="K156" s="246">
        <v>0</v>
      </c>
      <c r="L156" s="246">
        <v>0</v>
      </c>
      <c r="M156" s="191">
        <v>1.7</v>
      </c>
      <c r="N156" s="192">
        <v>2.4</v>
      </c>
      <c r="O156" s="770" t="s">
        <v>1397</v>
      </c>
      <c r="P156" s="761" t="s">
        <v>1383</v>
      </c>
    </row>
    <row r="157" spans="1:17" ht="16" x14ac:dyDescent="0.35">
      <c r="A157" s="198" t="s">
        <v>1398</v>
      </c>
      <c r="B157" s="199">
        <v>21.524999999999999</v>
      </c>
      <c r="C157" s="199">
        <v>0</v>
      </c>
      <c r="D157" s="199">
        <v>4</v>
      </c>
      <c r="E157" s="199">
        <v>0</v>
      </c>
      <c r="F157" s="199">
        <v>0</v>
      </c>
      <c r="G157" s="199">
        <v>25.524999999999999</v>
      </c>
      <c r="H157" s="199">
        <v>25.534999999999997</v>
      </c>
      <c r="I157" s="199">
        <v>0</v>
      </c>
      <c r="J157" s="199">
        <v>5</v>
      </c>
      <c r="K157" s="199">
        <v>0</v>
      </c>
      <c r="L157" s="199">
        <v>0</v>
      </c>
      <c r="M157" s="199">
        <v>30.534999999999997</v>
      </c>
      <c r="N157" s="200">
        <v>0.19627815866797252</v>
      </c>
      <c r="O157" s="201"/>
      <c r="P157" s="202"/>
    </row>
    <row r="158" spans="1:17" ht="16" x14ac:dyDescent="0.35">
      <c r="A158" s="216" t="s">
        <v>1398</v>
      </c>
      <c r="B158" s="267">
        <v>21.524999999999999</v>
      </c>
      <c r="C158" s="267">
        <v>0</v>
      </c>
      <c r="D158" s="267">
        <v>4</v>
      </c>
      <c r="E158" s="267">
        <v>0</v>
      </c>
      <c r="F158" s="267">
        <v>0</v>
      </c>
      <c r="G158" s="267">
        <v>25.524999999999999</v>
      </c>
      <c r="H158" s="267">
        <v>25.534999999999997</v>
      </c>
      <c r="I158" s="267">
        <v>0</v>
      </c>
      <c r="J158" s="267">
        <v>5</v>
      </c>
      <c r="K158" s="267">
        <v>0</v>
      </c>
      <c r="L158" s="267">
        <v>0</v>
      </c>
      <c r="M158" s="267">
        <v>30.534999999999997</v>
      </c>
      <c r="N158" s="631">
        <v>0.19627815866797252</v>
      </c>
      <c r="O158" s="222"/>
      <c r="P158" s="218"/>
    </row>
    <row r="159" spans="1:17" ht="16" x14ac:dyDescent="0.35">
      <c r="A159" s="269"/>
      <c r="B159" s="837"/>
      <c r="C159" s="837"/>
      <c r="D159" s="837"/>
      <c r="E159" s="837"/>
      <c r="F159" s="837"/>
      <c r="G159" s="837"/>
      <c r="H159" s="837"/>
      <c r="I159" s="837"/>
      <c r="J159" s="837"/>
      <c r="K159" s="837"/>
      <c r="L159" s="837"/>
      <c r="M159" s="837"/>
      <c r="N159" s="838"/>
      <c r="O159" s="839"/>
      <c r="P159" s="839"/>
      <c r="Q159" s="832"/>
    </row>
    <row r="160" spans="1:17" customFormat="1" ht="16" x14ac:dyDescent="0.35">
      <c r="A160" s="840" t="s">
        <v>1399</v>
      </c>
      <c r="B160" s="143"/>
      <c r="C160" s="143"/>
      <c r="D160" s="143"/>
      <c r="E160" s="143"/>
      <c r="F160" s="143"/>
      <c r="G160" s="143"/>
      <c r="H160" s="143"/>
      <c r="I160" s="143"/>
      <c r="J160" s="143"/>
      <c r="K160" s="143"/>
      <c r="L160" s="143"/>
      <c r="M160" s="143"/>
      <c r="N160" s="673"/>
      <c r="O160" s="674"/>
      <c r="P160" s="674"/>
      <c r="Q160" s="126"/>
    </row>
    <row r="161" spans="1:17" ht="16" x14ac:dyDescent="0.35">
      <c r="A161" s="184" t="s">
        <v>1399</v>
      </c>
      <c r="B161" s="185"/>
      <c r="C161" s="185"/>
      <c r="D161" s="185"/>
      <c r="E161" s="185"/>
      <c r="F161" s="185"/>
      <c r="G161" s="185"/>
      <c r="H161" s="185"/>
      <c r="I161" s="185"/>
      <c r="J161" s="185"/>
      <c r="K161" s="185"/>
      <c r="L161" s="185"/>
      <c r="M161" s="185"/>
      <c r="N161" s="186"/>
      <c r="O161" s="187"/>
      <c r="P161" s="187"/>
    </row>
    <row r="162" spans="1:17" ht="32" x14ac:dyDescent="0.35">
      <c r="A162" s="188" t="s">
        <v>1400</v>
      </c>
      <c r="B162" s="189">
        <v>6.0620000000000003</v>
      </c>
      <c r="C162" s="189">
        <v>0.67700000000000005</v>
      </c>
      <c r="D162" s="189">
        <v>0</v>
      </c>
      <c r="E162" s="189">
        <v>0</v>
      </c>
      <c r="F162" s="189">
        <v>2.1000000000000001E-2</v>
      </c>
      <c r="G162" s="191">
        <v>6.7600000000000007</v>
      </c>
      <c r="H162" s="246">
        <v>6.0949999999999998</v>
      </c>
      <c r="I162" s="246">
        <v>0.67700000000000005</v>
      </c>
      <c r="J162" s="246">
        <v>0</v>
      </c>
      <c r="K162" s="246">
        <v>0</v>
      </c>
      <c r="L162" s="246">
        <v>0</v>
      </c>
      <c r="M162" s="191">
        <v>6.7720000000000002</v>
      </c>
      <c r="N162" s="192">
        <v>1.7751479289940186E-3</v>
      </c>
      <c r="O162" s="770" t="s">
        <v>1401</v>
      </c>
      <c r="P162" s="761" t="s">
        <v>1402</v>
      </c>
    </row>
    <row r="163" spans="1:17" ht="32" x14ac:dyDescent="0.35">
      <c r="A163" s="188" t="s">
        <v>1403</v>
      </c>
      <c r="B163" s="189">
        <v>34.917000000000002</v>
      </c>
      <c r="C163" s="189">
        <v>0</v>
      </c>
      <c r="D163" s="189">
        <v>0</v>
      </c>
      <c r="E163" s="189">
        <v>0</v>
      </c>
      <c r="F163" s="189">
        <v>0</v>
      </c>
      <c r="G163" s="191">
        <v>34.917000000000002</v>
      </c>
      <c r="H163" s="246">
        <v>40.917000000000002</v>
      </c>
      <c r="I163" s="246">
        <v>0</v>
      </c>
      <c r="J163" s="246">
        <v>0</v>
      </c>
      <c r="K163" s="246">
        <v>0</v>
      </c>
      <c r="L163" s="246">
        <v>0</v>
      </c>
      <c r="M163" s="191">
        <v>40.917000000000002</v>
      </c>
      <c r="N163" s="192">
        <v>0.17183606839075521</v>
      </c>
      <c r="O163" s="770" t="s">
        <v>1404</v>
      </c>
      <c r="P163" s="761" t="s">
        <v>1405</v>
      </c>
    </row>
    <row r="164" spans="1:17" ht="32" x14ac:dyDescent="0.35">
      <c r="A164" s="188" t="s">
        <v>1406</v>
      </c>
      <c r="B164" s="189">
        <v>7.5739999999999998</v>
      </c>
      <c r="C164" s="189">
        <v>0</v>
      </c>
      <c r="D164" s="189">
        <v>0</v>
      </c>
      <c r="E164" s="189">
        <v>0</v>
      </c>
      <c r="F164" s="189">
        <v>0</v>
      </c>
      <c r="G164" s="191">
        <v>7.5739999999999998</v>
      </c>
      <c r="H164" s="246">
        <v>7.69</v>
      </c>
      <c r="I164" s="246">
        <v>0</v>
      </c>
      <c r="J164" s="246">
        <v>0</v>
      </c>
      <c r="K164" s="246">
        <v>0</v>
      </c>
      <c r="L164" s="246">
        <v>0</v>
      </c>
      <c r="M164" s="191">
        <v>7.69</v>
      </c>
      <c r="N164" s="192">
        <v>1.5315553208344409E-2</v>
      </c>
      <c r="O164" s="770" t="s">
        <v>1407</v>
      </c>
      <c r="P164" s="761" t="s">
        <v>1402</v>
      </c>
    </row>
    <row r="165" spans="1:17" ht="32" x14ac:dyDescent="0.35">
      <c r="A165" s="193" t="s">
        <v>1408</v>
      </c>
      <c r="B165" s="194">
        <v>5</v>
      </c>
      <c r="C165" s="194">
        <v>0</v>
      </c>
      <c r="D165" s="194">
        <v>0</v>
      </c>
      <c r="E165" s="194">
        <v>0</v>
      </c>
      <c r="F165" s="194">
        <v>0</v>
      </c>
      <c r="G165" s="196">
        <v>5</v>
      </c>
      <c r="H165" s="246">
        <v>5.0460000000000003</v>
      </c>
      <c r="I165" s="246">
        <v>0</v>
      </c>
      <c r="J165" s="246">
        <v>0</v>
      </c>
      <c r="K165" s="246">
        <v>0</v>
      </c>
      <c r="L165" s="246">
        <v>0</v>
      </c>
      <c r="M165" s="196">
        <v>5.0460000000000003</v>
      </c>
      <c r="N165" s="197">
        <v>9.2000000000000519E-3</v>
      </c>
      <c r="O165" s="841" t="s">
        <v>1409</v>
      </c>
      <c r="P165" s="842" t="s">
        <v>1402</v>
      </c>
    </row>
    <row r="166" spans="1:17" ht="32" x14ac:dyDescent="0.35">
      <c r="A166" s="198" t="s">
        <v>1410</v>
      </c>
      <c r="B166" s="199">
        <v>53.552999999999997</v>
      </c>
      <c r="C166" s="199">
        <v>0.67700000000000005</v>
      </c>
      <c r="D166" s="199">
        <v>0</v>
      </c>
      <c r="E166" s="199">
        <v>0</v>
      </c>
      <c r="F166" s="199">
        <v>2.1000000000000001E-2</v>
      </c>
      <c r="G166" s="199">
        <v>54.250999999999998</v>
      </c>
      <c r="H166" s="199">
        <v>59.747999999999998</v>
      </c>
      <c r="I166" s="199">
        <v>0.67700000000000005</v>
      </c>
      <c r="J166" s="199">
        <v>0</v>
      </c>
      <c r="K166" s="199">
        <v>0</v>
      </c>
      <c r="L166" s="199">
        <v>0</v>
      </c>
      <c r="M166" s="199">
        <v>60.424999999999997</v>
      </c>
      <c r="N166" s="200">
        <v>0.11380435383679563</v>
      </c>
      <c r="O166" s="201"/>
      <c r="P166" s="202"/>
    </row>
    <row r="167" spans="1:17" ht="32" x14ac:dyDescent="0.35">
      <c r="A167" s="216" t="s">
        <v>1410</v>
      </c>
      <c r="B167" s="267">
        <v>53.552999999999997</v>
      </c>
      <c r="C167" s="267">
        <v>0.67700000000000005</v>
      </c>
      <c r="D167" s="267">
        <v>0</v>
      </c>
      <c r="E167" s="267">
        <v>0</v>
      </c>
      <c r="F167" s="267">
        <v>2.1000000000000001E-2</v>
      </c>
      <c r="G167" s="267">
        <v>54.250999999999998</v>
      </c>
      <c r="H167" s="267">
        <v>59.747999999999998</v>
      </c>
      <c r="I167" s="267">
        <v>0.67700000000000005</v>
      </c>
      <c r="J167" s="267">
        <v>0</v>
      </c>
      <c r="K167" s="267">
        <v>0</v>
      </c>
      <c r="L167" s="267">
        <v>0</v>
      </c>
      <c r="M167" s="267">
        <v>60.424999999999997</v>
      </c>
      <c r="N167" s="631">
        <v>0.11380435383679563</v>
      </c>
      <c r="O167" s="222"/>
      <c r="P167" s="218"/>
    </row>
    <row r="168" spans="1:17" ht="16" x14ac:dyDescent="0.35">
      <c r="A168" s="229"/>
      <c r="B168" s="230"/>
      <c r="C168" s="230"/>
      <c r="D168" s="230"/>
      <c r="E168" s="230"/>
      <c r="F168" s="230"/>
      <c r="G168" s="750"/>
      <c r="H168" s="230"/>
      <c r="I168" s="230"/>
      <c r="J168" s="230"/>
      <c r="K168" s="230"/>
      <c r="L168" s="230"/>
      <c r="M168" s="750"/>
      <c r="N168" s="231"/>
      <c r="O168" s="229"/>
      <c r="P168" s="229"/>
    </row>
    <row r="169" spans="1:17" ht="16" x14ac:dyDescent="0.35">
      <c r="A169" s="843" t="s">
        <v>338</v>
      </c>
      <c r="B169" s="844"/>
      <c r="C169" s="844"/>
      <c r="D169" s="844"/>
      <c r="E169" s="844"/>
      <c r="F169" s="844"/>
      <c r="G169" s="199"/>
      <c r="H169" s="844"/>
      <c r="I169" s="844"/>
      <c r="J169" s="844"/>
      <c r="K169" s="844"/>
      <c r="L169" s="844"/>
      <c r="M169" s="199"/>
      <c r="N169" s="231"/>
      <c r="O169" s="229"/>
      <c r="P169" s="229"/>
    </row>
    <row r="170" spans="1:17" s="850" customFormat="1" ht="19" x14ac:dyDescent="0.45">
      <c r="A170" s="845"/>
      <c r="B170" s="846"/>
      <c r="C170" s="846"/>
      <c r="D170" s="846"/>
      <c r="E170" s="846"/>
      <c r="F170" s="846"/>
      <c r="G170" s="847"/>
      <c r="H170" s="846"/>
      <c r="I170" s="846"/>
      <c r="J170" s="846"/>
      <c r="K170" s="846"/>
      <c r="L170" s="846"/>
      <c r="M170" s="847"/>
      <c r="N170" s="848"/>
      <c r="O170" s="845"/>
      <c r="P170" s="845"/>
      <c r="Q170" s="849"/>
    </row>
    <row r="171" spans="1:17" ht="16" x14ac:dyDescent="0.35">
      <c r="A171" s="216" t="s">
        <v>1411</v>
      </c>
      <c r="B171" s="267">
        <v>586.98199999999997</v>
      </c>
      <c r="C171" s="267">
        <v>29.164999999999996</v>
      </c>
      <c r="D171" s="267">
        <v>619.94100000000003</v>
      </c>
      <c r="E171" s="267">
        <v>192.9</v>
      </c>
      <c r="F171" s="267">
        <v>6.3E-2</v>
      </c>
      <c r="G171" s="267">
        <v>1429.0510000000002</v>
      </c>
      <c r="H171" s="267">
        <v>612.6</v>
      </c>
      <c r="I171" s="267">
        <v>26.126999999999995</v>
      </c>
      <c r="J171" s="267">
        <v>528.29999999999995</v>
      </c>
      <c r="K171" s="267">
        <v>167.4</v>
      </c>
      <c r="L171" s="267">
        <v>0</v>
      </c>
      <c r="M171" s="267">
        <v>1334.4269999999999</v>
      </c>
      <c r="N171" s="221">
        <v>-6.6214571768257569E-2</v>
      </c>
      <c r="O171" s="831"/>
      <c r="P171" s="831"/>
    </row>
    <row r="172" spans="1:17" ht="16" x14ac:dyDescent="0.35">
      <c r="A172" s="229"/>
      <c r="B172" s="230"/>
      <c r="C172" s="230"/>
      <c r="D172" s="230"/>
      <c r="E172" s="230"/>
      <c r="F172" s="230"/>
      <c r="G172" s="750"/>
      <c r="H172" s="230"/>
      <c r="I172" s="230"/>
      <c r="J172" s="230"/>
      <c r="K172" s="230"/>
      <c r="L172" s="230"/>
      <c r="M172" s="750"/>
      <c r="N172" s="231"/>
      <c r="O172" s="831"/>
      <c r="P172" s="831"/>
    </row>
    <row r="173" spans="1:17" customFormat="1" ht="16" x14ac:dyDescent="0.35">
      <c r="A173" s="579" t="s">
        <v>1412</v>
      </c>
      <c r="B173" s="462"/>
      <c r="C173" s="462"/>
      <c r="D173" s="462"/>
      <c r="E173" s="462"/>
      <c r="F173" s="462"/>
      <c r="G173" s="462"/>
      <c r="H173" s="462"/>
      <c r="I173" s="462"/>
      <c r="J173" s="462"/>
      <c r="K173" s="462"/>
      <c r="L173" s="462"/>
      <c r="M173" s="462"/>
      <c r="N173" s="581"/>
      <c r="O173" s="578"/>
      <c r="P173" s="578"/>
      <c r="Q173" s="126"/>
    </row>
    <row r="174" spans="1:17" customFormat="1" ht="16" x14ac:dyDescent="0.35">
      <c r="A174" s="851"/>
      <c r="B174" s="576"/>
      <c r="C174" s="576"/>
      <c r="D174" s="576"/>
      <c r="E174" s="576"/>
      <c r="F174" s="576"/>
      <c r="G174" s="852"/>
      <c r="H174" s="576"/>
      <c r="I174" s="576"/>
      <c r="J174" s="576"/>
      <c r="K174" s="576"/>
      <c r="L174" s="576"/>
      <c r="M174" s="852"/>
      <c r="N174" s="853"/>
      <c r="O174" s="578"/>
      <c r="P174" s="578"/>
      <c r="Q174" s="126"/>
    </row>
    <row r="175" spans="1:17" customFormat="1" ht="32" x14ac:dyDescent="0.35">
      <c r="A175" s="547" t="s">
        <v>1413</v>
      </c>
      <c r="B175" s="536">
        <v>4.4820000000000002</v>
      </c>
      <c r="C175" s="536">
        <v>0</v>
      </c>
      <c r="D175" s="536">
        <v>0</v>
      </c>
      <c r="E175" s="536">
        <v>0</v>
      </c>
      <c r="F175" s="536">
        <v>0</v>
      </c>
      <c r="G175" s="559">
        <v>4.4820000000000002</v>
      </c>
      <c r="H175" s="536">
        <v>4.4779999999999998</v>
      </c>
      <c r="I175" s="536">
        <v>0</v>
      </c>
      <c r="J175" s="536">
        <v>0</v>
      </c>
      <c r="K175" s="536">
        <v>0</v>
      </c>
      <c r="L175" s="536">
        <v>0</v>
      </c>
      <c r="M175" s="559">
        <v>4.4779999999999998</v>
      </c>
      <c r="N175" s="582">
        <v>0</v>
      </c>
      <c r="O175" s="393" t="s">
        <v>1414</v>
      </c>
      <c r="P175" s="330" t="s">
        <v>74</v>
      </c>
      <c r="Q175" s="126"/>
    </row>
    <row r="176" spans="1:17" customFormat="1" ht="16" x14ac:dyDescent="0.35">
      <c r="A176" s="547"/>
      <c r="B176" s="854"/>
      <c r="C176" s="854"/>
      <c r="D176" s="854"/>
      <c r="E176" s="854"/>
      <c r="F176" s="854"/>
      <c r="G176" s="854"/>
      <c r="H176" s="854"/>
      <c r="I176" s="854"/>
      <c r="J176" s="854"/>
      <c r="K176" s="854"/>
      <c r="L176" s="854"/>
      <c r="M176" s="854"/>
      <c r="N176" s="582"/>
      <c r="O176" s="578" t="s">
        <v>237</v>
      </c>
      <c r="P176" s="578" t="s">
        <v>237</v>
      </c>
      <c r="Q176" s="126"/>
    </row>
    <row r="177" spans="1:17" customFormat="1" ht="16" x14ac:dyDescent="0.35">
      <c r="A177" s="583" t="s">
        <v>1415</v>
      </c>
      <c r="B177" s="584">
        <v>4.4820000000000002</v>
      </c>
      <c r="C177" s="584">
        <v>0</v>
      </c>
      <c r="D177" s="584">
        <v>0</v>
      </c>
      <c r="E177" s="584">
        <v>0</v>
      </c>
      <c r="F177" s="584">
        <v>0</v>
      </c>
      <c r="G177" s="584">
        <v>4.4820000000000002</v>
      </c>
      <c r="H177" s="584">
        <v>4.4779999999999998</v>
      </c>
      <c r="I177" s="584">
        <v>0</v>
      </c>
      <c r="J177" s="584">
        <v>0</v>
      </c>
      <c r="K177" s="584">
        <v>0</v>
      </c>
      <c r="L177" s="584">
        <v>0</v>
      </c>
      <c r="M177" s="584">
        <v>4.4779999999999998</v>
      </c>
      <c r="N177" s="585">
        <v>0</v>
      </c>
      <c r="O177" s="578"/>
      <c r="P177" s="578"/>
      <c r="Q177" s="126"/>
    </row>
    <row r="178" spans="1:17" customFormat="1" ht="16" x14ac:dyDescent="0.35">
      <c r="A178" s="575"/>
      <c r="B178" s="586"/>
      <c r="C178" s="586"/>
      <c r="D178" s="586"/>
      <c r="E178" s="586"/>
      <c r="F178" s="586"/>
      <c r="G178" s="586"/>
      <c r="H178" s="586"/>
      <c r="I178" s="586"/>
      <c r="J178" s="586"/>
      <c r="K178" s="586"/>
      <c r="L178" s="586"/>
      <c r="M178" s="586"/>
      <c r="N178" s="587"/>
      <c r="O178" s="578"/>
      <c r="P178" s="578"/>
      <c r="Q178" s="126"/>
    </row>
    <row r="179" spans="1:17" customFormat="1" ht="32" x14ac:dyDescent="0.35">
      <c r="A179" s="548" t="s">
        <v>1416</v>
      </c>
      <c r="B179" s="588">
        <v>4.4820000000000002</v>
      </c>
      <c r="C179" s="588">
        <v>0</v>
      </c>
      <c r="D179" s="588">
        <v>0</v>
      </c>
      <c r="E179" s="588">
        <v>0</v>
      </c>
      <c r="F179" s="588">
        <v>0</v>
      </c>
      <c r="G179" s="588">
        <v>4.4820000000000002</v>
      </c>
      <c r="H179" s="588">
        <v>4.4820000000000002</v>
      </c>
      <c r="I179" s="588">
        <v>0</v>
      </c>
      <c r="J179" s="588">
        <v>0</v>
      </c>
      <c r="K179" s="588">
        <v>0</v>
      </c>
      <c r="L179" s="588">
        <v>0</v>
      </c>
      <c r="M179" s="588">
        <v>4.4820000000000002</v>
      </c>
      <c r="N179" s="569">
        <v>0</v>
      </c>
      <c r="O179" s="578"/>
      <c r="P179" s="578"/>
      <c r="Q179" s="126"/>
    </row>
    <row r="185" spans="1:17" s="158" customFormat="1" x14ac:dyDescent="0.35">
      <c r="A185" s="733"/>
      <c r="B185" s="734"/>
      <c r="C185" s="734"/>
      <c r="D185" s="734"/>
      <c r="E185" s="734"/>
      <c r="F185" s="734"/>
      <c r="G185" s="734"/>
      <c r="H185" s="734"/>
      <c r="I185" s="734"/>
      <c r="J185" s="734"/>
      <c r="K185" s="734"/>
      <c r="L185" s="734"/>
      <c r="M185" s="734"/>
      <c r="N185" s="735"/>
      <c r="O185" s="159"/>
      <c r="P185" s="159"/>
    </row>
    <row r="186" spans="1:17" s="158" customFormat="1" x14ac:dyDescent="0.35">
      <c r="A186" s="733"/>
      <c r="B186" s="734"/>
      <c r="C186" s="734"/>
      <c r="D186" s="734"/>
      <c r="E186" s="734"/>
      <c r="F186" s="734"/>
      <c r="G186" s="734"/>
      <c r="H186" s="734"/>
      <c r="I186" s="734"/>
      <c r="J186" s="734"/>
      <c r="K186" s="734"/>
      <c r="L186" s="734"/>
      <c r="M186" s="734"/>
      <c r="N186" s="735"/>
      <c r="O186" s="159"/>
      <c r="P186" s="159"/>
    </row>
    <row r="187" spans="1:17" s="158" customFormat="1" x14ac:dyDescent="0.35">
      <c r="A187" s="733"/>
      <c r="B187" s="734"/>
      <c r="C187" s="734"/>
      <c r="D187" s="734"/>
      <c r="E187" s="734"/>
      <c r="F187" s="734"/>
      <c r="G187" s="734"/>
      <c r="H187" s="734"/>
      <c r="I187" s="734"/>
      <c r="J187" s="734"/>
      <c r="K187" s="734"/>
      <c r="L187" s="734"/>
      <c r="M187" s="734"/>
      <c r="N187" s="735"/>
      <c r="O187" s="159"/>
      <c r="P187" s="159"/>
    </row>
    <row r="188" spans="1:17" s="158" customFormat="1" x14ac:dyDescent="0.35">
      <c r="A188" s="733"/>
      <c r="B188" s="734"/>
      <c r="C188" s="734"/>
      <c r="D188" s="734"/>
      <c r="E188" s="734"/>
      <c r="F188" s="734"/>
      <c r="G188" s="734"/>
      <c r="H188" s="734"/>
      <c r="I188" s="734"/>
      <c r="J188" s="734"/>
      <c r="K188" s="734"/>
      <c r="L188" s="734"/>
      <c r="M188" s="734"/>
      <c r="N188" s="735"/>
      <c r="O188" s="159"/>
      <c r="P188" s="159"/>
    </row>
    <row r="189" spans="1:17" s="158" customFormat="1" x14ac:dyDescent="0.35">
      <c r="A189" s="733"/>
      <c r="B189" s="734"/>
      <c r="C189" s="734"/>
      <c r="D189" s="734"/>
      <c r="E189" s="734"/>
      <c r="F189" s="734"/>
      <c r="G189" s="734"/>
      <c r="H189" s="734"/>
      <c r="I189" s="734"/>
      <c r="J189" s="734"/>
      <c r="K189" s="734"/>
      <c r="L189" s="734"/>
      <c r="M189" s="734"/>
      <c r="N189" s="735"/>
      <c r="O189" s="159"/>
      <c r="P189" s="159"/>
    </row>
    <row r="190" spans="1:17" s="158" customFormat="1" x14ac:dyDescent="0.35">
      <c r="A190" s="733"/>
      <c r="B190" s="734"/>
      <c r="C190" s="734"/>
      <c r="D190" s="734"/>
      <c r="E190" s="734"/>
      <c r="F190" s="734"/>
      <c r="G190" s="734"/>
      <c r="H190" s="734"/>
      <c r="I190" s="734"/>
      <c r="J190" s="734"/>
      <c r="K190" s="734"/>
      <c r="L190" s="734"/>
      <c r="M190" s="734"/>
      <c r="N190" s="735"/>
      <c r="O190" s="159"/>
      <c r="P190" s="159"/>
    </row>
    <row r="191" spans="1:17" s="158" customFormat="1" x14ac:dyDescent="0.35">
      <c r="A191" s="733"/>
      <c r="B191" s="734"/>
      <c r="C191" s="734"/>
      <c r="D191" s="734"/>
      <c r="E191" s="734"/>
      <c r="F191" s="734"/>
      <c r="G191" s="734"/>
      <c r="H191" s="734"/>
      <c r="I191" s="734"/>
      <c r="J191" s="734"/>
      <c r="K191" s="734"/>
      <c r="L191" s="734"/>
      <c r="M191" s="734"/>
      <c r="N191" s="735"/>
      <c r="O191" s="159"/>
      <c r="P191" s="159"/>
    </row>
    <row r="192" spans="1:17" s="158" customFormat="1" x14ac:dyDescent="0.35">
      <c r="A192" s="733"/>
      <c r="B192" s="734"/>
      <c r="C192" s="734"/>
      <c r="D192" s="734"/>
      <c r="E192" s="734"/>
      <c r="F192" s="734"/>
      <c r="G192" s="734"/>
      <c r="H192" s="734"/>
      <c r="I192" s="734"/>
      <c r="J192" s="734"/>
      <c r="K192" s="734"/>
      <c r="L192" s="734"/>
      <c r="M192" s="734"/>
      <c r="N192" s="735"/>
      <c r="O192" s="159"/>
      <c r="P192" s="159"/>
    </row>
    <row r="193" spans="1:16" s="158" customFormat="1" x14ac:dyDescent="0.35">
      <c r="A193" s="733"/>
      <c r="B193" s="734"/>
      <c r="C193" s="734"/>
      <c r="D193" s="734"/>
      <c r="E193" s="734"/>
      <c r="F193" s="734"/>
      <c r="G193" s="734"/>
      <c r="H193" s="734"/>
      <c r="I193" s="734"/>
      <c r="J193" s="734"/>
      <c r="K193" s="734"/>
      <c r="L193" s="734"/>
      <c r="M193" s="734"/>
      <c r="N193" s="735"/>
      <c r="O193" s="159"/>
      <c r="P193" s="159"/>
    </row>
    <row r="194" spans="1:16" s="158" customFormat="1" x14ac:dyDescent="0.35">
      <c r="A194" s="733"/>
      <c r="B194" s="734"/>
      <c r="C194" s="734"/>
      <c r="D194" s="734"/>
      <c r="E194" s="734"/>
      <c r="F194" s="734"/>
      <c r="G194" s="734"/>
      <c r="H194" s="734"/>
      <c r="I194" s="734"/>
      <c r="J194" s="734"/>
      <c r="K194" s="734"/>
      <c r="L194" s="734"/>
      <c r="M194" s="734"/>
      <c r="N194" s="735"/>
      <c r="O194" s="159"/>
      <c r="P194" s="159"/>
    </row>
    <row r="195" spans="1:16" s="158" customFormat="1" x14ac:dyDescent="0.35">
      <c r="A195" s="733"/>
      <c r="B195" s="734"/>
      <c r="C195" s="734"/>
      <c r="D195" s="734"/>
      <c r="E195" s="734"/>
      <c r="F195" s="734"/>
      <c r="G195" s="734"/>
      <c r="H195" s="734"/>
      <c r="I195" s="734"/>
      <c r="J195" s="734"/>
      <c r="K195" s="734"/>
      <c r="L195" s="734"/>
      <c r="M195" s="734"/>
      <c r="N195" s="735"/>
      <c r="O195" s="159"/>
      <c r="P195" s="159"/>
    </row>
    <row r="196" spans="1:16" s="158" customFormat="1" x14ac:dyDescent="0.35">
      <c r="A196" s="733"/>
      <c r="B196" s="734"/>
      <c r="C196" s="734"/>
      <c r="D196" s="734"/>
      <c r="E196" s="734"/>
      <c r="F196" s="734"/>
      <c r="G196" s="734"/>
      <c r="H196" s="734"/>
      <c r="I196" s="734"/>
      <c r="J196" s="734"/>
      <c r="K196" s="734"/>
      <c r="L196" s="734"/>
      <c r="M196" s="734"/>
      <c r="N196" s="735"/>
      <c r="O196" s="159"/>
      <c r="P196" s="159"/>
    </row>
    <row r="197" spans="1:16" s="158" customFormat="1" x14ac:dyDescent="0.35">
      <c r="A197" s="733"/>
      <c r="B197" s="734"/>
      <c r="C197" s="734"/>
      <c r="D197" s="734"/>
      <c r="E197" s="734"/>
      <c r="F197" s="734"/>
      <c r="G197" s="734"/>
      <c r="H197" s="734"/>
      <c r="I197" s="734"/>
      <c r="J197" s="734"/>
      <c r="K197" s="734"/>
      <c r="L197" s="734"/>
      <c r="M197" s="734"/>
      <c r="N197" s="735"/>
      <c r="O197" s="159"/>
      <c r="P197" s="159"/>
    </row>
    <row r="198" spans="1:16" s="158" customFormat="1" x14ac:dyDescent="0.35">
      <c r="A198" s="733"/>
      <c r="B198" s="734"/>
      <c r="C198" s="734"/>
      <c r="D198" s="734"/>
      <c r="E198" s="734"/>
      <c r="F198" s="734"/>
      <c r="G198" s="734"/>
      <c r="H198" s="734"/>
      <c r="I198" s="734"/>
      <c r="J198" s="734"/>
      <c r="K198" s="734"/>
      <c r="L198" s="734"/>
      <c r="M198" s="734"/>
      <c r="N198" s="735"/>
      <c r="O198" s="159"/>
      <c r="P198" s="159"/>
    </row>
    <row r="199" spans="1:16" s="158" customFormat="1" x14ac:dyDescent="0.35">
      <c r="A199" s="733"/>
      <c r="B199" s="734"/>
      <c r="C199" s="734"/>
      <c r="D199" s="734"/>
      <c r="E199" s="734"/>
      <c r="F199" s="734"/>
      <c r="G199" s="734"/>
      <c r="H199" s="734"/>
      <c r="I199" s="734"/>
      <c r="J199" s="734"/>
      <c r="K199" s="734"/>
      <c r="L199" s="734"/>
      <c r="M199" s="734"/>
      <c r="N199" s="735"/>
      <c r="O199" s="159"/>
      <c r="P199" s="159"/>
    </row>
    <row r="200" spans="1:16" s="158" customFormat="1" x14ac:dyDescent="0.35">
      <c r="A200" s="733"/>
      <c r="B200" s="734"/>
      <c r="C200" s="734"/>
      <c r="D200" s="734"/>
      <c r="E200" s="734"/>
      <c r="F200" s="734"/>
      <c r="G200" s="734"/>
      <c r="H200" s="734"/>
      <c r="I200" s="734"/>
      <c r="J200" s="734"/>
      <c r="K200" s="734"/>
      <c r="L200" s="734"/>
      <c r="M200" s="734"/>
      <c r="N200" s="735"/>
      <c r="O200" s="159"/>
      <c r="P200" s="159"/>
    </row>
    <row r="201" spans="1:16" s="158" customFormat="1" x14ac:dyDescent="0.35">
      <c r="A201" s="733"/>
      <c r="B201" s="734"/>
      <c r="C201" s="734"/>
      <c r="D201" s="734"/>
      <c r="E201" s="734"/>
      <c r="F201" s="734"/>
      <c r="G201" s="734"/>
      <c r="H201" s="734"/>
      <c r="I201" s="734"/>
      <c r="J201" s="734"/>
      <c r="K201" s="734"/>
      <c r="L201" s="734"/>
      <c r="M201" s="734"/>
      <c r="N201" s="735"/>
      <c r="O201" s="159"/>
      <c r="P201" s="159"/>
    </row>
    <row r="202" spans="1:16" s="158" customFormat="1" x14ac:dyDescent="0.35">
      <c r="A202" s="733"/>
      <c r="B202" s="734"/>
      <c r="C202" s="734"/>
      <c r="D202" s="734"/>
      <c r="E202" s="734"/>
      <c r="F202" s="734"/>
      <c r="G202" s="734"/>
      <c r="H202" s="734"/>
      <c r="I202" s="734"/>
      <c r="J202" s="734"/>
      <c r="K202" s="734"/>
      <c r="L202" s="734"/>
      <c r="M202" s="734"/>
      <c r="N202" s="735"/>
      <c r="O202" s="159"/>
      <c r="P202" s="159"/>
    </row>
    <row r="203" spans="1:16" s="158" customFormat="1" x14ac:dyDescent="0.35">
      <c r="A203" s="733"/>
      <c r="B203" s="734"/>
      <c r="C203" s="734"/>
      <c r="D203" s="734"/>
      <c r="E203" s="734"/>
      <c r="F203" s="734"/>
      <c r="G203" s="734"/>
      <c r="H203" s="734"/>
      <c r="I203" s="734"/>
      <c r="J203" s="734"/>
      <c r="K203" s="734"/>
      <c r="L203" s="734"/>
      <c r="M203" s="734"/>
      <c r="N203" s="735"/>
      <c r="O203" s="159"/>
      <c r="P203" s="159"/>
    </row>
    <row r="204" spans="1:16" s="158" customFormat="1" x14ac:dyDescent="0.35">
      <c r="A204" s="733"/>
      <c r="B204" s="734"/>
      <c r="C204" s="734"/>
      <c r="D204" s="734"/>
      <c r="E204" s="734"/>
      <c r="F204" s="734"/>
      <c r="G204" s="734"/>
      <c r="H204" s="734"/>
      <c r="I204" s="734"/>
      <c r="J204" s="734"/>
      <c r="K204" s="734"/>
      <c r="L204" s="734"/>
      <c r="M204" s="734"/>
      <c r="N204" s="735"/>
      <c r="O204" s="159"/>
      <c r="P204" s="159"/>
    </row>
    <row r="205" spans="1:16" s="158" customFormat="1" x14ac:dyDescent="0.35">
      <c r="A205" s="733"/>
      <c r="B205" s="734"/>
      <c r="C205" s="734"/>
      <c r="D205" s="734"/>
      <c r="E205" s="734"/>
      <c r="F205" s="734"/>
      <c r="G205" s="734"/>
      <c r="H205" s="734"/>
      <c r="I205" s="734"/>
      <c r="J205" s="734"/>
      <c r="K205" s="734"/>
      <c r="L205" s="734"/>
      <c r="M205" s="734"/>
      <c r="N205" s="735"/>
      <c r="O205" s="159"/>
      <c r="P205" s="159"/>
    </row>
    <row r="206" spans="1:16" s="158" customFormat="1" x14ac:dyDescent="0.35">
      <c r="A206" s="733"/>
      <c r="B206" s="734"/>
      <c r="C206" s="734"/>
      <c r="D206" s="734"/>
      <c r="E206" s="734"/>
      <c r="F206" s="734"/>
      <c r="G206" s="734"/>
      <c r="H206" s="734"/>
      <c r="I206" s="734"/>
      <c r="J206" s="734"/>
      <c r="K206" s="734"/>
      <c r="L206" s="734"/>
      <c r="M206" s="734"/>
      <c r="N206" s="735"/>
      <c r="O206" s="159"/>
      <c r="P206" s="159"/>
    </row>
    <row r="207" spans="1:16" s="158" customFormat="1" x14ac:dyDescent="0.35">
      <c r="A207" s="733"/>
      <c r="B207" s="734"/>
      <c r="C207" s="734"/>
      <c r="D207" s="734"/>
      <c r="E207" s="734"/>
      <c r="F207" s="734"/>
      <c r="G207" s="734"/>
      <c r="H207" s="734"/>
      <c r="I207" s="734"/>
      <c r="J207" s="734"/>
      <c r="K207" s="734"/>
      <c r="L207" s="734"/>
      <c r="M207" s="734"/>
      <c r="N207" s="735"/>
      <c r="O207" s="159"/>
      <c r="P207" s="159"/>
    </row>
    <row r="208" spans="1:16" s="158" customFormat="1" x14ac:dyDescent="0.35">
      <c r="A208" s="733"/>
      <c r="B208" s="734"/>
      <c r="C208" s="734"/>
      <c r="D208" s="734"/>
      <c r="E208" s="734"/>
      <c r="F208" s="734"/>
      <c r="G208" s="734"/>
      <c r="H208" s="734"/>
      <c r="I208" s="734"/>
      <c r="J208" s="734"/>
      <c r="K208" s="734"/>
      <c r="L208" s="734"/>
      <c r="M208" s="734"/>
      <c r="N208" s="735"/>
      <c r="O208" s="159"/>
      <c r="P208" s="159"/>
    </row>
    <row r="209" spans="1:16" s="158" customFormat="1" x14ac:dyDescent="0.35">
      <c r="A209" s="733"/>
      <c r="B209" s="734"/>
      <c r="C209" s="734"/>
      <c r="D209" s="734"/>
      <c r="E209" s="734"/>
      <c r="F209" s="734"/>
      <c r="G209" s="734"/>
      <c r="H209" s="734"/>
      <c r="I209" s="734"/>
      <c r="J209" s="734"/>
      <c r="K209" s="734"/>
      <c r="L209" s="734"/>
      <c r="M209" s="734"/>
      <c r="N209" s="735"/>
      <c r="O209" s="159"/>
      <c r="P209" s="159"/>
    </row>
    <row r="210" spans="1:16" s="158" customFormat="1" x14ac:dyDescent="0.35">
      <c r="A210" s="733"/>
      <c r="B210" s="734"/>
      <c r="C210" s="734"/>
      <c r="D210" s="734"/>
      <c r="E210" s="734"/>
      <c r="F210" s="734"/>
      <c r="G210" s="734"/>
      <c r="H210" s="734"/>
      <c r="I210" s="734"/>
      <c r="J210" s="734"/>
      <c r="K210" s="734"/>
      <c r="L210" s="734"/>
      <c r="M210" s="734"/>
      <c r="N210" s="735"/>
      <c r="O210" s="159"/>
      <c r="P210" s="159"/>
    </row>
    <row r="211" spans="1:16" s="158" customFormat="1" x14ac:dyDescent="0.35">
      <c r="A211" s="733"/>
      <c r="B211" s="734"/>
      <c r="C211" s="734"/>
      <c r="D211" s="734"/>
      <c r="E211" s="734"/>
      <c r="F211" s="734"/>
      <c r="G211" s="734"/>
      <c r="H211" s="734"/>
      <c r="I211" s="734"/>
      <c r="J211" s="734"/>
      <c r="K211" s="734"/>
      <c r="L211" s="734"/>
      <c r="M211" s="734"/>
      <c r="N211" s="735"/>
      <c r="O211" s="159"/>
      <c r="P211" s="159"/>
    </row>
    <row r="212" spans="1:16" s="158" customFormat="1" x14ac:dyDescent="0.35">
      <c r="A212" s="733"/>
      <c r="B212" s="734"/>
      <c r="C212" s="734"/>
      <c r="D212" s="734"/>
      <c r="E212" s="734"/>
      <c r="F212" s="734"/>
      <c r="G212" s="734"/>
      <c r="H212" s="734"/>
      <c r="I212" s="734"/>
      <c r="J212" s="734"/>
      <c r="K212" s="734"/>
      <c r="L212" s="734"/>
      <c r="M212" s="734"/>
      <c r="N212" s="735"/>
      <c r="O212" s="159"/>
      <c r="P212" s="159"/>
    </row>
    <row r="213" spans="1:16" s="158" customFormat="1" x14ac:dyDescent="0.35">
      <c r="A213" s="733"/>
      <c r="B213" s="734"/>
      <c r="C213" s="734"/>
      <c r="D213" s="734"/>
      <c r="E213" s="734"/>
      <c r="F213" s="734"/>
      <c r="G213" s="734"/>
      <c r="H213" s="734"/>
      <c r="I213" s="734"/>
      <c r="J213" s="734"/>
      <c r="K213" s="734"/>
      <c r="L213" s="734"/>
      <c r="M213" s="734"/>
      <c r="N213" s="735"/>
      <c r="O213" s="159"/>
      <c r="P213" s="159"/>
    </row>
    <row r="214" spans="1:16" s="158" customFormat="1" x14ac:dyDescent="0.35">
      <c r="A214" s="733"/>
      <c r="B214" s="734"/>
      <c r="C214" s="734"/>
      <c r="D214" s="734"/>
      <c r="E214" s="734"/>
      <c r="F214" s="734"/>
      <c r="G214" s="734"/>
      <c r="H214" s="734"/>
      <c r="I214" s="734"/>
      <c r="J214" s="734"/>
      <c r="K214" s="734"/>
      <c r="L214" s="734"/>
      <c r="M214" s="734"/>
      <c r="N214" s="735"/>
      <c r="O214" s="159"/>
      <c r="P214" s="159"/>
    </row>
    <row r="215" spans="1:16" s="158" customFormat="1" x14ac:dyDescent="0.35">
      <c r="A215" s="733"/>
      <c r="B215" s="734"/>
      <c r="C215" s="734"/>
      <c r="D215" s="734"/>
      <c r="E215" s="734"/>
      <c r="F215" s="734"/>
      <c r="G215" s="734"/>
      <c r="H215" s="734"/>
      <c r="I215" s="734"/>
      <c r="J215" s="734"/>
      <c r="K215" s="734"/>
      <c r="L215" s="734"/>
      <c r="M215" s="734"/>
      <c r="N215" s="735"/>
      <c r="O215" s="159"/>
      <c r="P215" s="159"/>
    </row>
    <row r="216" spans="1:16" s="158" customFormat="1" x14ac:dyDescent="0.35">
      <c r="A216" s="733"/>
      <c r="B216" s="734"/>
      <c r="C216" s="734"/>
      <c r="D216" s="734"/>
      <c r="E216" s="734"/>
      <c r="F216" s="734"/>
      <c r="G216" s="734"/>
      <c r="H216" s="734"/>
      <c r="I216" s="734"/>
      <c r="J216" s="734"/>
      <c r="K216" s="734"/>
      <c r="L216" s="734"/>
      <c r="M216" s="734"/>
      <c r="N216" s="735"/>
      <c r="O216" s="159"/>
      <c r="P216" s="159"/>
    </row>
    <row r="217" spans="1:16" s="158" customFormat="1" x14ac:dyDescent="0.35">
      <c r="A217" s="733"/>
      <c r="B217" s="734"/>
      <c r="C217" s="734"/>
      <c r="D217" s="734"/>
      <c r="E217" s="734"/>
      <c r="F217" s="734"/>
      <c r="G217" s="734"/>
      <c r="H217" s="734"/>
      <c r="I217" s="734"/>
      <c r="J217" s="734"/>
      <c r="K217" s="734"/>
      <c r="L217" s="734"/>
      <c r="M217" s="734"/>
      <c r="N217" s="735"/>
      <c r="O217" s="159"/>
      <c r="P217" s="159"/>
    </row>
    <row r="218" spans="1:16" s="158" customFormat="1" x14ac:dyDescent="0.35">
      <c r="A218" s="733"/>
      <c r="B218" s="734"/>
      <c r="C218" s="734"/>
      <c r="D218" s="734"/>
      <c r="E218" s="734"/>
      <c r="F218" s="734"/>
      <c r="G218" s="734"/>
      <c r="H218" s="734"/>
      <c r="I218" s="734"/>
      <c r="J218" s="734"/>
      <c r="K218" s="734"/>
      <c r="L218" s="734"/>
      <c r="M218" s="734"/>
      <c r="N218" s="735"/>
      <c r="O218" s="159"/>
      <c r="P218" s="159"/>
    </row>
    <row r="219" spans="1:16" s="158" customFormat="1" x14ac:dyDescent="0.35">
      <c r="A219" s="733"/>
      <c r="B219" s="734"/>
      <c r="C219" s="734"/>
      <c r="D219" s="734"/>
      <c r="E219" s="734"/>
      <c r="F219" s="734"/>
      <c r="G219" s="734"/>
      <c r="H219" s="734"/>
      <c r="I219" s="734"/>
      <c r="J219" s="734"/>
      <c r="K219" s="734"/>
      <c r="L219" s="734"/>
      <c r="M219" s="734"/>
      <c r="N219" s="735"/>
      <c r="O219" s="159"/>
      <c r="P219" s="159"/>
    </row>
    <row r="220" spans="1:16" s="158" customFormat="1" x14ac:dyDescent="0.35">
      <c r="A220" s="733"/>
      <c r="B220" s="734"/>
      <c r="C220" s="734"/>
      <c r="D220" s="734"/>
      <c r="E220" s="734"/>
      <c r="F220" s="734"/>
      <c r="G220" s="734"/>
      <c r="H220" s="734"/>
      <c r="I220" s="734"/>
      <c r="J220" s="734"/>
      <c r="K220" s="734"/>
      <c r="L220" s="734"/>
      <c r="M220" s="734"/>
      <c r="N220" s="735"/>
      <c r="O220" s="159"/>
      <c r="P220" s="159"/>
    </row>
    <row r="221" spans="1:16" s="158" customFormat="1" x14ac:dyDescent="0.35">
      <c r="A221" s="733"/>
      <c r="B221" s="734"/>
      <c r="C221" s="734"/>
      <c r="D221" s="734"/>
      <c r="E221" s="734"/>
      <c r="F221" s="734"/>
      <c r="G221" s="734"/>
      <c r="H221" s="734"/>
      <c r="I221" s="734"/>
      <c r="J221" s="734"/>
      <c r="K221" s="734"/>
      <c r="L221" s="734"/>
      <c r="M221" s="734"/>
      <c r="N221" s="735"/>
      <c r="O221" s="159"/>
      <c r="P221" s="159"/>
    </row>
    <row r="222" spans="1:16" s="158" customFormat="1" x14ac:dyDescent="0.35">
      <c r="A222" s="733"/>
      <c r="B222" s="734"/>
      <c r="C222" s="734"/>
      <c r="D222" s="734"/>
      <c r="E222" s="734"/>
      <c r="F222" s="734"/>
      <c r="G222" s="734"/>
      <c r="H222" s="734"/>
      <c r="I222" s="734"/>
      <c r="J222" s="734"/>
      <c r="K222" s="734"/>
      <c r="L222" s="734"/>
      <c r="M222" s="734"/>
      <c r="N222" s="735"/>
      <c r="O222" s="159"/>
      <c r="P222" s="15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DCA08-232A-4990-94B0-6BFB4968DFE7}">
  <dimension ref="A1:Q227"/>
  <sheetViews>
    <sheetView showGridLines="0" zoomScale="60" zoomScaleNormal="60" workbookViewId="0">
      <selection activeCell="B3" sqref="B3:G3"/>
    </sheetView>
  </sheetViews>
  <sheetFormatPr defaultColWidth="9.453125" defaultRowHeight="14.5" outlineLevelCol="1" x14ac:dyDescent="0.35"/>
  <cols>
    <col min="1" max="1" width="40.54296875" style="1" customWidth="1"/>
    <col min="2" max="14" width="17.54296875" customWidth="1" outlineLevel="1"/>
    <col min="15" max="16" width="75.54296875" customWidth="1" outlineLevel="1"/>
    <col min="17" max="17" width="2.54296875" style="126" customWidth="1"/>
  </cols>
  <sheetData>
    <row r="1" spans="1:16" ht="15" thickBot="1" x14ac:dyDescent="0.4"/>
    <row r="2" spans="1:16" ht="42" customHeight="1" x14ac:dyDescent="0.35">
      <c r="A2" s="127"/>
      <c r="B2" s="128"/>
      <c r="C2" s="129"/>
      <c r="D2" s="129"/>
      <c r="E2" s="129"/>
      <c r="F2" s="129"/>
      <c r="G2" s="130"/>
      <c r="H2" s="130"/>
      <c r="I2" s="130"/>
      <c r="J2" s="130"/>
      <c r="K2" s="130"/>
      <c r="L2" s="130"/>
      <c r="M2" s="130"/>
      <c r="N2" s="131"/>
      <c r="O2" s="132"/>
      <c r="P2" s="133"/>
    </row>
    <row r="3" spans="1:16" ht="128.25" customHeight="1" x14ac:dyDescent="0.35">
      <c r="A3" s="8" t="s">
        <v>927</v>
      </c>
      <c r="B3" s="9" t="s">
        <v>6</v>
      </c>
      <c r="C3" s="9" t="s">
        <v>7</v>
      </c>
      <c r="D3" s="9" t="s">
        <v>8</v>
      </c>
      <c r="E3" s="9" t="s">
        <v>9</v>
      </c>
      <c r="F3" s="9" t="s">
        <v>10</v>
      </c>
      <c r="G3" s="9" t="s">
        <v>11</v>
      </c>
      <c r="H3" s="9" t="s">
        <v>12</v>
      </c>
      <c r="I3" s="9" t="s">
        <v>13</v>
      </c>
      <c r="J3" s="9" t="s">
        <v>14</v>
      </c>
      <c r="K3" s="9" t="s">
        <v>15</v>
      </c>
      <c r="L3" s="9" t="s">
        <v>16</v>
      </c>
      <c r="M3" s="9" t="s">
        <v>17</v>
      </c>
      <c r="N3" s="10" t="s">
        <v>18</v>
      </c>
      <c r="O3" s="11" t="s">
        <v>3</v>
      </c>
      <c r="P3" s="135" t="s">
        <v>4</v>
      </c>
    </row>
    <row r="4" spans="1:16" ht="22" thickBot="1" x14ac:dyDescent="0.4">
      <c r="A4" s="136"/>
      <c r="B4" s="137"/>
      <c r="C4" s="137"/>
      <c r="D4" s="137"/>
      <c r="E4" s="137"/>
      <c r="F4" s="137"/>
      <c r="G4" s="137"/>
      <c r="H4" s="589"/>
      <c r="I4" s="589"/>
      <c r="J4" s="589"/>
      <c r="K4" s="589"/>
      <c r="L4" s="589"/>
      <c r="M4" s="137"/>
      <c r="N4" s="138"/>
      <c r="O4" s="139"/>
      <c r="P4" s="139"/>
    </row>
    <row r="5" spans="1:16" ht="16" x14ac:dyDescent="0.35">
      <c r="A5" s="590"/>
      <c r="B5" s="591"/>
      <c r="C5" s="591"/>
      <c r="D5" s="591"/>
      <c r="E5" s="591"/>
      <c r="F5" s="591"/>
      <c r="G5" s="591"/>
      <c r="H5" s="591"/>
      <c r="I5" s="591"/>
      <c r="J5" s="591"/>
      <c r="K5" s="591"/>
      <c r="L5" s="591"/>
      <c r="M5" s="591"/>
      <c r="N5" s="592"/>
      <c r="O5" s="593"/>
      <c r="P5" s="593"/>
    </row>
    <row r="6" spans="1:16" ht="32" x14ac:dyDescent="0.35">
      <c r="A6" s="594" t="s">
        <v>928</v>
      </c>
      <c r="B6" s="595"/>
      <c r="C6" s="595"/>
      <c r="D6" s="595"/>
      <c r="E6" s="595"/>
      <c r="F6" s="595"/>
      <c r="G6" s="595"/>
      <c r="H6" s="595"/>
      <c r="I6" s="595"/>
      <c r="J6" s="595"/>
      <c r="K6" s="595"/>
      <c r="L6" s="595"/>
      <c r="M6" s="595"/>
      <c r="N6" s="596"/>
      <c r="O6" s="595"/>
      <c r="P6" s="595"/>
    </row>
    <row r="7" spans="1:16" ht="16" x14ac:dyDescent="0.35">
      <c r="A7" s="590"/>
      <c r="B7" s="591"/>
      <c r="C7" s="591"/>
      <c r="D7" s="591"/>
      <c r="E7" s="591"/>
      <c r="F7" s="591"/>
      <c r="G7" s="591"/>
      <c r="H7" s="591"/>
      <c r="I7" s="591"/>
      <c r="J7" s="591"/>
      <c r="K7" s="591"/>
      <c r="L7" s="591"/>
      <c r="M7" s="591"/>
      <c r="N7" s="592"/>
      <c r="O7" s="593"/>
      <c r="P7" s="593"/>
    </row>
    <row r="8" spans="1:16" ht="16" x14ac:dyDescent="0.35">
      <c r="A8" s="315" t="s">
        <v>929</v>
      </c>
      <c r="B8" s="327"/>
      <c r="C8" s="327"/>
      <c r="D8" s="327"/>
      <c r="E8" s="327"/>
      <c r="F8" s="327"/>
      <c r="G8" s="327"/>
      <c r="H8" s="327"/>
      <c r="I8" s="327"/>
      <c r="J8" s="327"/>
      <c r="K8" s="327"/>
      <c r="L8" s="327"/>
      <c r="M8" s="327"/>
      <c r="N8" s="597"/>
      <c r="O8" s="317"/>
      <c r="P8" s="317"/>
    </row>
    <row r="9" spans="1:16" ht="112" x14ac:dyDescent="0.35">
      <c r="A9" s="598" t="s">
        <v>929</v>
      </c>
      <c r="B9" s="599">
        <v>282</v>
      </c>
      <c r="C9" s="599">
        <v>0</v>
      </c>
      <c r="D9" s="599">
        <v>0</v>
      </c>
      <c r="E9" s="599">
        <v>0</v>
      </c>
      <c r="F9" s="599">
        <v>0</v>
      </c>
      <c r="G9" s="600">
        <v>282</v>
      </c>
      <c r="H9" s="599">
        <v>282</v>
      </c>
      <c r="I9" s="599">
        <v>0</v>
      </c>
      <c r="J9" s="599">
        <v>0</v>
      </c>
      <c r="K9" s="599">
        <v>0</v>
      </c>
      <c r="L9" s="599">
        <v>0</v>
      </c>
      <c r="M9" s="600">
        <v>282</v>
      </c>
      <c r="N9" s="601">
        <v>0</v>
      </c>
      <c r="O9" s="75" t="s">
        <v>930</v>
      </c>
      <c r="P9" s="602" t="s">
        <v>931</v>
      </c>
    </row>
    <row r="10" spans="1:16" ht="16.25" customHeight="1" x14ac:dyDescent="0.35">
      <c r="A10" s="322" t="s">
        <v>932</v>
      </c>
      <c r="B10" s="288">
        <v>282</v>
      </c>
      <c r="C10" s="288">
        <v>0</v>
      </c>
      <c r="D10" s="288">
        <v>0</v>
      </c>
      <c r="E10" s="288">
        <v>0</v>
      </c>
      <c r="F10" s="288">
        <v>0</v>
      </c>
      <c r="G10" s="288">
        <v>282</v>
      </c>
      <c r="H10" s="288">
        <v>282</v>
      </c>
      <c r="I10" s="288">
        <v>0</v>
      </c>
      <c r="J10" s="288">
        <v>0</v>
      </c>
      <c r="K10" s="288">
        <v>0</v>
      </c>
      <c r="L10" s="288">
        <v>0</v>
      </c>
      <c r="M10" s="288">
        <v>282</v>
      </c>
      <c r="N10" s="603">
        <v>0</v>
      </c>
      <c r="O10" s="604"/>
      <c r="P10" s="605"/>
    </row>
    <row r="11" spans="1:16" ht="16" x14ac:dyDescent="0.35">
      <c r="A11" s="590"/>
      <c r="B11" s="606"/>
      <c r="C11" s="606"/>
      <c r="D11" s="606"/>
      <c r="E11" s="606"/>
      <c r="F11" s="606"/>
      <c r="G11" s="606"/>
      <c r="H11" s="606"/>
      <c r="I11" s="606"/>
      <c r="J11" s="606"/>
      <c r="K11" s="606"/>
      <c r="L11" s="606"/>
      <c r="M11" s="606"/>
      <c r="N11" s="607"/>
      <c r="O11" s="578"/>
      <c r="P11" s="578"/>
    </row>
    <row r="12" spans="1:16" ht="16" x14ac:dyDescent="0.35">
      <c r="A12" s="315" t="s">
        <v>933</v>
      </c>
      <c r="B12" s="166"/>
      <c r="C12" s="166"/>
      <c r="D12" s="166"/>
      <c r="E12" s="166"/>
      <c r="F12" s="166"/>
      <c r="G12" s="166"/>
      <c r="H12" s="166"/>
      <c r="I12" s="166"/>
      <c r="J12" s="166"/>
      <c r="K12" s="166"/>
      <c r="L12" s="166"/>
      <c r="M12" s="166"/>
      <c r="N12" s="597"/>
      <c r="O12" s="608"/>
      <c r="P12" s="608"/>
    </row>
    <row r="13" spans="1:16" ht="96" x14ac:dyDescent="0.35">
      <c r="A13" s="598" t="s">
        <v>933</v>
      </c>
      <c r="B13" s="599">
        <v>142</v>
      </c>
      <c r="C13" s="599">
        <v>0</v>
      </c>
      <c r="D13" s="599">
        <v>0</v>
      </c>
      <c r="E13" s="599">
        <v>0</v>
      </c>
      <c r="F13" s="599">
        <v>0</v>
      </c>
      <c r="G13" s="600">
        <v>142</v>
      </c>
      <c r="H13" s="599">
        <v>142</v>
      </c>
      <c r="I13" s="599">
        <v>0</v>
      </c>
      <c r="J13" s="599">
        <v>0</v>
      </c>
      <c r="K13" s="599">
        <v>0</v>
      </c>
      <c r="L13" s="599">
        <v>0</v>
      </c>
      <c r="M13" s="600">
        <v>142</v>
      </c>
      <c r="N13" s="601">
        <v>0</v>
      </c>
      <c r="O13" s="75" t="s">
        <v>934</v>
      </c>
      <c r="P13" s="602" t="s">
        <v>931</v>
      </c>
    </row>
    <row r="14" spans="1:16" ht="32" x14ac:dyDescent="0.35">
      <c r="A14" s="322" t="s">
        <v>935</v>
      </c>
      <c r="B14" s="288">
        <v>142</v>
      </c>
      <c r="C14" s="288">
        <v>0</v>
      </c>
      <c r="D14" s="288">
        <v>0</v>
      </c>
      <c r="E14" s="288">
        <v>0</v>
      </c>
      <c r="F14" s="288">
        <v>0</v>
      </c>
      <c r="G14" s="288">
        <v>142</v>
      </c>
      <c r="H14" s="288">
        <v>142</v>
      </c>
      <c r="I14" s="288">
        <v>0</v>
      </c>
      <c r="J14" s="288">
        <v>0</v>
      </c>
      <c r="K14" s="288">
        <v>0</v>
      </c>
      <c r="L14" s="288">
        <v>0</v>
      </c>
      <c r="M14" s="288">
        <v>142</v>
      </c>
      <c r="N14" s="603">
        <v>0</v>
      </c>
      <c r="O14" s="604"/>
      <c r="P14" s="605"/>
    </row>
    <row r="15" spans="1:16" ht="16" x14ac:dyDescent="0.35">
      <c r="A15" s="590"/>
      <c r="B15" s="606"/>
      <c r="C15" s="606"/>
      <c r="D15" s="606"/>
      <c r="E15" s="606"/>
      <c r="F15" s="606"/>
      <c r="G15" s="606"/>
      <c r="H15" s="606"/>
      <c r="I15" s="606"/>
      <c r="J15" s="606"/>
      <c r="K15" s="606"/>
      <c r="L15" s="606"/>
      <c r="M15" s="606"/>
      <c r="N15" s="607"/>
      <c r="O15" s="578"/>
      <c r="P15" s="578"/>
    </row>
    <row r="16" spans="1:16" ht="16" x14ac:dyDescent="0.35">
      <c r="A16" s="315" t="s">
        <v>936</v>
      </c>
      <c r="B16" s="166"/>
      <c r="C16" s="166"/>
      <c r="D16" s="166"/>
      <c r="E16" s="166"/>
      <c r="F16" s="166"/>
      <c r="G16" s="166"/>
      <c r="H16" s="166"/>
      <c r="I16" s="166"/>
      <c r="J16" s="166"/>
      <c r="K16" s="166"/>
      <c r="L16" s="166"/>
      <c r="M16" s="166"/>
      <c r="N16" s="597"/>
      <c r="O16" s="608"/>
      <c r="P16" s="608"/>
    </row>
    <row r="17" spans="1:17" ht="81" customHeight="1" x14ac:dyDescent="0.35">
      <c r="A17" s="598" t="s">
        <v>936</v>
      </c>
      <c r="B17" s="599">
        <v>50.7</v>
      </c>
      <c r="C17" s="599">
        <v>0</v>
      </c>
      <c r="D17" s="599">
        <v>0</v>
      </c>
      <c r="E17" s="599">
        <v>0</v>
      </c>
      <c r="F17" s="599">
        <v>0</v>
      </c>
      <c r="G17" s="600">
        <v>50.7</v>
      </c>
      <c r="H17" s="599">
        <v>50.7</v>
      </c>
      <c r="I17" s="599">
        <v>0</v>
      </c>
      <c r="J17" s="599">
        <v>0</v>
      </c>
      <c r="K17" s="599">
        <v>0</v>
      </c>
      <c r="L17" s="599">
        <v>0</v>
      </c>
      <c r="M17" s="600">
        <v>50.7</v>
      </c>
      <c r="N17" s="601">
        <v>0</v>
      </c>
      <c r="O17" s="75" t="s">
        <v>937</v>
      </c>
      <c r="P17" s="602" t="s">
        <v>931</v>
      </c>
    </row>
    <row r="18" spans="1:17" ht="16" x14ac:dyDescent="0.35">
      <c r="A18" s="322" t="s">
        <v>938</v>
      </c>
      <c r="B18" s="288">
        <v>50.7</v>
      </c>
      <c r="C18" s="288">
        <v>0</v>
      </c>
      <c r="D18" s="288">
        <v>0</v>
      </c>
      <c r="E18" s="288">
        <v>0</v>
      </c>
      <c r="F18" s="288">
        <v>0</v>
      </c>
      <c r="G18" s="288">
        <v>50.7</v>
      </c>
      <c r="H18" s="288">
        <v>50.7</v>
      </c>
      <c r="I18" s="288">
        <v>0</v>
      </c>
      <c r="J18" s="288">
        <v>0</v>
      </c>
      <c r="K18" s="288">
        <v>0</v>
      </c>
      <c r="L18" s="288">
        <v>0</v>
      </c>
      <c r="M18" s="288">
        <v>50.7</v>
      </c>
      <c r="N18" s="603">
        <v>0</v>
      </c>
      <c r="O18" s="604"/>
      <c r="P18" s="605"/>
    </row>
    <row r="19" spans="1:17" ht="16" x14ac:dyDescent="0.35">
      <c r="A19" s="590"/>
      <c r="B19" s="606"/>
      <c r="C19" s="606"/>
      <c r="D19" s="606"/>
      <c r="E19" s="606"/>
      <c r="F19" s="606"/>
      <c r="G19" s="606"/>
      <c r="H19" s="606"/>
      <c r="I19" s="606"/>
      <c r="J19" s="606"/>
      <c r="K19" s="606"/>
      <c r="L19" s="606"/>
      <c r="M19" s="606"/>
      <c r="N19" s="607"/>
      <c r="O19" s="578"/>
      <c r="P19" s="578"/>
    </row>
    <row r="20" spans="1:17" ht="16" x14ac:dyDescent="0.35">
      <c r="A20" s="315" t="s">
        <v>939</v>
      </c>
      <c r="B20" s="166"/>
      <c r="C20" s="166"/>
      <c r="D20" s="166"/>
      <c r="E20" s="166"/>
      <c r="F20" s="166"/>
      <c r="G20" s="166"/>
      <c r="H20" s="166"/>
      <c r="I20" s="166"/>
      <c r="J20" s="166"/>
      <c r="K20" s="166"/>
      <c r="L20" s="166"/>
      <c r="M20" s="166"/>
      <c r="N20" s="597"/>
      <c r="O20" s="608"/>
      <c r="P20" s="608"/>
    </row>
    <row r="21" spans="1:17" ht="48" x14ac:dyDescent="0.35">
      <c r="A21" s="598" t="s">
        <v>939</v>
      </c>
      <c r="B21" s="599">
        <v>0</v>
      </c>
      <c r="C21" s="599">
        <v>0</v>
      </c>
      <c r="D21" s="599">
        <v>1.8</v>
      </c>
      <c r="E21" s="599">
        <v>0</v>
      </c>
      <c r="F21" s="599">
        <v>0</v>
      </c>
      <c r="G21" s="600">
        <v>1.8</v>
      </c>
      <c r="H21" s="599">
        <v>0</v>
      </c>
      <c r="I21" s="599">
        <v>0</v>
      </c>
      <c r="J21" s="599">
        <v>0</v>
      </c>
      <c r="K21" s="599">
        <v>0</v>
      </c>
      <c r="L21" s="599">
        <v>0</v>
      </c>
      <c r="M21" s="600">
        <v>0</v>
      </c>
      <c r="N21" s="601">
        <v>-1</v>
      </c>
      <c r="O21" s="75" t="s">
        <v>940</v>
      </c>
      <c r="P21" s="602" t="s">
        <v>941</v>
      </c>
    </row>
    <row r="22" spans="1:17" ht="16" x14ac:dyDescent="0.35">
      <c r="A22" s="322" t="s">
        <v>942</v>
      </c>
      <c r="B22" s="288">
        <v>0</v>
      </c>
      <c r="C22" s="288">
        <v>0</v>
      </c>
      <c r="D22" s="288">
        <v>1.8</v>
      </c>
      <c r="E22" s="288">
        <v>0</v>
      </c>
      <c r="F22" s="288">
        <v>0</v>
      </c>
      <c r="G22" s="288">
        <v>1.8</v>
      </c>
      <c r="H22" s="288">
        <v>0</v>
      </c>
      <c r="I22" s="288">
        <v>0</v>
      </c>
      <c r="J22" s="288">
        <v>0</v>
      </c>
      <c r="K22" s="288">
        <v>0</v>
      </c>
      <c r="L22" s="288">
        <v>0</v>
      </c>
      <c r="M22" s="288">
        <v>0</v>
      </c>
      <c r="N22" s="603">
        <v>-1</v>
      </c>
      <c r="O22" s="604"/>
      <c r="P22" s="605"/>
    </row>
    <row r="23" spans="1:17" ht="16" x14ac:dyDescent="0.35">
      <c r="A23" s="590"/>
      <c r="B23" s="609"/>
      <c r="C23" s="609"/>
      <c r="D23" s="609"/>
      <c r="E23" s="609"/>
      <c r="F23" s="609"/>
      <c r="G23" s="609"/>
      <c r="H23" s="609"/>
      <c r="I23" s="609"/>
      <c r="J23" s="609"/>
      <c r="K23" s="609"/>
      <c r="L23" s="609"/>
      <c r="M23" s="609"/>
      <c r="N23" s="610"/>
      <c r="O23" s="285"/>
      <c r="P23" s="611"/>
    </row>
    <row r="24" spans="1:17" ht="16" x14ac:dyDescent="0.35">
      <c r="A24" s="527" t="s">
        <v>943</v>
      </c>
      <c r="B24" s="612"/>
      <c r="C24" s="612"/>
      <c r="D24" s="612"/>
      <c r="E24" s="612"/>
      <c r="F24" s="612"/>
      <c r="G24" s="612"/>
      <c r="H24" s="612"/>
      <c r="I24" s="612"/>
      <c r="J24" s="612"/>
      <c r="K24" s="612"/>
      <c r="L24" s="612"/>
      <c r="M24" s="612"/>
      <c r="N24" s="612"/>
      <c r="O24" s="612"/>
      <c r="P24" s="612"/>
    </row>
    <row r="25" spans="1:17" ht="80" x14ac:dyDescent="0.35">
      <c r="A25" s="598" t="s">
        <v>944</v>
      </c>
      <c r="B25" s="599">
        <v>0</v>
      </c>
      <c r="C25" s="599">
        <v>0</v>
      </c>
      <c r="D25" s="599">
        <v>4.47</v>
      </c>
      <c r="E25" s="599">
        <v>0</v>
      </c>
      <c r="F25" s="599">
        <v>0</v>
      </c>
      <c r="G25" s="600">
        <v>4.47</v>
      </c>
      <c r="H25" s="599">
        <v>0</v>
      </c>
      <c r="I25" s="599">
        <v>0</v>
      </c>
      <c r="J25" s="599">
        <v>23</v>
      </c>
      <c r="K25" s="599">
        <v>0</v>
      </c>
      <c r="L25" s="599">
        <v>0</v>
      </c>
      <c r="M25" s="600">
        <v>23</v>
      </c>
      <c r="N25" s="601">
        <v>4.1454138702460854</v>
      </c>
      <c r="O25" s="75" t="s">
        <v>945</v>
      </c>
      <c r="P25" s="602" t="s">
        <v>946</v>
      </c>
    </row>
    <row r="26" spans="1:17" ht="32" x14ac:dyDescent="0.35">
      <c r="A26" s="613" t="s">
        <v>947</v>
      </c>
      <c r="B26" s="170">
        <v>0</v>
      </c>
      <c r="C26" s="170">
        <v>0</v>
      </c>
      <c r="D26" s="170">
        <v>4.47</v>
      </c>
      <c r="E26" s="170">
        <v>0</v>
      </c>
      <c r="F26" s="170">
        <v>0</v>
      </c>
      <c r="G26" s="170">
        <v>4.47</v>
      </c>
      <c r="H26" s="170">
        <v>0</v>
      </c>
      <c r="I26" s="170">
        <v>0</v>
      </c>
      <c r="J26" s="170">
        <v>23</v>
      </c>
      <c r="K26" s="170">
        <v>0</v>
      </c>
      <c r="L26" s="170">
        <v>0</v>
      </c>
      <c r="M26" s="170">
        <v>23</v>
      </c>
      <c r="N26" s="603">
        <v>4.1454138702460854</v>
      </c>
      <c r="O26" s="614"/>
      <c r="P26" s="615"/>
    </row>
    <row r="27" spans="1:17" ht="16" x14ac:dyDescent="0.35">
      <c r="A27" s="616"/>
      <c r="B27" s="617"/>
      <c r="C27" s="617"/>
      <c r="D27" s="617"/>
      <c r="E27" s="617"/>
      <c r="F27" s="617"/>
      <c r="G27" s="617"/>
      <c r="H27" s="617"/>
      <c r="I27" s="617"/>
      <c r="J27" s="617"/>
      <c r="K27" s="617"/>
      <c r="L27" s="617"/>
      <c r="M27" s="617"/>
      <c r="N27" s="618"/>
      <c r="O27" s="619"/>
      <c r="P27" s="619"/>
      <c r="Q27" s="236"/>
    </row>
    <row r="28" spans="1:17" ht="16" x14ac:dyDescent="0.35">
      <c r="A28" s="527" t="s">
        <v>948</v>
      </c>
      <c r="B28" s="612"/>
      <c r="C28" s="612"/>
      <c r="D28" s="612"/>
      <c r="E28" s="612"/>
      <c r="F28" s="612"/>
      <c r="G28" s="612"/>
      <c r="H28" s="612"/>
      <c r="I28" s="612"/>
      <c r="J28" s="612"/>
      <c r="K28" s="612"/>
      <c r="L28" s="612"/>
      <c r="M28" s="612"/>
      <c r="N28" s="612"/>
      <c r="O28" s="612"/>
      <c r="P28" s="612"/>
    </row>
    <row r="29" spans="1:17" ht="64" x14ac:dyDescent="0.35">
      <c r="A29" s="598" t="s">
        <v>948</v>
      </c>
      <c r="B29" s="599">
        <v>1</v>
      </c>
      <c r="C29" s="599">
        <v>0</v>
      </c>
      <c r="D29" s="599">
        <v>0</v>
      </c>
      <c r="E29" s="599">
        <v>0</v>
      </c>
      <c r="F29" s="599">
        <v>0</v>
      </c>
      <c r="G29" s="600">
        <v>1</v>
      </c>
      <c r="H29" s="599">
        <v>0.85</v>
      </c>
      <c r="I29" s="599">
        <v>0</v>
      </c>
      <c r="J29" s="599">
        <v>0</v>
      </c>
      <c r="K29" s="599">
        <v>0</v>
      </c>
      <c r="L29" s="599">
        <v>0</v>
      </c>
      <c r="M29" s="600">
        <v>0.85</v>
      </c>
      <c r="N29" s="601">
        <v>-0.15000000000000002</v>
      </c>
      <c r="O29" s="75" t="s">
        <v>949</v>
      </c>
      <c r="P29" s="602" t="s">
        <v>931</v>
      </c>
    </row>
    <row r="30" spans="1:17" ht="16" x14ac:dyDescent="0.35">
      <c r="A30" s="613" t="s">
        <v>950</v>
      </c>
      <c r="B30" s="170">
        <v>1</v>
      </c>
      <c r="C30" s="170">
        <v>0</v>
      </c>
      <c r="D30" s="170">
        <v>0</v>
      </c>
      <c r="E30" s="170">
        <v>0</v>
      </c>
      <c r="F30" s="170">
        <v>0</v>
      </c>
      <c r="G30" s="170">
        <v>1</v>
      </c>
      <c r="H30" s="170">
        <v>0.85</v>
      </c>
      <c r="I30" s="170">
        <v>0</v>
      </c>
      <c r="J30" s="170">
        <v>0</v>
      </c>
      <c r="K30" s="170">
        <v>0</v>
      </c>
      <c r="L30" s="170">
        <v>0</v>
      </c>
      <c r="M30" s="170">
        <v>0.85</v>
      </c>
      <c r="N30" s="603">
        <v>-0.15000000000000002</v>
      </c>
      <c r="O30" s="614"/>
      <c r="P30" s="615"/>
    </row>
    <row r="31" spans="1:17" ht="16" x14ac:dyDescent="0.35">
      <c r="A31" s="590"/>
      <c r="B31" s="606"/>
      <c r="C31" s="606"/>
      <c r="D31" s="606"/>
      <c r="E31" s="606"/>
      <c r="F31" s="606"/>
      <c r="G31" s="606"/>
      <c r="H31" s="606"/>
      <c r="I31" s="606"/>
      <c r="J31" s="606"/>
      <c r="K31" s="606"/>
      <c r="L31" s="606"/>
      <c r="M31" s="606"/>
      <c r="N31" s="607"/>
      <c r="O31" s="578"/>
      <c r="P31" s="578"/>
    </row>
    <row r="32" spans="1:17" ht="16" x14ac:dyDescent="0.35">
      <c r="A32" s="315" t="s">
        <v>951</v>
      </c>
      <c r="B32" s="166"/>
      <c r="C32" s="166"/>
      <c r="D32" s="166"/>
      <c r="E32" s="166"/>
      <c r="F32" s="166"/>
      <c r="G32" s="166"/>
      <c r="H32" s="166"/>
      <c r="I32" s="166"/>
      <c r="J32" s="166"/>
      <c r="K32" s="166"/>
      <c r="L32" s="166"/>
      <c r="M32" s="166"/>
      <c r="N32" s="597"/>
      <c r="O32" s="608"/>
      <c r="P32" s="608"/>
    </row>
    <row r="33" spans="1:16" ht="80" x14ac:dyDescent="0.35">
      <c r="A33" s="598" t="s">
        <v>952</v>
      </c>
      <c r="B33" s="599">
        <v>6.7859999999999996</v>
      </c>
      <c r="C33" s="599">
        <v>0</v>
      </c>
      <c r="D33" s="599">
        <v>0</v>
      </c>
      <c r="E33" s="599">
        <v>0</v>
      </c>
      <c r="F33" s="599">
        <v>0</v>
      </c>
      <c r="G33" s="600">
        <v>6.7859999999999996</v>
      </c>
      <c r="H33" s="599">
        <v>6.9</v>
      </c>
      <c r="I33" s="599">
        <v>0</v>
      </c>
      <c r="J33" s="599">
        <v>0</v>
      </c>
      <c r="K33" s="599">
        <v>0</v>
      </c>
      <c r="L33" s="599">
        <v>0</v>
      </c>
      <c r="M33" s="600">
        <v>6.9</v>
      </c>
      <c r="N33" s="601">
        <v>1.679929266136174E-2</v>
      </c>
      <c r="O33" s="75" t="s">
        <v>953</v>
      </c>
      <c r="P33" s="602" t="s">
        <v>954</v>
      </c>
    </row>
    <row r="34" spans="1:16" ht="48" x14ac:dyDescent="0.35">
      <c r="A34" s="620" t="s">
        <v>955</v>
      </c>
      <c r="B34" s="621">
        <v>0</v>
      </c>
      <c r="C34" s="621">
        <v>0</v>
      </c>
      <c r="D34" s="621">
        <v>3.4</v>
      </c>
      <c r="E34" s="621">
        <v>0</v>
      </c>
      <c r="F34" s="621">
        <v>0</v>
      </c>
      <c r="G34" s="622">
        <v>3.4</v>
      </c>
      <c r="H34" s="599">
        <v>0</v>
      </c>
      <c r="I34" s="599">
        <v>0</v>
      </c>
      <c r="J34" s="599">
        <v>3.5</v>
      </c>
      <c r="K34" s="599">
        <v>0</v>
      </c>
      <c r="L34" s="599">
        <v>0</v>
      </c>
      <c r="M34" s="622">
        <v>3.5</v>
      </c>
      <c r="N34" s="601">
        <v>2.941176470588238E-2</v>
      </c>
      <c r="O34" s="466" t="s">
        <v>956</v>
      </c>
      <c r="P34" s="446" t="s">
        <v>954</v>
      </c>
    </row>
    <row r="35" spans="1:16" ht="32" x14ac:dyDescent="0.35">
      <c r="A35" s="620" t="s">
        <v>957</v>
      </c>
      <c r="B35" s="621">
        <v>0</v>
      </c>
      <c r="C35" s="621">
        <v>0</v>
      </c>
      <c r="D35" s="621">
        <v>0</v>
      </c>
      <c r="E35" s="621">
        <v>0</v>
      </c>
      <c r="F35" s="621">
        <v>0</v>
      </c>
      <c r="G35" s="622">
        <v>0</v>
      </c>
      <c r="H35" s="599">
        <v>0</v>
      </c>
      <c r="I35" s="599">
        <v>0</v>
      </c>
      <c r="J35" s="599">
        <v>0</v>
      </c>
      <c r="K35" s="599">
        <v>0</v>
      </c>
      <c r="L35" s="599">
        <v>0</v>
      </c>
      <c r="M35" s="622">
        <v>0</v>
      </c>
      <c r="N35" s="601" t="s">
        <v>50</v>
      </c>
      <c r="O35" s="466" t="s">
        <v>237</v>
      </c>
      <c r="P35" s="446" t="s">
        <v>237</v>
      </c>
    </row>
    <row r="36" spans="1:16" ht="32" x14ac:dyDescent="0.35">
      <c r="A36" s="620" t="s">
        <v>958</v>
      </c>
      <c r="B36" s="621">
        <v>0</v>
      </c>
      <c r="C36" s="621">
        <v>0</v>
      </c>
      <c r="D36" s="621">
        <v>0</v>
      </c>
      <c r="E36" s="621">
        <v>0</v>
      </c>
      <c r="F36" s="621">
        <v>0</v>
      </c>
      <c r="G36" s="622">
        <v>0</v>
      </c>
      <c r="H36" s="599">
        <v>0</v>
      </c>
      <c r="I36" s="599">
        <v>0</v>
      </c>
      <c r="J36" s="599">
        <v>0</v>
      </c>
      <c r="K36" s="599">
        <v>0</v>
      </c>
      <c r="L36" s="599">
        <v>0</v>
      </c>
      <c r="M36" s="622">
        <v>0</v>
      </c>
      <c r="N36" s="623" t="s">
        <v>50</v>
      </c>
      <c r="O36" s="466" t="s">
        <v>237</v>
      </c>
      <c r="P36" s="446" t="s">
        <v>237</v>
      </c>
    </row>
    <row r="37" spans="1:16" ht="16" x14ac:dyDescent="0.35">
      <c r="A37" s="322" t="s">
        <v>959</v>
      </c>
      <c r="B37" s="288">
        <v>6.7859999999999996</v>
      </c>
      <c r="C37" s="288">
        <v>0</v>
      </c>
      <c r="D37" s="288">
        <v>3.4</v>
      </c>
      <c r="E37" s="288">
        <v>0</v>
      </c>
      <c r="F37" s="288">
        <v>0</v>
      </c>
      <c r="G37" s="288">
        <v>10.186</v>
      </c>
      <c r="H37" s="288">
        <v>6.9</v>
      </c>
      <c r="I37" s="288">
        <v>0</v>
      </c>
      <c r="J37" s="288">
        <v>3.5</v>
      </c>
      <c r="K37" s="288">
        <v>0</v>
      </c>
      <c r="L37" s="288">
        <v>0</v>
      </c>
      <c r="M37" s="288">
        <v>10.4</v>
      </c>
      <c r="N37" s="603">
        <v>2.1009228352640921E-2</v>
      </c>
      <c r="O37" s="604"/>
      <c r="P37" s="605"/>
    </row>
    <row r="38" spans="1:16" ht="16" x14ac:dyDescent="0.35">
      <c r="A38" s="590"/>
      <c r="B38" s="609"/>
      <c r="C38" s="609"/>
      <c r="D38" s="609"/>
      <c r="E38" s="609"/>
      <c r="F38" s="609"/>
      <c r="G38" s="609"/>
      <c r="H38" s="609"/>
      <c r="I38" s="609"/>
      <c r="J38" s="609"/>
      <c r="K38" s="609"/>
      <c r="L38" s="609"/>
      <c r="M38" s="609"/>
      <c r="N38" s="610"/>
      <c r="O38" s="578"/>
      <c r="P38" s="578"/>
    </row>
    <row r="39" spans="1:16" ht="32" x14ac:dyDescent="0.35">
      <c r="A39" s="624" t="s">
        <v>960</v>
      </c>
      <c r="B39" s="625"/>
      <c r="C39" s="625"/>
      <c r="D39" s="625"/>
      <c r="E39" s="625"/>
      <c r="F39" s="625"/>
      <c r="G39" s="625"/>
      <c r="H39" s="625"/>
      <c r="I39" s="625"/>
      <c r="J39" s="625"/>
      <c r="K39" s="625"/>
      <c r="L39" s="625"/>
      <c r="M39" s="625"/>
      <c r="N39" s="625"/>
      <c r="O39" s="625"/>
      <c r="P39" s="625"/>
    </row>
    <row r="40" spans="1:16" ht="80" x14ac:dyDescent="0.35">
      <c r="A40" s="598" t="s">
        <v>960</v>
      </c>
      <c r="B40" s="599">
        <v>65.5</v>
      </c>
      <c r="C40" s="599">
        <v>0</v>
      </c>
      <c r="D40" s="599">
        <v>0</v>
      </c>
      <c r="E40" s="599">
        <v>0</v>
      </c>
      <c r="F40" s="599">
        <v>0</v>
      </c>
      <c r="G40" s="600">
        <v>65.5</v>
      </c>
      <c r="H40" s="599">
        <v>65.5</v>
      </c>
      <c r="I40" s="599">
        <v>0</v>
      </c>
      <c r="J40" s="599">
        <v>0</v>
      </c>
      <c r="K40" s="599">
        <v>0</v>
      </c>
      <c r="L40" s="599">
        <v>0</v>
      </c>
      <c r="M40" s="600">
        <v>65.5</v>
      </c>
      <c r="N40" s="601">
        <v>0</v>
      </c>
      <c r="O40" s="75" t="s">
        <v>961</v>
      </c>
      <c r="P40" s="602" t="s">
        <v>931</v>
      </c>
    </row>
    <row r="41" spans="1:16" ht="32" x14ac:dyDescent="0.35">
      <c r="A41" s="322" t="s">
        <v>962</v>
      </c>
      <c r="B41" s="288">
        <v>65.5</v>
      </c>
      <c r="C41" s="288">
        <v>0</v>
      </c>
      <c r="D41" s="288">
        <v>0</v>
      </c>
      <c r="E41" s="288">
        <v>0</v>
      </c>
      <c r="F41" s="288">
        <v>0</v>
      </c>
      <c r="G41" s="288">
        <v>65.5</v>
      </c>
      <c r="H41" s="288">
        <v>65.5</v>
      </c>
      <c r="I41" s="288">
        <v>0</v>
      </c>
      <c r="J41" s="288">
        <v>0</v>
      </c>
      <c r="K41" s="288">
        <v>0</v>
      </c>
      <c r="L41" s="288">
        <v>0</v>
      </c>
      <c r="M41" s="288">
        <v>65.5</v>
      </c>
      <c r="N41" s="603">
        <v>0</v>
      </c>
      <c r="O41" s="604"/>
      <c r="P41" s="605"/>
    </row>
    <row r="42" spans="1:16" ht="16" x14ac:dyDescent="0.35">
      <c r="A42" s="590"/>
      <c r="B42" s="609"/>
      <c r="C42" s="609"/>
      <c r="D42" s="609"/>
      <c r="E42" s="609"/>
      <c r="F42" s="609"/>
      <c r="G42" s="609"/>
      <c r="H42" s="609"/>
      <c r="I42" s="609"/>
      <c r="J42" s="609"/>
      <c r="K42" s="609"/>
      <c r="L42" s="609"/>
      <c r="M42" s="609"/>
      <c r="N42" s="610"/>
      <c r="O42" s="578"/>
      <c r="P42" s="578"/>
    </row>
    <row r="43" spans="1:16" ht="16" x14ac:dyDescent="0.35">
      <c r="A43" s="315" t="s">
        <v>963</v>
      </c>
      <c r="B43" s="166"/>
      <c r="C43" s="166"/>
      <c r="D43" s="166"/>
      <c r="E43" s="166"/>
      <c r="F43" s="166"/>
      <c r="G43" s="166"/>
      <c r="H43" s="166"/>
      <c r="I43" s="166"/>
      <c r="J43" s="166"/>
      <c r="K43" s="166"/>
      <c r="L43" s="166"/>
      <c r="M43" s="166"/>
      <c r="N43" s="597"/>
      <c r="O43" s="608"/>
      <c r="P43" s="608"/>
    </row>
    <row r="44" spans="1:16" ht="48" x14ac:dyDescent="0.35">
      <c r="A44" s="598" t="s">
        <v>964</v>
      </c>
      <c r="B44" s="599">
        <v>21.545000000000002</v>
      </c>
      <c r="C44" s="599">
        <v>0</v>
      </c>
      <c r="D44" s="599">
        <v>0</v>
      </c>
      <c r="E44" s="599">
        <v>0</v>
      </c>
      <c r="F44" s="599">
        <v>0</v>
      </c>
      <c r="G44" s="600">
        <v>21.545000000000002</v>
      </c>
      <c r="H44" s="599">
        <v>20.986000000000001</v>
      </c>
      <c r="I44" s="599">
        <v>0</v>
      </c>
      <c r="J44" s="599">
        <v>0</v>
      </c>
      <c r="K44" s="599">
        <v>0</v>
      </c>
      <c r="L44" s="599">
        <v>0</v>
      </c>
      <c r="M44" s="600">
        <v>20.986000000000001</v>
      </c>
      <c r="N44" s="601">
        <v>-2.5945695056857787E-2</v>
      </c>
      <c r="O44" s="75" t="s">
        <v>965</v>
      </c>
      <c r="P44" s="626" t="s">
        <v>931</v>
      </c>
    </row>
    <row r="45" spans="1:16" ht="64" x14ac:dyDescent="0.35">
      <c r="A45" s="620" t="s">
        <v>966</v>
      </c>
      <c r="B45" s="621">
        <v>0</v>
      </c>
      <c r="C45" s="621">
        <v>0</v>
      </c>
      <c r="D45" s="621">
        <v>3.8940000000000001</v>
      </c>
      <c r="E45" s="621">
        <v>0</v>
      </c>
      <c r="F45" s="621">
        <v>0</v>
      </c>
      <c r="G45" s="622">
        <v>3.8940000000000001</v>
      </c>
      <c r="H45" s="599">
        <v>0</v>
      </c>
      <c r="I45" s="599">
        <v>0</v>
      </c>
      <c r="J45" s="599">
        <v>0.5</v>
      </c>
      <c r="K45" s="599">
        <v>0</v>
      </c>
      <c r="L45" s="599">
        <v>0</v>
      </c>
      <c r="M45" s="622">
        <v>0.5</v>
      </c>
      <c r="N45" s="601">
        <v>-0.87159732922444788</v>
      </c>
      <c r="O45" s="466" t="s">
        <v>967</v>
      </c>
      <c r="P45" s="627" t="s">
        <v>968</v>
      </c>
    </row>
    <row r="46" spans="1:16" ht="32" x14ac:dyDescent="0.35">
      <c r="A46" s="322" t="s">
        <v>969</v>
      </c>
      <c r="B46" s="288">
        <v>21.545000000000002</v>
      </c>
      <c r="C46" s="288">
        <v>0</v>
      </c>
      <c r="D46" s="288">
        <v>3.8940000000000001</v>
      </c>
      <c r="E46" s="288">
        <v>0</v>
      </c>
      <c r="F46" s="288">
        <v>0</v>
      </c>
      <c r="G46" s="288">
        <v>25.439</v>
      </c>
      <c r="H46" s="288">
        <v>20.986000000000001</v>
      </c>
      <c r="I46" s="288">
        <v>0</v>
      </c>
      <c r="J46" s="288">
        <v>0.5</v>
      </c>
      <c r="K46" s="288">
        <v>0</v>
      </c>
      <c r="L46" s="288">
        <v>0</v>
      </c>
      <c r="M46" s="288">
        <v>21.486000000000001</v>
      </c>
      <c r="N46" s="603">
        <v>-0.15539132827548249</v>
      </c>
      <c r="O46" s="323"/>
      <c r="P46" s="324"/>
    </row>
    <row r="47" spans="1:16" ht="16" x14ac:dyDescent="0.35">
      <c r="A47" s="590"/>
      <c r="B47" s="609"/>
      <c r="C47" s="609"/>
      <c r="D47" s="609"/>
      <c r="E47" s="609"/>
      <c r="F47" s="609"/>
      <c r="G47" s="609"/>
      <c r="H47" s="609"/>
      <c r="I47" s="609"/>
      <c r="J47" s="609"/>
      <c r="K47" s="609"/>
      <c r="L47" s="609"/>
      <c r="M47" s="609"/>
      <c r="N47" s="610"/>
      <c r="O47" s="593"/>
      <c r="P47" s="593"/>
    </row>
    <row r="48" spans="1:16" ht="16" x14ac:dyDescent="0.35">
      <c r="A48" s="315" t="s">
        <v>970</v>
      </c>
      <c r="B48" s="166"/>
      <c r="C48" s="166"/>
      <c r="D48" s="166"/>
      <c r="E48" s="166"/>
      <c r="F48" s="166"/>
      <c r="G48" s="166"/>
      <c r="H48" s="166"/>
      <c r="I48" s="166"/>
      <c r="J48" s="166"/>
      <c r="K48" s="166"/>
      <c r="L48" s="166"/>
      <c r="M48" s="166"/>
      <c r="N48" s="597"/>
      <c r="O48" s="317"/>
      <c r="P48" s="317"/>
    </row>
    <row r="49" spans="1:16" ht="96" x14ac:dyDescent="0.35">
      <c r="A49" s="598" t="s">
        <v>971</v>
      </c>
      <c r="B49" s="599">
        <v>0.1</v>
      </c>
      <c r="C49" s="599">
        <v>0</v>
      </c>
      <c r="D49" s="599">
        <v>0</v>
      </c>
      <c r="E49" s="599">
        <v>0</v>
      </c>
      <c r="F49" s="599">
        <v>0</v>
      </c>
      <c r="G49" s="600">
        <v>0.1</v>
      </c>
      <c r="H49" s="599">
        <v>3.1E-2</v>
      </c>
      <c r="I49" s="599">
        <v>0</v>
      </c>
      <c r="J49" s="599">
        <v>0</v>
      </c>
      <c r="K49" s="599">
        <v>0</v>
      </c>
      <c r="L49" s="599">
        <v>0</v>
      </c>
      <c r="M49" s="600">
        <v>3.1E-2</v>
      </c>
      <c r="N49" s="601">
        <v>-0.69000000000000006</v>
      </c>
      <c r="O49" s="75" t="s">
        <v>972</v>
      </c>
      <c r="P49" s="602" t="s">
        <v>954</v>
      </c>
    </row>
    <row r="50" spans="1:16" ht="64" x14ac:dyDescent="0.35">
      <c r="A50" s="620" t="s">
        <v>973</v>
      </c>
      <c r="B50" s="621">
        <v>0</v>
      </c>
      <c r="C50" s="621">
        <v>0</v>
      </c>
      <c r="D50" s="621">
        <v>0</v>
      </c>
      <c r="E50" s="621">
        <v>0</v>
      </c>
      <c r="F50" s="621">
        <v>0</v>
      </c>
      <c r="G50" s="622">
        <v>0</v>
      </c>
      <c r="H50" s="599">
        <v>0</v>
      </c>
      <c r="I50" s="599">
        <v>0</v>
      </c>
      <c r="J50" s="599">
        <v>0</v>
      </c>
      <c r="K50" s="599">
        <v>0</v>
      </c>
      <c r="L50" s="599">
        <v>0</v>
      </c>
      <c r="M50" s="622">
        <v>0</v>
      </c>
      <c r="N50" s="601" t="s">
        <v>50</v>
      </c>
      <c r="O50" s="466" t="s">
        <v>974</v>
      </c>
      <c r="P50" s="446" t="s">
        <v>975</v>
      </c>
    </row>
    <row r="51" spans="1:16" ht="64" x14ac:dyDescent="0.35">
      <c r="A51" s="620" t="s">
        <v>976</v>
      </c>
      <c r="B51" s="621">
        <v>0</v>
      </c>
      <c r="C51" s="621">
        <v>0</v>
      </c>
      <c r="D51" s="621">
        <v>0</v>
      </c>
      <c r="E51" s="621">
        <v>0</v>
      </c>
      <c r="F51" s="621">
        <v>0</v>
      </c>
      <c r="G51" s="622">
        <v>0</v>
      </c>
      <c r="H51" s="599">
        <v>0</v>
      </c>
      <c r="I51" s="599">
        <v>0</v>
      </c>
      <c r="J51" s="599">
        <v>0</v>
      </c>
      <c r="K51" s="599">
        <v>0</v>
      </c>
      <c r="L51" s="599">
        <v>0</v>
      </c>
      <c r="M51" s="622">
        <v>0</v>
      </c>
      <c r="N51" s="601" t="s">
        <v>50</v>
      </c>
      <c r="O51" s="466" t="s">
        <v>977</v>
      </c>
      <c r="P51" s="446" t="s">
        <v>978</v>
      </c>
    </row>
    <row r="52" spans="1:16" ht="16" x14ac:dyDescent="0.35">
      <c r="A52" s="322" t="s">
        <v>979</v>
      </c>
      <c r="B52" s="288">
        <v>0.1</v>
      </c>
      <c r="C52" s="288">
        <v>0</v>
      </c>
      <c r="D52" s="288">
        <v>0</v>
      </c>
      <c r="E52" s="288">
        <v>0</v>
      </c>
      <c r="F52" s="288">
        <v>0</v>
      </c>
      <c r="G52" s="288">
        <v>0.1</v>
      </c>
      <c r="H52" s="288">
        <v>3.1E-2</v>
      </c>
      <c r="I52" s="288">
        <v>0</v>
      </c>
      <c r="J52" s="288">
        <v>0</v>
      </c>
      <c r="K52" s="288">
        <v>0</v>
      </c>
      <c r="L52" s="288">
        <v>0</v>
      </c>
      <c r="M52" s="288">
        <v>3.1E-2</v>
      </c>
      <c r="N52" s="603">
        <v>-0.69000000000000006</v>
      </c>
      <c r="O52" s="604"/>
      <c r="P52" s="605"/>
    </row>
    <row r="53" spans="1:16" ht="16" x14ac:dyDescent="0.35">
      <c r="A53" s="590"/>
      <c r="B53" s="609"/>
      <c r="C53" s="609"/>
      <c r="D53" s="609"/>
      <c r="E53" s="609"/>
      <c r="F53" s="609"/>
      <c r="G53" s="609"/>
      <c r="H53" s="609"/>
      <c r="I53" s="609"/>
      <c r="J53" s="609"/>
      <c r="K53" s="609"/>
      <c r="L53" s="609"/>
      <c r="M53" s="609"/>
      <c r="N53" s="610"/>
      <c r="O53" s="578"/>
      <c r="P53" s="578"/>
    </row>
    <row r="54" spans="1:16" ht="32" x14ac:dyDescent="0.35">
      <c r="A54" s="315" t="s">
        <v>980</v>
      </c>
      <c r="B54" s="166"/>
      <c r="C54" s="166"/>
      <c r="D54" s="166"/>
      <c r="E54" s="166"/>
      <c r="F54" s="166"/>
      <c r="G54" s="166"/>
      <c r="H54" s="166"/>
      <c r="I54" s="166"/>
      <c r="J54" s="166"/>
      <c r="K54" s="166"/>
      <c r="L54" s="166"/>
      <c r="M54" s="166"/>
      <c r="N54" s="597"/>
      <c r="O54" s="608"/>
      <c r="P54" s="608"/>
    </row>
    <row r="55" spans="1:16" ht="48" x14ac:dyDescent="0.35">
      <c r="A55" s="598" t="s">
        <v>981</v>
      </c>
      <c r="B55" s="599">
        <v>0.40799999999999997</v>
      </c>
      <c r="C55" s="599">
        <v>0</v>
      </c>
      <c r="D55" s="599">
        <v>0</v>
      </c>
      <c r="E55" s="599">
        <v>0</v>
      </c>
      <c r="F55" s="599">
        <v>0</v>
      </c>
      <c r="G55" s="600">
        <v>0.40799999999999997</v>
      </c>
      <c r="H55" s="599">
        <v>0.31</v>
      </c>
      <c r="I55" s="599">
        <v>0</v>
      </c>
      <c r="J55" s="599">
        <v>0</v>
      </c>
      <c r="K55" s="599">
        <v>0</v>
      </c>
      <c r="L55" s="599">
        <v>0</v>
      </c>
      <c r="M55" s="600">
        <v>0.31</v>
      </c>
      <c r="N55" s="601">
        <v>-0.2401960784313725</v>
      </c>
      <c r="O55" s="75" t="s">
        <v>982</v>
      </c>
      <c r="P55" s="602" t="s">
        <v>954</v>
      </c>
    </row>
    <row r="56" spans="1:16" ht="32" x14ac:dyDescent="0.35">
      <c r="A56" s="322" t="s">
        <v>983</v>
      </c>
      <c r="B56" s="288">
        <v>0.40799999999999997</v>
      </c>
      <c r="C56" s="288">
        <v>0</v>
      </c>
      <c r="D56" s="288">
        <v>0</v>
      </c>
      <c r="E56" s="288">
        <v>0</v>
      </c>
      <c r="F56" s="288">
        <v>0</v>
      </c>
      <c r="G56" s="288">
        <v>0.40799999999999997</v>
      </c>
      <c r="H56" s="288">
        <v>0.31</v>
      </c>
      <c r="I56" s="288">
        <v>0</v>
      </c>
      <c r="J56" s="288">
        <v>0</v>
      </c>
      <c r="K56" s="288">
        <v>0</v>
      </c>
      <c r="L56" s="288">
        <v>0</v>
      </c>
      <c r="M56" s="288">
        <v>0.31</v>
      </c>
      <c r="N56" s="603">
        <v>-0.2401960784313725</v>
      </c>
      <c r="O56" s="604"/>
      <c r="P56" s="605"/>
    </row>
    <row r="57" spans="1:16" ht="16" x14ac:dyDescent="0.35">
      <c r="A57" s="590"/>
      <c r="B57" s="609"/>
      <c r="C57" s="609"/>
      <c r="D57" s="609"/>
      <c r="E57" s="609"/>
      <c r="F57" s="609"/>
      <c r="G57" s="609"/>
      <c r="H57" s="609"/>
      <c r="I57" s="609"/>
      <c r="J57" s="609"/>
      <c r="K57" s="609"/>
      <c r="L57" s="609"/>
      <c r="M57" s="609"/>
      <c r="N57" s="610"/>
      <c r="O57" s="578"/>
      <c r="P57" s="578"/>
    </row>
    <row r="58" spans="1:16" ht="16" x14ac:dyDescent="0.35">
      <c r="A58" s="590"/>
      <c r="B58" s="609"/>
      <c r="C58" s="609"/>
      <c r="D58" s="609"/>
      <c r="E58" s="609"/>
      <c r="F58" s="609"/>
      <c r="G58" s="609"/>
      <c r="H58" s="609"/>
      <c r="I58" s="609"/>
      <c r="J58" s="609"/>
      <c r="K58" s="609"/>
      <c r="L58" s="609"/>
      <c r="M58" s="609"/>
      <c r="N58" s="610"/>
      <c r="O58" s="578"/>
      <c r="P58" s="578"/>
    </row>
    <row r="59" spans="1:16" ht="16" x14ac:dyDescent="0.35">
      <c r="A59" s="315" t="s">
        <v>984</v>
      </c>
      <c r="B59" s="166"/>
      <c r="C59" s="166"/>
      <c r="D59" s="166"/>
      <c r="E59" s="166"/>
      <c r="F59" s="166"/>
      <c r="G59" s="166"/>
      <c r="H59" s="166"/>
      <c r="I59" s="166"/>
      <c r="J59" s="166"/>
      <c r="K59" s="166"/>
      <c r="L59" s="166"/>
      <c r="M59" s="166"/>
      <c r="N59" s="597"/>
      <c r="O59" s="608"/>
      <c r="P59" s="608"/>
    </row>
    <row r="60" spans="1:16" ht="48" x14ac:dyDescent="0.35">
      <c r="A60" s="598" t="s">
        <v>985</v>
      </c>
      <c r="B60" s="599">
        <v>12</v>
      </c>
      <c r="C60" s="599">
        <v>0</v>
      </c>
      <c r="D60" s="599">
        <v>0</v>
      </c>
      <c r="E60" s="599">
        <v>0</v>
      </c>
      <c r="F60" s="599">
        <v>0</v>
      </c>
      <c r="G60" s="600">
        <v>12</v>
      </c>
      <c r="H60" s="599">
        <v>3</v>
      </c>
      <c r="I60" s="599">
        <v>0</v>
      </c>
      <c r="J60" s="599">
        <v>0</v>
      </c>
      <c r="K60" s="599">
        <v>0</v>
      </c>
      <c r="L60" s="599">
        <v>0</v>
      </c>
      <c r="M60" s="600">
        <v>3</v>
      </c>
      <c r="N60" s="601">
        <v>-0.75</v>
      </c>
      <c r="O60" s="75" t="s">
        <v>986</v>
      </c>
      <c r="P60" s="602" t="s">
        <v>987</v>
      </c>
    </row>
    <row r="61" spans="1:16" ht="16" x14ac:dyDescent="0.35">
      <c r="A61" s="598" t="s">
        <v>988</v>
      </c>
      <c r="B61" s="599">
        <v>0</v>
      </c>
      <c r="C61" s="599">
        <v>0</v>
      </c>
      <c r="D61" s="599">
        <v>0</v>
      </c>
      <c r="E61" s="599">
        <v>0</v>
      </c>
      <c r="F61" s="599">
        <v>0</v>
      </c>
      <c r="G61" s="600">
        <v>0</v>
      </c>
      <c r="H61" s="599">
        <v>0</v>
      </c>
      <c r="I61" s="599">
        <v>0</v>
      </c>
      <c r="J61" s="599">
        <v>0</v>
      </c>
      <c r="K61" s="599">
        <v>0</v>
      </c>
      <c r="L61" s="599">
        <v>0</v>
      </c>
      <c r="M61" s="600">
        <v>0</v>
      </c>
      <c r="N61" s="601" t="s">
        <v>50</v>
      </c>
      <c r="O61" s="75" t="s">
        <v>989</v>
      </c>
      <c r="P61" s="602" t="e">
        <v>#REF!</v>
      </c>
    </row>
    <row r="62" spans="1:16" ht="32" x14ac:dyDescent="0.35">
      <c r="A62" s="598" t="s">
        <v>990</v>
      </c>
      <c r="B62" s="599">
        <v>5</v>
      </c>
      <c r="C62" s="599">
        <v>0</v>
      </c>
      <c r="D62" s="599">
        <v>0</v>
      </c>
      <c r="E62" s="599">
        <v>0</v>
      </c>
      <c r="F62" s="599">
        <v>0</v>
      </c>
      <c r="G62" s="600">
        <v>5</v>
      </c>
      <c r="H62" s="599">
        <v>5</v>
      </c>
      <c r="I62" s="599">
        <v>0</v>
      </c>
      <c r="J62" s="599">
        <v>3</v>
      </c>
      <c r="K62" s="599">
        <v>0</v>
      </c>
      <c r="L62" s="599">
        <v>0</v>
      </c>
      <c r="M62" s="600">
        <v>8</v>
      </c>
      <c r="N62" s="601">
        <v>0.6</v>
      </c>
      <c r="O62" s="75" t="s">
        <v>991</v>
      </c>
      <c r="P62" s="602" t="s">
        <v>991</v>
      </c>
    </row>
    <row r="63" spans="1:16" ht="32" x14ac:dyDescent="0.35">
      <c r="A63" s="322" t="s">
        <v>992</v>
      </c>
      <c r="B63" s="288">
        <v>17</v>
      </c>
      <c r="C63" s="288">
        <v>0</v>
      </c>
      <c r="D63" s="288">
        <v>0</v>
      </c>
      <c r="E63" s="288">
        <v>0</v>
      </c>
      <c r="F63" s="288">
        <v>0</v>
      </c>
      <c r="G63" s="288">
        <v>17</v>
      </c>
      <c r="H63" s="288">
        <v>8</v>
      </c>
      <c r="I63" s="288">
        <v>0</v>
      </c>
      <c r="J63" s="288">
        <v>3</v>
      </c>
      <c r="K63" s="288">
        <v>0</v>
      </c>
      <c r="L63" s="288">
        <v>0</v>
      </c>
      <c r="M63" s="288">
        <v>11</v>
      </c>
      <c r="N63" s="603">
        <v>-0.35294117647058826</v>
      </c>
      <c r="O63" s="604"/>
      <c r="P63" s="605"/>
    </row>
    <row r="64" spans="1:16" ht="16" x14ac:dyDescent="0.35">
      <c r="A64" s="590"/>
      <c r="B64" s="628"/>
      <c r="C64" s="628"/>
      <c r="D64" s="628"/>
      <c r="E64" s="628"/>
      <c r="F64" s="628"/>
      <c r="G64" s="628"/>
      <c r="H64" s="628"/>
      <c r="I64" s="628"/>
      <c r="J64" s="628"/>
      <c r="K64" s="628"/>
      <c r="L64" s="628"/>
      <c r="M64" s="628"/>
      <c r="N64" s="607"/>
      <c r="O64" s="578"/>
      <c r="P64" s="578"/>
    </row>
    <row r="65" spans="1:16" ht="16" x14ac:dyDescent="0.35">
      <c r="A65" s="315" t="s">
        <v>993</v>
      </c>
      <c r="B65" s="166"/>
      <c r="C65" s="166"/>
      <c r="D65" s="166"/>
      <c r="E65" s="166"/>
      <c r="F65" s="166"/>
      <c r="G65" s="166"/>
      <c r="H65" s="166"/>
      <c r="I65" s="166"/>
      <c r="J65" s="166"/>
      <c r="K65" s="166"/>
      <c r="L65" s="166"/>
      <c r="M65" s="166"/>
      <c r="N65" s="597"/>
      <c r="O65" s="608"/>
      <c r="P65" s="608"/>
    </row>
    <row r="66" spans="1:16" ht="32" x14ac:dyDescent="0.35">
      <c r="A66" s="598" t="s">
        <v>994</v>
      </c>
      <c r="B66" s="599">
        <v>0</v>
      </c>
      <c r="C66" s="599">
        <v>0</v>
      </c>
      <c r="D66" s="599">
        <v>0</v>
      </c>
      <c r="E66" s="599">
        <v>0</v>
      </c>
      <c r="F66" s="599">
        <v>0</v>
      </c>
      <c r="G66" s="600">
        <v>0</v>
      </c>
      <c r="H66" s="599">
        <v>0</v>
      </c>
      <c r="I66" s="599">
        <v>0</v>
      </c>
      <c r="J66" s="599">
        <v>0</v>
      </c>
      <c r="K66" s="599">
        <v>0</v>
      </c>
      <c r="L66" s="599">
        <v>0</v>
      </c>
      <c r="M66" s="600">
        <v>0</v>
      </c>
      <c r="N66" s="601" t="s">
        <v>50</v>
      </c>
      <c r="O66" s="75" t="s">
        <v>995</v>
      </c>
      <c r="P66" s="602" t="s">
        <v>996</v>
      </c>
    </row>
    <row r="67" spans="1:16" ht="32" x14ac:dyDescent="0.35">
      <c r="A67" s="620" t="s">
        <v>997</v>
      </c>
      <c r="B67" s="621">
        <v>0</v>
      </c>
      <c r="C67" s="621">
        <v>0</v>
      </c>
      <c r="D67" s="621">
        <v>2.0960000000000001</v>
      </c>
      <c r="E67" s="621">
        <v>0</v>
      </c>
      <c r="F67" s="621">
        <v>0</v>
      </c>
      <c r="G67" s="622">
        <v>2.0960000000000001</v>
      </c>
      <c r="H67" s="599">
        <v>0</v>
      </c>
      <c r="I67" s="599">
        <v>0</v>
      </c>
      <c r="J67" s="599">
        <v>2.1</v>
      </c>
      <c r="K67" s="599">
        <v>0</v>
      </c>
      <c r="L67" s="599">
        <v>0</v>
      </c>
      <c r="M67" s="622">
        <v>2.1</v>
      </c>
      <c r="N67" s="601">
        <v>1.9083969465648872E-3</v>
      </c>
      <c r="O67" s="466" t="s">
        <v>998</v>
      </c>
      <c r="P67" s="446" t="s">
        <v>999</v>
      </c>
    </row>
    <row r="68" spans="1:16" ht="32" x14ac:dyDescent="0.35">
      <c r="A68" s="620" t="s">
        <v>997</v>
      </c>
      <c r="B68" s="621">
        <v>0</v>
      </c>
      <c r="C68" s="621">
        <v>0</v>
      </c>
      <c r="D68" s="621">
        <v>0</v>
      </c>
      <c r="E68" s="621">
        <v>0</v>
      </c>
      <c r="F68" s="621">
        <v>0</v>
      </c>
      <c r="G68" s="622">
        <v>0</v>
      </c>
      <c r="H68" s="599">
        <v>0</v>
      </c>
      <c r="I68" s="599">
        <v>0</v>
      </c>
      <c r="J68" s="599">
        <v>0</v>
      </c>
      <c r="K68" s="599">
        <v>0</v>
      </c>
      <c r="L68" s="599">
        <v>0</v>
      </c>
      <c r="M68" s="622">
        <v>0</v>
      </c>
      <c r="N68" s="601" t="s">
        <v>50</v>
      </c>
      <c r="O68" s="466" t="s">
        <v>1000</v>
      </c>
      <c r="P68" s="446" t="s">
        <v>1001</v>
      </c>
    </row>
    <row r="69" spans="1:16" ht="32" x14ac:dyDescent="0.35">
      <c r="A69" s="620" t="s">
        <v>997</v>
      </c>
      <c r="B69" s="621">
        <v>0</v>
      </c>
      <c r="C69" s="621">
        <v>0</v>
      </c>
      <c r="D69" s="621">
        <v>0</v>
      </c>
      <c r="E69" s="621">
        <v>0</v>
      </c>
      <c r="F69" s="621">
        <v>0</v>
      </c>
      <c r="G69" s="622">
        <v>0</v>
      </c>
      <c r="H69" s="599">
        <v>0</v>
      </c>
      <c r="I69" s="599">
        <v>0</v>
      </c>
      <c r="J69" s="599">
        <v>0</v>
      </c>
      <c r="K69" s="599">
        <v>0</v>
      </c>
      <c r="L69" s="599">
        <v>0</v>
      </c>
      <c r="M69" s="622">
        <v>0</v>
      </c>
      <c r="N69" s="601" t="s">
        <v>50</v>
      </c>
      <c r="O69" s="466" t="s">
        <v>1000</v>
      </c>
      <c r="P69" s="446" t="s">
        <v>46</v>
      </c>
    </row>
    <row r="70" spans="1:16" ht="32" x14ac:dyDescent="0.35">
      <c r="A70" s="620" t="s">
        <v>1002</v>
      </c>
      <c r="B70" s="621">
        <v>0</v>
      </c>
      <c r="C70" s="621">
        <v>0</v>
      </c>
      <c r="D70" s="621">
        <v>0</v>
      </c>
      <c r="E70" s="621">
        <v>0</v>
      </c>
      <c r="F70" s="621">
        <v>0</v>
      </c>
      <c r="G70" s="622">
        <v>0</v>
      </c>
      <c r="H70" s="599">
        <v>0</v>
      </c>
      <c r="I70" s="599">
        <v>0</v>
      </c>
      <c r="J70" s="599">
        <v>0</v>
      </c>
      <c r="K70" s="599">
        <v>0</v>
      </c>
      <c r="L70" s="599">
        <v>0</v>
      </c>
      <c r="M70" s="622">
        <v>0</v>
      </c>
      <c r="N70" s="601" t="s">
        <v>50</v>
      </c>
      <c r="O70" s="466" t="s">
        <v>1003</v>
      </c>
      <c r="P70" s="446" t="s">
        <v>237</v>
      </c>
    </row>
    <row r="71" spans="1:16" ht="16" x14ac:dyDescent="0.35">
      <c r="A71" s="322" t="s">
        <v>1004</v>
      </c>
      <c r="B71" s="288">
        <v>0</v>
      </c>
      <c r="C71" s="288">
        <v>0</v>
      </c>
      <c r="D71" s="288">
        <v>2.0960000000000001</v>
      </c>
      <c r="E71" s="288">
        <v>0</v>
      </c>
      <c r="F71" s="288">
        <v>0</v>
      </c>
      <c r="G71" s="288">
        <v>2.0960000000000001</v>
      </c>
      <c r="H71" s="288">
        <v>0</v>
      </c>
      <c r="I71" s="288">
        <v>0</v>
      </c>
      <c r="J71" s="288">
        <v>2.1</v>
      </c>
      <c r="K71" s="288">
        <v>0</v>
      </c>
      <c r="L71" s="288">
        <v>0</v>
      </c>
      <c r="M71" s="288">
        <v>2.1</v>
      </c>
      <c r="N71" s="603">
        <v>1.9083969465648872E-3</v>
      </c>
      <c r="O71" s="604"/>
      <c r="P71" s="605"/>
    </row>
    <row r="72" spans="1:16" ht="16" x14ac:dyDescent="0.35">
      <c r="A72" s="590"/>
      <c r="B72" s="609"/>
      <c r="C72" s="609"/>
      <c r="D72" s="609"/>
      <c r="E72" s="609"/>
      <c r="F72" s="609"/>
      <c r="G72" s="609"/>
      <c r="H72" s="609"/>
      <c r="I72" s="609"/>
      <c r="J72" s="609"/>
      <c r="K72" s="609"/>
      <c r="L72" s="609"/>
      <c r="M72" s="609"/>
      <c r="N72" s="610"/>
      <c r="O72" s="578"/>
      <c r="P72" s="578"/>
    </row>
    <row r="73" spans="1:16" ht="16" x14ac:dyDescent="0.35">
      <c r="A73" s="315" t="s">
        <v>1005</v>
      </c>
      <c r="B73" s="166"/>
      <c r="C73" s="166"/>
      <c r="D73" s="166"/>
      <c r="E73" s="166"/>
      <c r="F73" s="166"/>
      <c r="G73" s="166"/>
      <c r="H73" s="166"/>
      <c r="I73" s="166"/>
      <c r="J73" s="166"/>
      <c r="K73" s="166"/>
      <c r="L73" s="166"/>
      <c r="M73" s="166"/>
      <c r="N73" s="597"/>
      <c r="O73" s="608"/>
      <c r="P73" s="608"/>
    </row>
    <row r="74" spans="1:16" ht="128" x14ac:dyDescent="0.35">
      <c r="A74" s="598" t="s">
        <v>1</v>
      </c>
      <c r="B74" s="599">
        <v>0</v>
      </c>
      <c r="C74" s="599">
        <v>0</v>
      </c>
      <c r="D74" s="599">
        <v>10.199999999999999</v>
      </c>
      <c r="E74" s="599">
        <v>0</v>
      </c>
      <c r="F74" s="599">
        <v>0</v>
      </c>
      <c r="G74" s="600">
        <v>10.199999999999999</v>
      </c>
      <c r="H74" s="599">
        <v>0</v>
      </c>
      <c r="I74" s="599">
        <v>0</v>
      </c>
      <c r="J74" s="599">
        <v>14.67</v>
      </c>
      <c r="K74" s="599">
        <v>0</v>
      </c>
      <c r="L74" s="599">
        <v>0</v>
      </c>
      <c r="M74" s="600">
        <v>14.67</v>
      </c>
      <c r="N74" s="601">
        <v>0.43823529411764717</v>
      </c>
      <c r="O74" s="75" t="s">
        <v>1006</v>
      </c>
      <c r="P74" s="602" t="s">
        <v>1007</v>
      </c>
    </row>
    <row r="75" spans="1:16" ht="160" x14ac:dyDescent="0.35">
      <c r="A75" s="620" t="s">
        <v>0</v>
      </c>
      <c r="B75" s="621">
        <v>80.210999999999999</v>
      </c>
      <c r="C75" s="621">
        <v>0</v>
      </c>
      <c r="D75" s="621">
        <v>0</v>
      </c>
      <c r="E75" s="621">
        <v>0</v>
      </c>
      <c r="F75" s="621">
        <v>0</v>
      </c>
      <c r="G75" s="622">
        <v>80.210999999999999</v>
      </c>
      <c r="H75" s="599">
        <v>84.266999999999996</v>
      </c>
      <c r="I75" s="599">
        <v>0</v>
      </c>
      <c r="J75" s="599">
        <v>0</v>
      </c>
      <c r="K75" s="599">
        <v>0</v>
      </c>
      <c r="L75" s="599">
        <v>0</v>
      </c>
      <c r="M75" s="622">
        <v>84.266999999999996</v>
      </c>
      <c r="N75" s="601">
        <v>5.05666305120245E-2</v>
      </c>
      <c r="O75" s="466" t="s">
        <v>1008</v>
      </c>
      <c r="P75" s="446" t="s">
        <v>1009</v>
      </c>
    </row>
    <row r="76" spans="1:16" ht="32" x14ac:dyDescent="0.35">
      <c r="A76" s="620" t="s">
        <v>736</v>
      </c>
      <c r="B76" s="621">
        <v>0</v>
      </c>
      <c r="C76" s="621">
        <v>16.193000000000001</v>
      </c>
      <c r="D76" s="621">
        <v>0</v>
      </c>
      <c r="E76" s="621">
        <v>0</v>
      </c>
      <c r="F76" s="621">
        <v>0</v>
      </c>
      <c r="G76" s="622">
        <v>16.193000000000001</v>
      </c>
      <c r="H76" s="599">
        <v>0</v>
      </c>
      <c r="I76" s="599">
        <v>11.450999999999999</v>
      </c>
      <c r="J76" s="599">
        <v>0</v>
      </c>
      <c r="K76" s="599">
        <v>0</v>
      </c>
      <c r="L76" s="599">
        <v>0</v>
      </c>
      <c r="M76" s="622">
        <v>11.450999999999999</v>
      </c>
      <c r="N76" s="601">
        <v>-0.29284258630272353</v>
      </c>
      <c r="O76" s="466" t="s">
        <v>1010</v>
      </c>
      <c r="P76" s="446" t="s">
        <v>1011</v>
      </c>
    </row>
    <row r="77" spans="1:16" ht="112" x14ac:dyDescent="0.35">
      <c r="A77" s="620" t="s">
        <v>1012</v>
      </c>
      <c r="B77" s="621">
        <v>-4.2110000000000003</v>
      </c>
      <c r="C77" s="621">
        <v>0</v>
      </c>
      <c r="D77" s="621">
        <v>0</v>
      </c>
      <c r="E77" s="621">
        <v>0</v>
      </c>
      <c r="F77" s="621">
        <v>0</v>
      </c>
      <c r="G77" s="622">
        <v>-4.2110000000000003</v>
      </c>
      <c r="H77" s="599">
        <v>-4.2779999999999996</v>
      </c>
      <c r="I77" s="599">
        <v>0</v>
      </c>
      <c r="J77" s="599">
        <v>0</v>
      </c>
      <c r="K77" s="599">
        <v>0</v>
      </c>
      <c r="L77" s="599">
        <v>0</v>
      </c>
      <c r="M77" s="622">
        <v>-4.2779999999999996</v>
      </c>
      <c r="N77" s="601">
        <v>1.5910710045119753E-2</v>
      </c>
      <c r="O77" s="466" t="s">
        <v>1013</v>
      </c>
      <c r="P77" s="446" t="s">
        <v>954</v>
      </c>
    </row>
    <row r="78" spans="1:16" ht="16" x14ac:dyDescent="0.35">
      <c r="A78" s="620" t="s">
        <v>1014</v>
      </c>
      <c r="B78" s="621">
        <v>0</v>
      </c>
      <c r="C78" s="621">
        <v>0</v>
      </c>
      <c r="D78" s="621">
        <v>0</v>
      </c>
      <c r="E78" s="621">
        <v>0</v>
      </c>
      <c r="F78" s="621">
        <v>0</v>
      </c>
      <c r="G78" s="622">
        <v>0</v>
      </c>
      <c r="H78" s="599">
        <v>0</v>
      </c>
      <c r="I78" s="599">
        <v>0</v>
      </c>
      <c r="J78" s="599">
        <v>0</v>
      </c>
      <c r="K78" s="599">
        <v>0</v>
      </c>
      <c r="L78" s="599">
        <v>0</v>
      </c>
      <c r="M78" s="622">
        <v>0</v>
      </c>
      <c r="N78" s="601" t="s">
        <v>50</v>
      </c>
      <c r="O78" s="466" t="s">
        <v>237</v>
      </c>
      <c r="P78" s="446" t="s">
        <v>237</v>
      </c>
    </row>
    <row r="79" spans="1:16" ht="16" x14ac:dyDescent="0.35">
      <c r="A79" s="322" t="s">
        <v>1015</v>
      </c>
      <c r="B79" s="288">
        <v>76</v>
      </c>
      <c r="C79" s="288">
        <v>16.193000000000001</v>
      </c>
      <c r="D79" s="288">
        <v>10.199999999999999</v>
      </c>
      <c r="E79" s="288">
        <v>0</v>
      </c>
      <c r="F79" s="288">
        <v>0</v>
      </c>
      <c r="G79" s="288">
        <v>102.393</v>
      </c>
      <c r="H79" s="288">
        <v>79.98899999999999</v>
      </c>
      <c r="I79" s="288">
        <v>11.450999999999999</v>
      </c>
      <c r="J79" s="288">
        <v>14.67</v>
      </c>
      <c r="K79" s="288">
        <v>0</v>
      </c>
      <c r="L79" s="288">
        <v>0</v>
      </c>
      <c r="M79" s="288">
        <v>106.10999999999999</v>
      </c>
      <c r="N79" s="603">
        <v>3.6301309659839874E-2</v>
      </c>
      <c r="O79" s="604"/>
      <c r="P79" s="605"/>
    </row>
    <row r="80" spans="1:16" ht="16" x14ac:dyDescent="0.35">
      <c r="A80" s="590"/>
      <c r="B80" s="628"/>
      <c r="C80" s="628"/>
      <c r="D80" s="628"/>
      <c r="E80" s="628"/>
      <c r="F80" s="628"/>
      <c r="G80" s="628"/>
      <c r="H80" s="628"/>
      <c r="I80" s="628"/>
      <c r="J80" s="628"/>
      <c r="K80" s="628"/>
      <c r="L80" s="628"/>
      <c r="M80" s="628"/>
      <c r="N80" s="607"/>
      <c r="O80" s="578"/>
      <c r="P80" s="578"/>
    </row>
    <row r="81" spans="1:16" ht="16" x14ac:dyDescent="0.35">
      <c r="A81" s="315" t="s">
        <v>1016</v>
      </c>
      <c r="B81" s="166"/>
      <c r="C81" s="166"/>
      <c r="D81" s="166"/>
      <c r="E81" s="166"/>
      <c r="F81" s="166"/>
      <c r="G81" s="166"/>
      <c r="H81" s="166"/>
      <c r="I81" s="166"/>
      <c r="J81" s="166"/>
      <c r="K81" s="166"/>
      <c r="L81" s="166"/>
      <c r="M81" s="166"/>
      <c r="N81" s="597"/>
      <c r="O81" s="608"/>
      <c r="P81" s="608"/>
    </row>
    <row r="82" spans="1:16" ht="16" x14ac:dyDescent="0.35">
      <c r="A82" s="598" t="s">
        <v>1017</v>
      </c>
      <c r="B82" s="599">
        <v>0</v>
      </c>
      <c r="C82" s="599">
        <v>0</v>
      </c>
      <c r="D82" s="599">
        <v>0</v>
      </c>
      <c r="E82" s="599">
        <v>0</v>
      </c>
      <c r="F82" s="599">
        <v>0</v>
      </c>
      <c r="G82" s="600">
        <v>0</v>
      </c>
      <c r="H82" s="599">
        <v>0</v>
      </c>
      <c r="I82" s="599">
        <v>0</v>
      </c>
      <c r="J82" s="599">
        <v>0</v>
      </c>
      <c r="K82" s="599">
        <v>0</v>
      </c>
      <c r="L82" s="599">
        <v>0</v>
      </c>
      <c r="M82" s="600">
        <v>0</v>
      </c>
      <c r="N82" s="601" t="s">
        <v>50</v>
      </c>
      <c r="O82" s="75" t="s">
        <v>237</v>
      </c>
      <c r="P82" s="602" t="s">
        <v>237</v>
      </c>
    </row>
    <row r="83" spans="1:16" ht="80" x14ac:dyDescent="0.35">
      <c r="A83" s="620" t="s">
        <v>1018</v>
      </c>
      <c r="B83" s="621">
        <v>0</v>
      </c>
      <c r="C83" s="621">
        <v>0</v>
      </c>
      <c r="D83" s="621">
        <v>0</v>
      </c>
      <c r="E83" s="621">
        <v>0</v>
      </c>
      <c r="F83" s="621">
        <v>0</v>
      </c>
      <c r="G83" s="622">
        <v>0</v>
      </c>
      <c r="H83" s="599">
        <v>0</v>
      </c>
      <c r="I83" s="599">
        <v>0</v>
      </c>
      <c r="J83" s="599">
        <v>0</v>
      </c>
      <c r="K83" s="599">
        <v>0</v>
      </c>
      <c r="L83" s="599">
        <v>0</v>
      </c>
      <c r="M83" s="622">
        <v>0</v>
      </c>
      <c r="N83" s="601" t="s">
        <v>50</v>
      </c>
      <c r="O83" s="466" t="s">
        <v>1019</v>
      </c>
      <c r="P83" s="446" t="s">
        <v>237</v>
      </c>
    </row>
    <row r="84" spans="1:16" ht="16" x14ac:dyDescent="0.35">
      <c r="A84" s="322" t="s">
        <v>1020</v>
      </c>
      <c r="B84" s="288">
        <v>0</v>
      </c>
      <c r="C84" s="288">
        <v>0</v>
      </c>
      <c r="D84" s="288">
        <v>0</v>
      </c>
      <c r="E84" s="288">
        <v>0</v>
      </c>
      <c r="F84" s="288">
        <v>0</v>
      </c>
      <c r="G84" s="288">
        <v>0</v>
      </c>
      <c r="H84" s="288">
        <v>0</v>
      </c>
      <c r="I84" s="288">
        <v>0</v>
      </c>
      <c r="J84" s="288">
        <v>0</v>
      </c>
      <c r="K84" s="288">
        <v>0</v>
      </c>
      <c r="L84" s="288">
        <v>0</v>
      </c>
      <c r="M84" s="288">
        <v>0</v>
      </c>
      <c r="N84" s="603" t="s">
        <v>50</v>
      </c>
      <c r="O84" s="323"/>
      <c r="P84" s="324"/>
    </row>
    <row r="85" spans="1:16" ht="16" x14ac:dyDescent="0.35">
      <c r="A85" s="590"/>
      <c r="B85" s="609"/>
      <c r="C85" s="609"/>
      <c r="D85" s="609"/>
      <c r="E85" s="609"/>
      <c r="F85" s="609"/>
      <c r="G85" s="609"/>
      <c r="H85" s="609"/>
      <c r="I85" s="609"/>
      <c r="J85" s="609"/>
      <c r="K85" s="609"/>
      <c r="L85" s="609"/>
      <c r="M85" s="609"/>
      <c r="N85" s="609"/>
      <c r="O85" s="285"/>
      <c r="P85" s="611"/>
    </row>
    <row r="86" spans="1:16" ht="32" x14ac:dyDescent="0.35">
      <c r="A86" s="629" t="s">
        <v>1021</v>
      </c>
      <c r="B86" s="630">
        <v>663.03899999999999</v>
      </c>
      <c r="C86" s="630">
        <v>16.193000000000001</v>
      </c>
      <c r="D86" s="630">
        <v>25.859999999999996</v>
      </c>
      <c r="E86" s="630">
        <v>0</v>
      </c>
      <c r="F86" s="630">
        <v>0</v>
      </c>
      <c r="G86" s="630">
        <v>705.09199999999998</v>
      </c>
      <c r="H86" s="630">
        <v>657.26599999999996</v>
      </c>
      <c r="I86" s="630">
        <v>11.450999999999999</v>
      </c>
      <c r="J86" s="630">
        <v>46.769999999999996</v>
      </c>
      <c r="K86" s="630">
        <v>0</v>
      </c>
      <c r="L86" s="630">
        <v>0</v>
      </c>
      <c r="M86" s="630">
        <v>715.48699999999997</v>
      </c>
      <c r="N86" s="631">
        <v>1.4742756973558035E-2</v>
      </c>
      <c r="O86" s="632"/>
      <c r="P86" s="633"/>
    </row>
    <row r="87" spans="1:16" ht="16" x14ac:dyDescent="0.35">
      <c r="A87" s="634"/>
      <c r="B87" s="635"/>
      <c r="C87" s="635"/>
      <c r="D87" s="635"/>
      <c r="E87" s="635"/>
      <c r="F87" s="635"/>
      <c r="G87" s="635"/>
      <c r="H87" s="635"/>
      <c r="I87" s="635"/>
      <c r="J87" s="635"/>
      <c r="K87" s="635"/>
      <c r="L87" s="635"/>
      <c r="M87" s="635"/>
      <c r="N87" s="636"/>
      <c r="O87" s="637"/>
      <c r="P87" s="637"/>
    </row>
    <row r="88" spans="1:16" ht="16" x14ac:dyDescent="0.35">
      <c r="A88" s="638" t="s">
        <v>1022</v>
      </c>
      <c r="B88" s="639"/>
      <c r="C88" s="639"/>
      <c r="D88" s="639"/>
      <c r="E88" s="639"/>
      <c r="F88" s="639"/>
      <c r="G88" s="639"/>
      <c r="H88" s="639"/>
      <c r="I88" s="639"/>
      <c r="J88" s="639"/>
      <c r="K88" s="639"/>
      <c r="L88" s="639"/>
      <c r="M88" s="639"/>
      <c r="N88" s="272"/>
      <c r="O88" s="640"/>
      <c r="P88" s="640"/>
    </row>
    <row r="89" spans="1:16" ht="16" x14ac:dyDescent="0.35">
      <c r="A89" s="641"/>
      <c r="B89" s="642"/>
      <c r="C89" s="642"/>
      <c r="D89" s="642"/>
      <c r="E89" s="642"/>
      <c r="F89" s="642"/>
      <c r="G89" s="642"/>
      <c r="H89" s="642"/>
      <c r="I89" s="642"/>
      <c r="J89" s="642"/>
      <c r="K89" s="642"/>
      <c r="L89" s="642"/>
      <c r="M89" s="642"/>
      <c r="N89" s="607"/>
      <c r="O89" s="593"/>
      <c r="P89" s="593"/>
    </row>
    <row r="90" spans="1:16" ht="32" x14ac:dyDescent="0.35">
      <c r="A90" s="624" t="s">
        <v>1023</v>
      </c>
      <c r="B90" s="612"/>
      <c r="C90" s="612"/>
      <c r="D90" s="612"/>
      <c r="E90" s="612"/>
      <c r="F90" s="612"/>
      <c r="G90" s="612"/>
      <c r="H90" s="612"/>
      <c r="I90" s="612"/>
      <c r="J90" s="612"/>
      <c r="K90" s="612"/>
      <c r="L90" s="612"/>
      <c r="M90" s="612"/>
      <c r="N90" s="612"/>
      <c r="O90" s="612"/>
      <c r="P90" s="612"/>
    </row>
    <row r="91" spans="1:16" ht="64" x14ac:dyDescent="0.35">
      <c r="A91" s="598" t="s">
        <v>1024</v>
      </c>
      <c r="B91" s="599">
        <v>1.744</v>
      </c>
      <c r="C91" s="599">
        <v>0</v>
      </c>
      <c r="D91" s="599">
        <v>0</v>
      </c>
      <c r="E91" s="599">
        <v>0</v>
      </c>
      <c r="F91" s="599">
        <v>0</v>
      </c>
      <c r="G91" s="600">
        <v>1.744</v>
      </c>
      <c r="H91" s="599">
        <v>2</v>
      </c>
      <c r="I91" s="599">
        <v>0</v>
      </c>
      <c r="J91" s="599">
        <v>0</v>
      </c>
      <c r="K91" s="599">
        <v>0</v>
      </c>
      <c r="L91" s="599">
        <v>0</v>
      </c>
      <c r="M91" s="600">
        <v>2</v>
      </c>
      <c r="N91" s="601">
        <v>0.14678899082568808</v>
      </c>
      <c r="O91" s="75" t="s">
        <v>1025</v>
      </c>
      <c r="P91" s="602" t="s">
        <v>954</v>
      </c>
    </row>
    <row r="92" spans="1:16" ht="32" x14ac:dyDescent="0.35">
      <c r="A92" s="620" t="s">
        <v>1026</v>
      </c>
      <c r="B92" s="621">
        <v>0</v>
      </c>
      <c r="C92" s="621">
        <v>0</v>
      </c>
      <c r="D92" s="621">
        <v>0</v>
      </c>
      <c r="E92" s="621">
        <v>0</v>
      </c>
      <c r="F92" s="621">
        <v>0</v>
      </c>
      <c r="G92" s="622">
        <v>0</v>
      </c>
      <c r="H92" s="599">
        <v>0</v>
      </c>
      <c r="I92" s="599">
        <v>0</v>
      </c>
      <c r="J92" s="599">
        <v>0</v>
      </c>
      <c r="K92" s="599">
        <v>0</v>
      </c>
      <c r="L92" s="599">
        <v>0</v>
      </c>
      <c r="M92" s="622">
        <v>0</v>
      </c>
      <c r="N92" s="601" t="s">
        <v>50</v>
      </c>
      <c r="O92" s="466" t="s">
        <v>1027</v>
      </c>
      <c r="P92" s="446" t="s">
        <v>60</v>
      </c>
    </row>
    <row r="93" spans="1:16" ht="48" x14ac:dyDescent="0.35">
      <c r="A93" s="322" t="s">
        <v>1028</v>
      </c>
      <c r="B93" s="288">
        <v>1.744</v>
      </c>
      <c r="C93" s="288">
        <v>0</v>
      </c>
      <c r="D93" s="288">
        <v>0</v>
      </c>
      <c r="E93" s="288">
        <v>0</v>
      </c>
      <c r="F93" s="288">
        <v>0</v>
      </c>
      <c r="G93" s="288">
        <v>1.744</v>
      </c>
      <c r="H93" s="288">
        <v>2</v>
      </c>
      <c r="I93" s="288">
        <v>0</v>
      </c>
      <c r="J93" s="288">
        <v>0</v>
      </c>
      <c r="K93" s="288">
        <v>0</v>
      </c>
      <c r="L93" s="288">
        <v>0</v>
      </c>
      <c r="M93" s="288">
        <v>2</v>
      </c>
      <c r="N93" s="603">
        <v>0.14678899082568808</v>
      </c>
      <c r="O93" s="323"/>
      <c r="P93" s="324"/>
    </row>
    <row r="94" spans="1:16" ht="16" x14ac:dyDescent="0.35">
      <c r="A94" s="590"/>
      <c r="B94" s="643"/>
      <c r="C94" s="643"/>
      <c r="D94" s="643"/>
      <c r="E94" s="643"/>
      <c r="F94" s="643"/>
      <c r="G94" s="643"/>
      <c r="H94" s="643"/>
      <c r="I94" s="643"/>
      <c r="J94" s="643"/>
      <c r="K94" s="643"/>
      <c r="L94" s="643"/>
      <c r="M94" s="643"/>
      <c r="N94" s="610"/>
      <c r="O94" s="285"/>
      <c r="P94" s="285"/>
    </row>
    <row r="95" spans="1:16" ht="16" x14ac:dyDescent="0.35">
      <c r="A95" s="315" t="s">
        <v>1029</v>
      </c>
      <c r="B95" s="166"/>
      <c r="C95" s="166"/>
      <c r="D95" s="166"/>
      <c r="E95" s="166"/>
      <c r="F95" s="166"/>
      <c r="G95" s="166"/>
      <c r="H95" s="166"/>
      <c r="I95" s="166"/>
      <c r="J95" s="166"/>
      <c r="K95" s="166"/>
      <c r="L95" s="166"/>
      <c r="M95" s="166"/>
      <c r="N95" s="597"/>
      <c r="O95" s="317"/>
      <c r="P95" s="317"/>
    </row>
    <row r="96" spans="1:16" ht="16" x14ac:dyDescent="0.35">
      <c r="A96" s="598" t="s">
        <v>1030</v>
      </c>
      <c r="B96" s="599">
        <v>0.06</v>
      </c>
      <c r="C96" s="599">
        <v>0</v>
      </c>
      <c r="D96" s="599">
        <v>0</v>
      </c>
      <c r="E96" s="599">
        <v>0</v>
      </c>
      <c r="F96" s="599">
        <v>0</v>
      </c>
      <c r="G96" s="600">
        <v>0.06</v>
      </c>
      <c r="H96" s="599">
        <v>0</v>
      </c>
      <c r="I96" s="599">
        <v>0</v>
      </c>
      <c r="J96" s="599">
        <v>0</v>
      </c>
      <c r="K96" s="599">
        <v>0</v>
      </c>
      <c r="L96" s="599">
        <v>0</v>
      </c>
      <c r="M96" s="600">
        <v>0</v>
      </c>
      <c r="N96" s="601">
        <v>-1</v>
      </c>
      <c r="O96" s="75" t="s">
        <v>1027</v>
      </c>
      <c r="P96" s="602" t="s">
        <v>237</v>
      </c>
    </row>
    <row r="97" spans="1:16" ht="16" x14ac:dyDescent="0.35">
      <c r="A97" s="620" t="s">
        <v>1031</v>
      </c>
      <c r="B97" s="621">
        <v>0</v>
      </c>
      <c r="C97" s="621">
        <v>0</v>
      </c>
      <c r="D97" s="621">
        <v>0</v>
      </c>
      <c r="E97" s="621">
        <v>0</v>
      </c>
      <c r="F97" s="621">
        <v>0</v>
      </c>
      <c r="G97" s="622">
        <v>0</v>
      </c>
      <c r="H97" s="599">
        <v>0</v>
      </c>
      <c r="I97" s="599">
        <v>0</v>
      </c>
      <c r="J97" s="599">
        <v>0</v>
      </c>
      <c r="K97" s="599">
        <v>0</v>
      </c>
      <c r="L97" s="599">
        <v>0</v>
      </c>
      <c r="M97" s="622">
        <v>0</v>
      </c>
      <c r="N97" s="601" t="s">
        <v>50</v>
      </c>
      <c r="O97" s="466" t="s">
        <v>1027</v>
      </c>
      <c r="P97" s="446" t="s">
        <v>237</v>
      </c>
    </row>
    <row r="98" spans="1:16" ht="32" x14ac:dyDescent="0.35">
      <c r="A98" s="620" t="s">
        <v>1032</v>
      </c>
      <c r="B98" s="621">
        <v>0.76500000000000001</v>
      </c>
      <c r="C98" s="621">
        <v>0</v>
      </c>
      <c r="D98" s="621">
        <v>0</v>
      </c>
      <c r="E98" s="621">
        <v>0</v>
      </c>
      <c r="F98" s="621">
        <v>0</v>
      </c>
      <c r="G98" s="622">
        <v>0.76500000000000001</v>
      </c>
      <c r="H98" s="599">
        <v>0</v>
      </c>
      <c r="I98" s="599">
        <v>0</v>
      </c>
      <c r="J98" s="599">
        <v>0</v>
      </c>
      <c r="K98" s="599">
        <v>0</v>
      </c>
      <c r="L98" s="599">
        <v>0</v>
      </c>
      <c r="M98" s="622">
        <v>0</v>
      </c>
      <c r="N98" s="601">
        <v>-1</v>
      </c>
      <c r="O98" s="466" t="s">
        <v>1033</v>
      </c>
      <c r="P98" s="446" t="s">
        <v>954</v>
      </c>
    </row>
    <row r="99" spans="1:16" ht="96" x14ac:dyDescent="0.35">
      <c r="A99" s="620" t="s">
        <v>1034</v>
      </c>
      <c r="B99" s="621">
        <v>23.466999999999999</v>
      </c>
      <c r="C99" s="621">
        <v>0</v>
      </c>
      <c r="D99" s="621">
        <v>0</v>
      </c>
      <c r="E99" s="621">
        <v>0</v>
      </c>
      <c r="F99" s="621">
        <v>0</v>
      </c>
      <c r="G99" s="622">
        <v>23.466999999999999</v>
      </c>
      <c r="H99" s="599">
        <v>24.308</v>
      </c>
      <c r="I99" s="599">
        <v>0</v>
      </c>
      <c r="J99" s="599">
        <v>0</v>
      </c>
      <c r="K99" s="599">
        <v>0</v>
      </c>
      <c r="L99" s="599">
        <v>0</v>
      </c>
      <c r="M99" s="622">
        <v>24.308</v>
      </c>
      <c r="N99" s="601">
        <v>3.5837559125580648E-2</v>
      </c>
      <c r="O99" s="466" t="s">
        <v>1035</v>
      </c>
      <c r="P99" s="446" t="s">
        <v>954</v>
      </c>
    </row>
    <row r="100" spans="1:16" ht="16" x14ac:dyDescent="0.35">
      <c r="A100" s="322" t="s">
        <v>1036</v>
      </c>
      <c r="B100" s="288">
        <v>24.291999999999998</v>
      </c>
      <c r="C100" s="288">
        <v>0</v>
      </c>
      <c r="D100" s="288">
        <v>0</v>
      </c>
      <c r="E100" s="288">
        <v>0</v>
      </c>
      <c r="F100" s="288">
        <v>0</v>
      </c>
      <c r="G100" s="288">
        <v>24.291999999999998</v>
      </c>
      <c r="H100" s="288">
        <v>24.308</v>
      </c>
      <c r="I100" s="288">
        <v>0</v>
      </c>
      <c r="J100" s="288">
        <v>0</v>
      </c>
      <c r="K100" s="288">
        <v>0</v>
      </c>
      <c r="L100" s="288">
        <v>0</v>
      </c>
      <c r="M100" s="288">
        <v>24.308</v>
      </c>
      <c r="N100" s="603">
        <v>6.5865305450361401E-4</v>
      </c>
      <c r="O100" s="323"/>
      <c r="P100" s="324"/>
    </row>
    <row r="101" spans="1:16" ht="16" x14ac:dyDescent="0.35">
      <c r="A101" s="590"/>
      <c r="B101" s="643"/>
      <c r="C101" s="643"/>
      <c r="D101" s="643"/>
      <c r="E101" s="643"/>
      <c r="F101" s="643"/>
      <c r="G101" s="643"/>
      <c r="H101" s="643"/>
      <c r="I101" s="643"/>
      <c r="J101" s="643"/>
      <c r="K101" s="643"/>
      <c r="L101" s="643"/>
      <c r="M101" s="643"/>
      <c r="N101" s="610"/>
      <c r="O101" s="285"/>
      <c r="P101" s="285"/>
    </row>
    <row r="102" spans="1:16" ht="16" x14ac:dyDescent="0.35">
      <c r="A102" s="315" t="s">
        <v>1037</v>
      </c>
      <c r="B102" s="166"/>
      <c r="C102" s="166"/>
      <c r="D102" s="166"/>
      <c r="E102" s="166"/>
      <c r="F102" s="166"/>
      <c r="G102" s="166"/>
      <c r="H102" s="166"/>
      <c r="I102" s="166"/>
      <c r="J102" s="166"/>
      <c r="K102" s="166"/>
      <c r="L102" s="166"/>
      <c r="M102" s="166"/>
      <c r="N102" s="597"/>
      <c r="O102" s="317"/>
      <c r="P102" s="317"/>
    </row>
    <row r="103" spans="1:16" ht="30" customHeight="1" x14ac:dyDescent="0.35">
      <c r="A103" s="598" t="s">
        <v>1038</v>
      </c>
      <c r="B103" s="599">
        <v>0</v>
      </c>
      <c r="C103" s="599">
        <v>6.5000000000000002E-2</v>
      </c>
      <c r="D103" s="599">
        <v>0</v>
      </c>
      <c r="E103" s="599">
        <v>0</v>
      </c>
      <c r="F103" s="599">
        <v>0</v>
      </c>
      <c r="G103" s="600">
        <v>6.5000000000000002E-2</v>
      </c>
      <c r="H103" s="599">
        <v>0</v>
      </c>
      <c r="I103" s="599">
        <v>0</v>
      </c>
      <c r="J103" s="599">
        <v>0</v>
      </c>
      <c r="K103" s="599">
        <v>0</v>
      </c>
      <c r="L103" s="599">
        <v>0</v>
      </c>
      <c r="M103" s="600">
        <v>0</v>
      </c>
      <c r="N103" s="601">
        <v>-1</v>
      </c>
      <c r="O103" s="75" t="s">
        <v>1039</v>
      </c>
      <c r="P103" s="602" t="s">
        <v>931</v>
      </c>
    </row>
    <row r="104" spans="1:16" ht="112" x14ac:dyDescent="0.35">
      <c r="A104" s="620" t="s">
        <v>1040</v>
      </c>
      <c r="B104" s="621">
        <v>4.5</v>
      </c>
      <c r="C104" s="621">
        <v>0</v>
      </c>
      <c r="D104" s="621">
        <v>0</v>
      </c>
      <c r="E104" s="621">
        <v>0</v>
      </c>
      <c r="F104" s="621">
        <v>0</v>
      </c>
      <c r="G104" s="622">
        <v>4.5</v>
      </c>
      <c r="H104" s="599">
        <v>4.87</v>
      </c>
      <c r="I104" s="599">
        <v>0</v>
      </c>
      <c r="J104" s="599">
        <v>0</v>
      </c>
      <c r="K104" s="599">
        <v>0</v>
      </c>
      <c r="L104" s="599">
        <v>0</v>
      </c>
      <c r="M104" s="622">
        <v>4.87</v>
      </c>
      <c r="N104" s="601">
        <v>8.2222222222222252E-2</v>
      </c>
      <c r="O104" s="466" t="s">
        <v>1041</v>
      </c>
      <c r="P104" s="446" t="s">
        <v>954</v>
      </c>
    </row>
    <row r="105" spans="1:16" ht="16" x14ac:dyDescent="0.35">
      <c r="A105" s="322" t="s">
        <v>1042</v>
      </c>
      <c r="B105" s="288">
        <v>4.5</v>
      </c>
      <c r="C105" s="288">
        <v>6.5000000000000002E-2</v>
      </c>
      <c r="D105" s="288">
        <v>0</v>
      </c>
      <c r="E105" s="288">
        <v>0</v>
      </c>
      <c r="F105" s="288">
        <v>0</v>
      </c>
      <c r="G105" s="288">
        <v>4.5650000000000004</v>
      </c>
      <c r="H105" s="288">
        <v>4.87</v>
      </c>
      <c r="I105" s="288">
        <v>0</v>
      </c>
      <c r="J105" s="288">
        <v>0</v>
      </c>
      <c r="K105" s="288">
        <v>0</v>
      </c>
      <c r="L105" s="288">
        <v>0</v>
      </c>
      <c r="M105" s="288">
        <v>4.87</v>
      </c>
      <c r="N105" s="603">
        <v>6.6812705366922173E-2</v>
      </c>
      <c r="O105" s="323"/>
      <c r="P105" s="324"/>
    </row>
    <row r="106" spans="1:16" ht="16" x14ac:dyDescent="0.35">
      <c r="A106" s="590"/>
      <c r="B106" s="643"/>
      <c r="C106" s="643"/>
      <c r="D106" s="643"/>
      <c r="E106" s="643"/>
      <c r="F106" s="643"/>
      <c r="G106" s="643"/>
      <c r="H106" s="643"/>
      <c r="I106" s="643"/>
      <c r="J106" s="643"/>
      <c r="K106" s="643"/>
      <c r="L106" s="643"/>
      <c r="M106" s="643"/>
      <c r="N106" s="610"/>
      <c r="O106" s="285"/>
      <c r="P106" s="285"/>
    </row>
    <row r="107" spans="1:16" ht="16" x14ac:dyDescent="0.35">
      <c r="A107" s="315" t="s">
        <v>1043</v>
      </c>
      <c r="B107" s="166"/>
      <c r="C107" s="166"/>
      <c r="D107" s="166"/>
      <c r="E107" s="166"/>
      <c r="F107" s="166"/>
      <c r="G107" s="166"/>
      <c r="H107" s="166"/>
      <c r="I107" s="166"/>
      <c r="J107" s="166"/>
      <c r="K107" s="166"/>
      <c r="L107" s="166"/>
      <c r="M107" s="166"/>
      <c r="N107" s="597"/>
      <c r="O107" s="317"/>
      <c r="P107" s="317"/>
    </row>
    <row r="108" spans="1:16" ht="16" x14ac:dyDescent="0.35">
      <c r="A108" s="598" t="s">
        <v>1044</v>
      </c>
      <c r="B108" s="599">
        <v>0</v>
      </c>
      <c r="C108" s="599">
        <v>0</v>
      </c>
      <c r="D108" s="599">
        <v>0</v>
      </c>
      <c r="E108" s="599">
        <v>0</v>
      </c>
      <c r="F108" s="599">
        <v>0</v>
      </c>
      <c r="G108" s="600">
        <v>0</v>
      </c>
      <c r="H108" s="599">
        <v>0</v>
      </c>
      <c r="I108" s="599">
        <v>0</v>
      </c>
      <c r="J108" s="599">
        <v>0</v>
      </c>
      <c r="K108" s="599">
        <v>0</v>
      </c>
      <c r="L108" s="599">
        <v>0</v>
      </c>
      <c r="M108" s="600">
        <v>0</v>
      </c>
      <c r="N108" s="601" t="s">
        <v>50</v>
      </c>
      <c r="O108" s="75" t="s">
        <v>1027</v>
      </c>
      <c r="P108" s="602" t="s">
        <v>237</v>
      </c>
    </row>
    <row r="109" spans="1:16" ht="80" x14ac:dyDescent="0.35">
      <c r="A109" s="620" t="s">
        <v>1045</v>
      </c>
      <c r="B109" s="621">
        <v>8.0960000000000001</v>
      </c>
      <c r="C109" s="621">
        <v>0</v>
      </c>
      <c r="D109" s="621">
        <v>0</v>
      </c>
      <c r="E109" s="621">
        <v>0</v>
      </c>
      <c r="F109" s="621">
        <v>0</v>
      </c>
      <c r="G109" s="622">
        <v>8.0960000000000001</v>
      </c>
      <c r="H109" s="599">
        <v>10.071</v>
      </c>
      <c r="I109" s="599">
        <v>0</v>
      </c>
      <c r="J109" s="599">
        <v>0</v>
      </c>
      <c r="K109" s="599">
        <v>0</v>
      </c>
      <c r="L109" s="599">
        <v>0</v>
      </c>
      <c r="M109" s="622">
        <v>10.071</v>
      </c>
      <c r="N109" s="601">
        <v>0.24394762845849799</v>
      </c>
      <c r="O109" s="466" t="s">
        <v>1046</v>
      </c>
      <c r="P109" s="446" t="s">
        <v>1047</v>
      </c>
    </row>
    <row r="110" spans="1:16" ht="16" x14ac:dyDescent="0.35">
      <c r="A110" s="322" t="s">
        <v>1048</v>
      </c>
      <c r="B110" s="288">
        <v>8.0960000000000001</v>
      </c>
      <c r="C110" s="288">
        <v>0</v>
      </c>
      <c r="D110" s="288">
        <v>0</v>
      </c>
      <c r="E110" s="288">
        <v>0</v>
      </c>
      <c r="F110" s="288">
        <v>0</v>
      </c>
      <c r="G110" s="288">
        <v>8.0960000000000001</v>
      </c>
      <c r="H110" s="288">
        <v>10.071</v>
      </c>
      <c r="I110" s="288">
        <v>0</v>
      </c>
      <c r="J110" s="288">
        <v>0</v>
      </c>
      <c r="K110" s="288">
        <v>0</v>
      </c>
      <c r="L110" s="288">
        <v>0</v>
      </c>
      <c r="M110" s="288">
        <v>10.071</v>
      </c>
      <c r="N110" s="603">
        <v>0.24394762845849799</v>
      </c>
      <c r="O110" s="323"/>
      <c r="P110" s="324"/>
    </row>
    <row r="111" spans="1:16" ht="16" x14ac:dyDescent="0.35">
      <c r="A111" s="644"/>
      <c r="B111" s="643"/>
      <c r="C111" s="643"/>
      <c r="D111" s="643"/>
      <c r="E111" s="643"/>
      <c r="F111" s="643"/>
      <c r="G111" s="643"/>
      <c r="H111" s="643"/>
      <c r="I111" s="643"/>
      <c r="J111" s="643"/>
      <c r="K111" s="643"/>
      <c r="L111" s="643"/>
      <c r="M111" s="643"/>
      <c r="N111" s="636"/>
      <c r="O111" s="285"/>
      <c r="P111" s="285"/>
    </row>
    <row r="112" spans="1:16" ht="16" x14ac:dyDescent="0.35">
      <c r="A112" s="315" t="s">
        <v>1049</v>
      </c>
      <c r="B112" s="166"/>
      <c r="C112" s="166"/>
      <c r="D112" s="166"/>
      <c r="E112" s="166"/>
      <c r="F112" s="166"/>
      <c r="G112" s="166"/>
      <c r="H112" s="166"/>
      <c r="I112" s="166"/>
      <c r="J112" s="166"/>
      <c r="K112" s="166"/>
      <c r="L112" s="166"/>
      <c r="M112" s="166"/>
      <c r="N112" s="597"/>
      <c r="O112" s="608"/>
      <c r="P112" s="608"/>
    </row>
    <row r="113" spans="1:16" ht="48" x14ac:dyDescent="0.35">
      <c r="A113" s="598" t="s">
        <v>1049</v>
      </c>
      <c r="B113" s="599">
        <v>9.3000000000000007</v>
      </c>
      <c r="C113" s="599">
        <v>0</v>
      </c>
      <c r="D113" s="599">
        <v>2.9</v>
      </c>
      <c r="E113" s="599">
        <v>0</v>
      </c>
      <c r="F113" s="599">
        <v>0</v>
      </c>
      <c r="G113" s="600">
        <v>12.200000000000001</v>
      </c>
      <c r="H113" s="599">
        <v>2.9</v>
      </c>
      <c r="I113" s="599">
        <v>0</v>
      </c>
      <c r="J113" s="599">
        <v>6.1</v>
      </c>
      <c r="K113" s="599">
        <v>0</v>
      </c>
      <c r="L113" s="599">
        <v>0</v>
      </c>
      <c r="M113" s="600">
        <v>9</v>
      </c>
      <c r="N113" s="601">
        <v>-0.26229508196721318</v>
      </c>
      <c r="O113" s="75" t="s">
        <v>1051</v>
      </c>
      <c r="P113" s="602" t="s">
        <v>1052</v>
      </c>
    </row>
    <row r="114" spans="1:16" ht="32" x14ac:dyDescent="0.35">
      <c r="A114" s="322" t="s">
        <v>1053</v>
      </c>
      <c r="B114" s="288">
        <v>9.3000000000000007</v>
      </c>
      <c r="C114" s="288">
        <v>0</v>
      </c>
      <c r="D114" s="288">
        <v>2.9</v>
      </c>
      <c r="E114" s="288">
        <v>0</v>
      </c>
      <c r="F114" s="288">
        <v>0</v>
      </c>
      <c r="G114" s="288">
        <v>12.200000000000001</v>
      </c>
      <c r="H114" s="288">
        <v>2.9</v>
      </c>
      <c r="I114" s="288">
        <v>0</v>
      </c>
      <c r="J114" s="288">
        <v>6.1</v>
      </c>
      <c r="K114" s="288">
        <v>0</v>
      </c>
      <c r="L114" s="288">
        <v>0</v>
      </c>
      <c r="M114" s="288">
        <v>9</v>
      </c>
      <c r="N114" s="603">
        <v>-0.26229508196721318</v>
      </c>
      <c r="O114" s="604"/>
      <c r="P114" s="605"/>
    </row>
    <row r="115" spans="1:16" ht="16" x14ac:dyDescent="0.35">
      <c r="A115" s="590"/>
      <c r="B115" s="643"/>
      <c r="C115" s="643"/>
      <c r="D115" s="643"/>
      <c r="E115" s="643"/>
      <c r="F115" s="643"/>
      <c r="G115" s="643"/>
      <c r="H115" s="643"/>
      <c r="I115" s="643"/>
      <c r="J115" s="643"/>
      <c r="K115" s="643"/>
      <c r="L115" s="643"/>
      <c r="M115" s="643"/>
      <c r="N115" s="610"/>
      <c r="O115" s="285"/>
      <c r="P115" s="285"/>
    </row>
    <row r="116" spans="1:16" ht="32" x14ac:dyDescent="0.35">
      <c r="A116" s="527" t="s">
        <v>1054</v>
      </c>
      <c r="B116" s="166"/>
      <c r="C116" s="166"/>
      <c r="D116" s="166"/>
      <c r="E116" s="166"/>
      <c r="F116" s="166"/>
      <c r="G116" s="166"/>
      <c r="H116" s="166"/>
      <c r="I116" s="166"/>
      <c r="J116" s="166"/>
      <c r="K116" s="166"/>
      <c r="L116" s="166"/>
      <c r="M116" s="166"/>
      <c r="N116" s="597"/>
      <c r="O116" s="317"/>
      <c r="P116" s="317"/>
    </row>
    <row r="117" spans="1:16" ht="48" x14ac:dyDescent="0.35">
      <c r="A117" s="598" t="s">
        <v>1055</v>
      </c>
      <c r="B117" s="599">
        <v>0.58199999999999996</v>
      </c>
      <c r="C117" s="599">
        <v>0</v>
      </c>
      <c r="D117" s="599">
        <v>0</v>
      </c>
      <c r="E117" s="599">
        <v>0</v>
      </c>
      <c r="F117" s="599">
        <v>0</v>
      </c>
      <c r="G117" s="600">
        <v>0.58199999999999996</v>
      </c>
      <c r="H117" s="599">
        <v>0.54</v>
      </c>
      <c r="I117" s="599">
        <v>0</v>
      </c>
      <c r="J117" s="599">
        <v>0</v>
      </c>
      <c r="K117" s="599">
        <v>0</v>
      </c>
      <c r="L117" s="599">
        <v>0</v>
      </c>
      <c r="M117" s="600">
        <v>0.54</v>
      </c>
      <c r="N117" s="601">
        <v>-7.216494845360813E-2</v>
      </c>
      <c r="O117" s="75" t="s">
        <v>1057</v>
      </c>
      <c r="P117" s="602" t="s">
        <v>954</v>
      </c>
    </row>
    <row r="118" spans="1:16" ht="80" x14ac:dyDescent="0.35">
      <c r="A118" s="620" t="s">
        <v>1058</v>
      </c>
      <c r="B118" s="621">
        <v>0.6</v>
      </c>
      <c r="C118" s="621">
        <v>0</v>
      </c>
      <c r="D118" s="621">
        <v>0</v>
      </c>
      <c r="E118" s="621">
        <v>0</v>
      </c>
      <c r="F118" s="621">
        <v>0</v>
      </c>
      <c r="G118" s="622">
        <v>0.6</v>
      </c>
      <c r="H118" s="599">
        <v>0.6</v>
      </c>
      <c r="I118" s="599">
        <v>0</v>
      </c>
      <c r="J118" s="599">
        <v>0</v>
      </c>
      <c r="K118" s="599">
        <v>0</v>
      </c>
      <c r="L118" s="599">
        <v>0</v>
      </c>
      <c r="M118" s="622">
        <v>0.6</v>
      </c>
      <c r="N118" s="601">
        <v>0</v>
      </c>
      <c r="O118" s="466" t="s">
        <v>1059</v>
      </c>
      <c r="P118" s="446" t="s">
        <v>60</v>
      </c>
    </row>
    <row r="119" spans="1:16" ht="32" x14ac:dyDescent="0.35">
      <c r="A119" s="528" t="s">
        <v>1060</v>
      </c>
      <c r="B119" s="288">
        <v>1.1819999999999999</v>
      </c>
      <c r="C119" s="288">
        <v>0</v>
      </c>
      <c r="D119" s="288">
        <v>0</v>
      </c>
      <c r="E119" s="288">
        <v>0</v>
      </c>
      <c r="F119" s="288">
        <v>0</v>
      </c>
      <c r="G119" s="288">
        <v>1.1819999999999999</v>
      </c>
      <c r="H119" s="288">
        <v>1.1400000000000001</v>
      </c>
      <c r="I119" s="288">
        <v>0</v>
      </c>
      <c r="J119" s="288">
        <v>0</v>
      </c>
      <c r="K119" s="288">
        <v>0</v>
      </c>
      <c r="L119" s="288">
        <v>0</v>
      </c>
      <c r="M119" s="288">
        <v>1.1400000000000001</v>
      </c>
      <c r="N119" s="603">
        <v>-3.5532994923857711E-2</v>
      </c>
      <c r="O119" s="323"/>
      <c r="P119" s="324"/>
    </row>
    <row r="120" spans="1:16" ht="16" x14ac:dyDescent="0.35">
      <c r="A120" s="590"/>
      <c r="B120" s="609"/>
      <c r="C120" s="609"/>
      <c r="D120" s="609"/>
      <c r="E120" s="609"/>
      <c r="F120" s="609"/>
      <c r="G120" s="609"/>
      <c r="H120" s="609"/>
      <c r="I120" s="609"/>
      <c r="J120" s="609"/>
      <c r="K120" s="609"/>
      <c r="L120" s="609"/>
      <c r="M120" s="609"/>
      <c r="N120" s="607"/>
      <c r="O120" s="645"/>
      <c r="P120" s="285"/>
    </row>
    <row r="121" spans="1:16" ht="16" x14ac:dyDescent="0.35">
      <c r="A121" s="315" t="s">
        <v>1061</v>
      </c>
      <c r="B121" s="166"/>
      <c r="C121" s="166"/>
      <c r="D121" s="166"/>
      <c r="E121" s="166"/>
      <c r="F121" s="166"/>
      <c r="G121" s="166"/>
      <c r="H121" s="166"/>
      <c r="I121" s="166"/>
      <c r="J121" s="166"/>
      <c r="K121" s="166"/>
      <c r="L121" s="166"/>
      <c r="M121" s="166"/>
      <c r="N121" s="597"/>
      <c r="O121" s="317"/>
      <c r="P121" s="317"/>
    </row>
    <row r="122" spans="1:16" ht="112" x14ac:dyDescent="0.35">
      <c r="A122" s="598" t="s">
        <v>1061</v>
      </c>
      <c r="B122" s="599">
        <v>4.9189999999999996</v>
      </c>
      <c r="C122" s="599">
        <v>0</v>
      </c>
      <c r="D122" s="599">
        <v>0</v>
      </c>
      <c r="E122" s="599">
        <v>0</v>
      </c>
      <c r="F122" s="599">
        <v>0</v>
      </c>
      <c r="G122" s="600">
        <v>4.9189999999999996</v>
      </c>
      <c r="H122" s="599">
        <v>4.617</v>
      </c>
      <c r="I122" s="599">
        <v>0</v>
      </c>
      <c r="J122" s="599">
        <v>0</v>
      </c>
      <c r="K122" s="599">
        <v>0</v>
      </c>
      <c r="L122" s="599">
        <v>0</v>
      </c>
      <c r="M122" s="600">
        <v>4.617</v>
      </c>
      <c r="N122" s="601">
        <v>-6.1394592396828547E-2</v>
      </c>
      <c r="O122" s="75" t="s">
        <v>1062</v>
      </c>
      <c r="P122" s="602" t="s">
        <v>954</v>
      </c>
    </row>
    <row r="123" spans="1:16" ht="16" x14ac:dyDescent="0.35">
      <c r="A123" s="322" t="s">
        <v>1063</v>
      </c>
      <c r="B123" s="288">
        <v>4.9189999999999996</v>
      </c>
      <c r="C123" s="288">
        <v>0</v>
      </c>
      <c r="D123" s="288">
        <v>0</v>
      </c>
      <c r="E123" s="288">
        <v>0</v>
      </c>
      <c r="F123" s="288">
        <v>0</v>
      </c>
      <c r="G123" s="288">
        <v>4.9189999999999996</v>
      </c>
      <c r="H123" s="288">
        <v>4.617</v>
      </c>
      <c r="I123" s="288">
        <v>0</v>
      </c>
      <c r="J123" s="288">
        <v>0</v>
      </c>
      <c r="K123" s="288">
        <v>0</v>
      </c>
      <c r="L123" s="288">
        <v>0</v>
      </c>
      <c r="M123" s="288">
        <v>4.617</v>
      </c>
      <c r="N123" s="603">
        <v>-6.1394592396828547E-2</v>
      </c>
      <c r="O123" s="323"/>
      <c r="P123" s="324"/>
    </row>
    <row r="124" spans="1:16" ht="16" x14ac:dyDescent="0.35">
      <c r="A124" s="644"/>
      <c r="B124" s="643"/>
      <c r="C124" s="643"/>
      <c r="D124" s="643"/>
      <c r="E124" s="643"/>
      <c r="F124" s="643"/>
      <c r="G124" s="643"/>
      <c r="H124" s="643"/>
      <c r="I124" s="643"/>
      <c r="J124" s="643"/>
      <c r="K124" s="643"/>
      <c r="L124" s="643"/>
      <c r="M124" s="643"/>
      <c r="N124" s="636"/>
      <c r="O124" s="285"/>
      <c r="P124" s="285"/>
    </row>
    <row r="125" spans="1:16" ht="16" x14ac:dyDescent="0.35">
      <c r="A125" s="646" t="s">
        <v>1064</v>
      </c>
      <c r="B125" s="630">
        <v>54.033000000000001</v>
      </c>
      <c r="C125" s="630">
        <v>6.5000000000000002E-2</v>
      </c>
      <c r="D125" s="630">
        <v>2.9</v>
      </c>
      <c r="E125" s="630">
        <v>0</v>
      </c>
      <c r="F125" s="630">
        <v>0</v>
      </c>
      <c r="G125" s="630">
        <v>56.99799999999999</v>
      </c>
      <c r="H125" s="630">
        <v>49.905999999999992</v>
      </c>
      <c r="I125" s="630">
        <v>0</v>
      </c>
      <c r="J125" s="630">
        <v>6.1</v>
      </c>
      <c r="K125" s="630">
        <v>0</v>
      </c>
      <c r="L125" s="630">
        <v>0</v>
      </c>
      <c r="M125" s="630">
        <v>56.005999999999993</v>
      </c>
      <c r="N125" s="631">
        <v>-1.7404119442787424E-2</v>
      </c>
      <c r="O125" s="632"/>
      <c r="P125" s="633"/>
    </row>
    <row r="126" spans="1:16" ht="16" x14ac:dyDescent="0.35">
      <c r="A126" s="506"/>
      <c r="B126" s="647"/>
      <c r="C126" s="647"/>
      <c r="D126" s="647"/>
      <c r="E126" s="647"/>
      <c r="F126" s="647"/>
      <c r="G126" s="648"/>
      <c r="H126" s="648"/>
      <c r="I126" s="648"/>
      <c r="J126" s="648"/>
      <c r="K126" s="648"/>
      <c r="L126" s="648"/>
      <c r="M126" s="648"/>
      <c r="N126" s="649"/>
      <c r="O126" s="650"/>
      <c r="P126" s="651"/>
    </row>
    <row r="127" spans="1:16" ht="16" x14ac:dyDescent="0.35">
      <c r="A127" s="638" t="s">
        <v>1065</v>
      </c>
      <c r="B127" s="639"/>
      <c r="C127" s="639"/>
      <c r="D127" s="639"/>
      <c r="E127" s="639"/>
      <c r="F127" s="639"/>
      <c r="G127" s="639"/>
      <c r="H127" s="639"/>
      <c r="I127" s="639"/>
      <c r="J127" s="639"/>
      <c r="K127" s="639"/>
      <c r="L127" s="639"/>
      <c r="M127" s="639"/>
      <c r="N127" s="272"/>
      <c r="O127" s="640"/>
      <c r="P127" s="640"/>
    </row>
    <row r="128" spans="1:16" ht="16" x14ac:dyDescent="0.35">
      <c r="A128" s="506"/>
      <c r="B128" s="647"/>
      <c r="C128" s="647"/>
      <c r="D128" s="647"/>
      <c r="E128" s="647"/>
      <c r="F128" s="647"/>
      <c r="G128" s="648"/>
      <c r="H128" s="648"/>
      <c r="I128" s="648"/>
      <c r="J128" s="648"/>
      <c r="K128" s="648"/>
      <c r="L128" s="648"/>
      <c r="M128" s="648"/>
      <c r="N128" s="649"/>
      <c r="O128" s="650"/>
      <c r="P128" s="651"/>
    </row>
    <row r="129" spans="1:16" ht="16" x14ac:dyDescent="0.35">
      <c r="A129" s="315" t="s">
        <v>1066</v>
      </c>
      <c r="B129" s="166"/>
      <c r="C129" s="166"/>
      <c r="D129" s="166"/>
      <c r="E129" s="166"/>
      <c r="F129" s="166"/>
      <c r="G129" s="166"/>
      <c r="H129" s="166"/>
      <c r="I129" s="166"/>
      <c r="J129" s="166"/>
      <c r="K129" s="166"/>
      <c r="L129" s="166"/>
      <c r="M129" s="166"/>
      <c r="N129" s="597"/>
      <c r="O129" s="317"/>
      <c r="P129" s="317"/>
    </row>
    <row r="130" spans="1:16" ht="48" x14ac:dyDescent="0.35">
      <c r="A130" s="598" t="s">
        <v>1067</v>
      </c>
      <c r="B130" s="599">
        <v>0</v>
      </c>
      <c r="C130" s="599">
        <v>0</v>
      </c>
      <c r="D130" s="599">
        <v>0</v>
      </c>
      <c r="E130" s="599">
        <v>0</v>
      </c>
      <c r="F130" s="599">
        <v>0</v>
      </c>
      <c r="G130" s="600">
        <v>0</v>
      </c>
      <c r="H130" s="599">
        <v>0</v>
      </c>
      <c r="I130" s="599">
        <v>0</v>
      </c>
      <c r="J130" s="599">
        <v>0</v>
      </c>
      <c r="K130" s="599">
        <v>0</v>
      </c>
      <c r="L130" s="599">
        <v>0</v>
      </c>
      <c r="M130" s="600">
        <v>0</v>
      </c>
      <c r="N130" s="601" t="s">
        <v>50</v>
      </c>
      <c r="O130" s="75" t="s">
        <v>1069</v>
      </c>
      <c r="P130" s="602" t="s">
        <v>989</v>
      </c>
    </row>
    <row r="131" spans="1:16" ht="48" x14ac:dyDescent="0.35">
      <c r="A131" s="620" t="s">
        <v>1070</v>
      </c>
      <c r="B131" s="621">
        <v>0</v>
      </c>
      <c r="C131" s="621">
        <v>0</v>
      </c>
      <c r="D131" s="621">
        <v>0</v>
      </c>
      <c r="E131" s="621">
        <v>0</v>
      </c>
      <c r="F131" s="621">
        <v>0</v>
      </c>
      <c r="G131" s="622">
        <v>0</v>
      </c>
      <c r="H131" s="599">
        <v>0</v>
      </c>
      <c r="I131" s="599">
        <v>0</v>
      </c>
      <c r="J131" s="599">
        <v>0</v>
      </c>
      <c r="K131" s="599">
        <v>0</v>
      </c>
      <c r="L131" s="599">
        <v>0</v>
      </c>
      <c r="M131" s="622">
        <v>0</v>
      </c>
      <c r="N131" s="601" t="s">
        <v>50</v>
      </c>
      <c r="O131" s="466" t="s">
        <v>1069</v>
      </c>
      <c r="P131" s="446" t="s">
        <v>989</v>
      </c>
    </row>
    <row r="132" spans="1:16" ht="16" x14ac:dyDescent="0.35">
      <c r="A132" s="322" t="s">
        <v>1071</v>
      </c>
      <c r="B132" s="288">
        <v>0</v>
      </c>
      <c r="C132" s="288">
        <v>0</v>
      </c>
      <c r="D132" s="288">
        <v>0</v>
      </c>
      <c r="E132" s="288">
        <v>0</v>
      </c>
      <c r="F132" s="288">
        <v>0</v>
      </c>
      <c r="G132" s="288">
        <v>0</v>
      </c>
      <c r="H132" s="288">
        <v>0</v>
      </c>
      <c r="I132" s="288">
        <v>0</v>
      </c>
      <c r="J132" s="288">
        <v>0</v>
      </c>
      <c r="K132" s="288">
        <v>0</v>
      </c>
      <c r="L132" s="288">
        <v>0</v>
      </c>
      <c r="M132" s="288">
        <v>0</v>
      </c>
      <c r="N132" s="603" t="s">
        <v>50</v>
      </c>
      <c r="O132" s="323"/>
      <c r="P132" s="324"/>
    </row>
    <row r="133" spans="1:16" ht="16" x14ac:dyDescent="0.35">
      <c r="A133" s="590"/>
      <c r="B133" s="652"/>
      <c r="C133" s="652"/>
      <c r="D133" s="652"/>
      <c r="E133" s="652"/>
      <c r="F133" s="652"/>
      <c r="G133" s="652"/>
      <c r="H133" s="652"/>
      <c r="I133" s="652"/>
      <c r="J133" s="652"/>
      <c r="K133" s="652"/>
      <c r="L133" s="652"/>
      <c r="M133" s="652"/>
      <c r="N133" s="610"/>
      <c r="O133" s="285"/>
      <c r="P133" s="285"/>
    </row>
    <row r="134" spans="1:16" ht="16" x14ac:dyDescent="0.35">
      <c r="A134" s="315" t="s">
        <v>1072</v>
      </c>
      <c r="B134" s="166"/>
      <c r="C134" s="166"/>
      <c r="D134" s="166"/>
      <c r="E134" s="166"/>
      <c r="F134" s="166"/>
      <c r="G134" s="166"/>
      <c r="H134" s="166"/>
      <c r="I134" s="166"/>
      <c r="J134" s="166"/>
      <c r="K134" s="166"/>
      <c r="L134" s="166"/>
      <c r="M134" s="166"/>
      <c r="N134" s="597"/>
      <c r="O134" s="317"/>
      <c r="P134" s="317"/>
    </row>
    <row r="135" spans="1:16" ht="32" x14ac:dyDescent="0.35">
      <c r="A135" s="598" t="s">
        <v>1072</v>
      </c>
      <c r="B135" s="599">
        <v>0</v>
      </c>
      <c r="C135" s="599">
        <v>0</v>
      </c>
      <c r="D135" s="599">
        <v>0.5</v>
      </c>
      <c r="E135" s="599">
        <v>0</v>
      </c>
      <c r="F135" s="599">
        <v>0</v>
      </c>
      <c r="G135" s="600">
        <v>0.5</v>
      </c>
      <c r="H135" s="599">
        <v>0</v>
      </c>
      <c r="I135" s="599">
        <v>0</v>
      </c>
      <c r="J135" s="599">
        <v>0.5</v>
      </c>
      <c r="K135" s="599">
        <v>-0.3</v>
      </c>
      <c r="L135" s="599">
        <v>0</v>
      </c>
      <c r="M135" s="600">
        <v>0.2</v>
      </c>
      <c r="N135" s="601">
        <v>-0.6</v>
      </c>
      <c r="O135" s="75" t="s">
        <v>1073</v>
      </c>
      <c r="P135" s="602" t="s">
        <v>1074</v>
      </c>
    </row>
    <row r="136" spans="1:16" ht="16" x14ac:dyDescent="0.35">
      <c r="A136" s="322" t="s">
        <v>1075</v>
      </c>
      <c r="B136" s="288">
        <v>0</v>
      </c>
      <c r="C136" s="288">
        <v>0</v>
      </c>
      <c r="D136" s="288">
        <v>0.5</v>
      </c>
      <c r="E136" s="288">
        <v>0</v>
      </c>
      <c r="F136" s="288">
        <v>0</v>
      </c>
      <c r="G136" s="288">
        <v>0.5</v>
      </c>
      <c r="H136" s="288">
        <v>0</v>
      </c>
      <c r="I136" s="288">
        <v>0</v>
      </c>
      <c r="J136" s="288">
        <v>0.5</v>
      </c>
      <c r="K136" s="288">
        <v>-0.3</v>
      </c>
      <c r="L136" s="288">
        <v>0</v>
      </c>
      <c r="M136" s="288">
        <v>0.2</v>
      </c>
      <c r="N136" s="603">
        <v>-0.6</v>
      </c>
      <c r="O136" s="323"/>
      <c r="P136" s="324"/>
    </row>
    <row r="137" spans="1:16" ht="16" x14ac:dyDescent="0.35">
      <c r="A137" s="590"/>
      <c r="B137" s="652"/>
      <c r="C137" s="652"/>
      <c r="D137" s="652"/>
      <c r="E137" s="652"/>
      <c r="F137" s="652"/>
      <c r="G137" s="652"/>
      <c r="H137" s="652"/>
      <c r="I137" s="652"/>
      <c r="J137" s="652"/>
      <c r="K137" s="652"/>
      <c r="L137" s="652"/>
      <c r="M137" s="652"/>
      <c r="N137" s="285"/>
      <c r="O137" s="285"/>
      <c r="P137" s="285"/>
    </row>
    <row r="138" spans="1:16" ht="16" x14ac:dyDescent="0.35">
      <c r="A138" s="315" t="s">
        <v>1076</v>
      </c>
      <c r="B138" s="166"/>
      <c r="C138" s="166"/>
      <c r="D138" s="166"/>
      <c r="E138" s="166"/>
      <c r="F138" s="166"/>
      <c r="G138" s="166"/>
      <c r="H138" s="166"/>
      <c r="I138" s="166"/>
      <c r="J138" s="166"/>
      <c r="K138" s="166"/>
      <c r="L138" s="166"/>
      <c r="M138" s="166"/>
      <c r="N138" s="597"/>
      <c r="O138" s="317"/>
      <c r="P138" s="317"/>
    </row>
    <row r="139" spans="1:16" ht="64" x14ac:dyDescent="0.35">
      <c r="A139" s="598" t="s">
        <v>1076</v>
      </c>
      <c r="B139" s="599">
        <v>6</v>
      </c>
      <c r="C139" s="599">
        <v>0</v>
      </c>
      <c r="D139" s="599">
        <v>8</v>
      </c>
      <c r="E139" s="599">
        <v>0</v>
      </c>
      <c r="F139" s="599">
        <v>0</v>
      </c>
      <c r="G139" s="600">
        <v>14</v>
      </c>
      <c r="H139" s="599">
        <v>6.5</v>
      </c>
      <c r="I139" s="599">
        <v>0</v>
      </c>
      <c r="J139" s="599">
        <v>8</v>
      </c>
      <c r="K139" s="599">
        <v>0</v>
      </c>
      <c r="L139" s="599">
        <v>0</v>
      </c>
      <c r="M139" s="600">
        <v>14.5</v>
      </c>
      <c r="N139" s="601">
        <v>3.5714285714285712E-2</v>
      </c>
      <c r="O139" s="75" t="s">
        <v>1077</v>
      </c>
      <c r="P139" s="602" t="s">
        <v>1078</v>
      </c>
    </row>
    <row r="140" spans="1:16" ht="16" x14ac:dyDescent="0.35">
      <c r="A140" s="322" t="s">
        <v>1079</v>
      </c>
      <c r="B140" s="288">
        <v>6</v>
      </c>
      <c r="C140" s="288">
        <v>0</v>
      </c>
      <c r="D140" s="288">
        <v>8</v>
      </c>
      <c r="E140" s="288">
        <v>0</v>
      </c>
      <c r="F140" s="288">
        <v>0</v>
      </c>
      <c r="G140" s="288">
        <v>14</v>
      </c>
      <c r="H140" s="288">
        <v>6.5</v>
      </c>
      <c r="I140" s="288">
        <v>0</v>
      </c>
      <c r="J140" s="288">
        <v>8</v>
      </c>
      <c r="K140" s="288">
        <v>0</v>
      </c>
      <c r="L140" s="288">
        <v>0</v>
      </c>
      <c r="M140" s="288">
        <v>14.5</v>
      </c>
      <c r="N140" s="603">
        <v>3.5714285714285712E-2</v>
      </c>
      <c r="O140" s="323"/>
      <c r="P140" s="324"/>
    </row>
    <row r="141" spans="1:16" ht="16" x14ac:dyDescent="0.35">
      <c r="A141" s="506"/>
      <c r="B141" s="647"/>
      <c r="C141" s="647"/>
      <c r="D141" s="647"/>
      <c r="E141" s="647"/>
      <c r="F141" s="647"/>
      <c r="G141" s="648"/>
      <c r="H141" s="648"/>
      <c r="I141" s="648"/>
      <c r="J141" s="648"/>
      <c r="K141" s="648"/>
      <c r="L141" s="648"/>
      <c r="M141" s="648"/>
      <c r="N141" s="649"/>
      <c r="O141" s="650"/>
      <c r="P141" s="651"/>
    </row>
    <row r="142" spans="1:16" ht="16" x14ac:dyDescent="0.35">
      <c r="A142" s="315" t="s">
        <v>1080</v>
      </c>
      <c r="B142" s="166"/>
      <c r="C142" s="166"/>
      <c r="D142" s="166"/>
      <c r="E142" s="166"/>
      <c r="F142" s="166"/>
      <c r="G142" s="166"/>
      <c r="H142" s="166"/>
      <c r="I142" s="166"/>
      <c r="J142" s="166"/>
      <c r="K142" s="166"/>
      <c r="L142" s="166"/>
      <c r="M142" s="166"/>
      <c r="N142" s="597"/>
      <c r="O142" s="317"/>
      <c r="P142" s="317"/>
    </row>
    <row r="143" spans="1:16" ht="48" x14ac:dyDescent="0.35">
      <c r="A143" s="598" t="s">
        <v>1080</v>
      </c>
      <c r="B143" s="599">
        <v>0</v>
      </c>
      <c r="C143" s="599">
        <v>0</v>
      </c>
      <c r="D143" s="599">
        <v>0</v>
      </c>
      <c r="E143" s="599">
        <v>0</v>
      </c>
      <c r="F143" s="599">
        <v>0</v>
      </c>
      <c r="G143" s="600">
        <v>0</v>
      </c>
      <c r="H143" s="599">
        <v>0</v>
      </c>
      <c r="I143" s="599">
        <v>0</v>
      </c>
      <c r="J143" s="599">
        <v>0</v>
      </c>
      <c r="K143" s="599">
        <v>0</v>
      </c>
      <c r="L143" s="599">
        <v>0</v>
      </c>
      <c r="M143" s="600">
        <v>0</v>
      </c>
      <c r="N143" s="601" t="s">
        <v>50</v>
      </c>
      <c r="O143" s="75" t="s">
        <v>1081</v>
      </c>
      <c r="P143" s="602" t="s">
        <v>989</v>
      </c>
    </row>
    <row r="144" spans="1:16" ht="16" x14ac:dyDescent="0.35">
      <c r="A144" s="322" t="s">
        <v>1082</v>
      </c>
      <c r="B144" s="288">
        <v>0</v>
      </c>
      <c r="C144" s="288">
        <v>0</v>
      </c>
      <c r="D144" s="288">
        <v>0</v>
      </c>
      <c r="E144" s="288">
        <v>0</v>
      </c>
      <c r="F144" s="288">
        <v>0</v>
      </c>
      <c r="G144" s="288">
        <v>0</v>
      </c>
      <c r="H144" s="288">
        <v>0</v>
      </c>
      <c r="I144" s="288">
        <v>0</v>
      </c>
      <c r="J144" s="288">
        <v>0</v>
      </c>
      <c r="K144" s="288">
        <v>0</v>
      </c>
      <c r="L144" s="288">
        <v>0</v>
      </c>
      <c r="M144" s="288">
        <v>0</v>
      </c>
      <c r="N144" s="603" t="s">
        <v>50</v>
      </c>
      <c r="O144" s="323"/>
      <c r="P144" s="324"/>
    </row>
    <row r="145" spans="1:16" ht="16" x14ac:dyDescent="0.35">
      <c r="A145" s="590"/>
      <c r="B145" s="653"/>
      <c r="C145" s="653"/>
      <c r="D145" s="653"/>
      <c r="E145" s="653"/>
      <c r="F145" s="653"/>
      <c r="G145" s="652"/>
      <c r="H145" s="652"/>
      <c r="I145" s="652"/>
      <c r="J145" s="652"/>
      <c r="K145" s="652"/>
      <c r="L145" s="652"/>
      <c r="M145" s="652"/>
      <c r="N145" s="654"/>
      <c r="O145" s="285"/>
      <c r="P145" s="285"/>
    </row>
    <row r="146" spans="1:16" ht="16" x14ac:dyDescent="0.35">
      <c r="A146" s="655" t="s">
        <v>1083</v>
      </c>
      <c r="B146" s="656">
        <v>6</v>
      </c>
      <c r="C146" s="656">
        <v>0</v>
      </c>
      <c r="D146" s="656">
        <v>8.5</v>
      </c>
      <c r="E146" s="656">
        <v>0</v>
      </c>
      <c r="F146" s="656">
        <v>0</v>
      </c>
      <c r="G146" s="656">
        <v>14.5</v>
      </c>
      <c r="H146" s="656">
        <v>6.5</v>
      </c>
      <c r="I146" s="656">
        <v>0</v>
      </c>
      <c r="J146" s="656">
        <v>8.5</v>
      </c>
      <c r="K146" s="656">
        <v>-0.3</v>
      </c>
      <c r="L146" s="656">
        <v>0</v>
      </c>
      <c r="M146" s="656">
        <v>14.7</v>
      </c>
      <c r="N146" s="631">
        <v>1.3793103448275813E-2</v>
      </c>
      <c r="O146" s="657"/>
      <c r="P146" s="658"/>
    </row>
    <row r="148" spans="1:16" ht="16" x14ac:dyDescent="0.35">
      <c r="A148" s="659" t="s">
        <v>1084</v>
      </c>
      <c r="B148" s="639"/>
      <c r="C148" s="639"/>
      <c r="D148" s="639"/>
      <c r="E148" s="639"/>
      <c r="F148" s="639"/>
      <c r="G148" s="639"/>
      <c r="H148" s="639"/>
      <c r="I148" s="639"/>
      <c r="J148" s="639"/>
      <c r="K148" s="639"/>
      <c r="L148" s="639"/>
      <c r="M148" s="639"/>
      <c r="N148" s="660"/>
      <c r="O148" s="661"/>
      <c r="P148" s="661"/>
    </row>
    <row r="149" spans="1:16" ht="216.75" customHeight="1" x14ac:dyDescent="0.35">
      <c r="A149" s="662" t="s">
        <v>1084</v>
      </c>
      <c r="B149" s="599">
        <v>69.584999999999994</v>
      </c>
      <c r="C149" s="599">
        <v>6.149</v>
      </c>
      <c r="D149" s="599">
        <v>7.3</v>
      </c>
      <c r="E149" s="599">
        <v>0</v>
      </c>
      <c r="F149" s="599">
        <v>0</v>
      </c>
      <c r="G149" s="600">
        <v>83.033999999999992</v>
      </c>
      <c r="H149" s="599">
        <v>66.599999999999994</v>
      </c>
      <c r="I149" s="599">
        <v>5.74</v>
      </c>
      <c r="J149" s="599">
        <v>7.3</v>
      </c>
      <c r="K149" s="599">
        <v>0</v>
      </c>
      <c r="L149" s="599">
        <v>0</v>
      </c>
      <c r="M149" s="600">
        <v>79.639999999999986</v>
      </c>
      <c r="N149" s="601">
        <v>-4.08748223619241E-2</v>
      </c>
      <c r="O149" s="75" t="s">
        <v>1087</v>
      </c>
      <c r="P149" s="602" t="s">
        <v>1088</v>
      </c>
    </row>
    <row r="150" spans="1:16" ht="16" x14ac:dyDescent="0.35">
      <c r="A150" s="663" t="s">
        <v>1089</v>
      </c>
      <c r="B150" s="656">
        <v>69.584999999999994</v>
      </c>
      <c r="C150" s="656">
        <v>6.149</v>
      </c>
      <c r="D150" s="656">
        <v>7.3</v>
      </c>
      <c r="E150" s="656">
        <v>0</v>
      </c>
      <c r="F150" s="656">
        <v>0</v>
      </c>
      <c r="G150" s="656">
        <v>83.033999999999992</v>
      </c>
      <c r="H150" s="656">
        <v>66.599999999999994</v>
      </c>
      <c r="I150" s="656">
        <v>5.74</v>
      </c>
      <c r="J150" s="656">
        <v>7.3</v>
      </c>
      <c r="K150" s="656">
        <v>0</v>
      </c>
      <c r="L150" s="656">
        <v>0</v>
      </c>
      <c r="M150" s="656">
        <v>79.639999999999986</v>
      </c>
      <c r="N150" s="631">
        <v>-4.08748223619241E-2</v>
      </c>
      <c r="O150" s="664"/>
      <c r="P150" s="665"/>
    </row>
    <row r="151" spans="1:16" ht="16" x14ac:dyDescent="0.35">
      <c r="A151" s="666"/>
      <c r="B151" s="667"/>
      <c r="C151" s="667"/>
      <c r="D151" s="667"/>
      <c r="E151" s="667"/>
      <c r="F151" s="667"/>
      <c r="G151" s="668"/>
      <c r="H151" s="668"/>
      <c r="I151" s="668"/>
      <c r="J151" s="668"/>
      <c r="K151" s="668"/>
      <c r="L151" s="668"/>
      <c r="M151" s="668"/>
      <c r="N151" s="669"/>
      <c r="O151" s="670"/>
      <c r="P151" s="671"/>
    </row>
    <row r="152" spans="1:16" ht="16" x14ac:dyDescent="0.35">
      <c r="A152" s="672" t="s">
        <v>1090</v>
      </c>
      <c r="B152" s="143"/>
      <c r="C152" s="143"/>
      <c r="D152" s="143"/>
      <c r="E152" s="143"/>
      <c r="F152" s="143"/>
      <c r="G152" s="143"/>
      <c r="H152" s="143"/>
      <c r="I152" s="143"/>
      <c r="J152" s="143"/>
      <c r="K152" s="143"/>
      <c r="L152" s="143"/>
      <c r="M152" s="143"/>
      <c r="N152" s="673"/>
      <c r="O152" s="674"/>
      <c r="P152" s="674"/>
    </row>
    <row r="153" spans="1:16" ht="96" x14ac:dyDescent="0.35">
      <c r="A153" s="675" t="s">
        <v>1091</v>
      </c>
      <c r="B153" s="676">
        <v>0.78400000000000003</v>
      </c>
      <c r="C153" s="676">
        <v>0</v>
      </c>
      <c r="D153" s="676">
        <v>1.3</v>
      </c>
      <c r="E153" s="676">
        <v>0</v>
      </c>
      <c r="F153" s="676">
        <v>0</v>
      </c>
      <c r="G153" s="677">
        <v>2.0840000000000001</v>
      </c>
      <c r="H153" s="599">
        <v>0.9</v>
      </c>
      <c r="I153" s="599">
        <v>0</v>
      </c>
      <c r="J153" s="599">
        <v>0</v>
      </c>
      <c r="K153" s="599">
        <v>0</v>
      </c>
      <c r="L153" s="599">
        <v>0</v>
      </c>
      <c r="M153" s="677">
        <v>0.9</v>
      </c>
      <c r="N153" s="601">
        <v>-0.56813819577735125</v>
      </c>
      <c r="O153" s="678" t="s">
        <v>1093</v>
      </c>
      <c r="P153" s="602" t="s">
        <v>1094</v>
      </c>
    </row>
    <row r="154" spans="1:16" ht="16" x14ac:dyDescent="0.35">
      <c r="A154" s="675" t="s">
        <v>1095</v>
      </c>
      <c r="B154" s="676">
        <v>0</v>
      </c>
      <c r="C154" s="676">
        <v>0</v>
      </c>
      <c r="D154" s="676">
        <v>0</v>
      </c>
      <c r="E154" s="676">
        <v>0</v>
      </c>
      <c r="F154" s="676">
        <v>0</v>
      </c>
      <c r="G154" s="677">
        <v>0</v>
      </c>
      <c r="H154" s="599">
        <v>0</v>
      </c>
      <c r="I154" s="599">
        <v>0</v>
      </c>
      <c r="J154" s="599">
        <v>0</v>
      </c>
      <c r="K154" s="599">
        <v>0</v>
      </c>
      <c r="L154" s="599">
        <v>0</v>
      </c>
      <c r="M154" s="677">
        <v>0</v>
      </c>
      <c r="N154" s="601" t="s">
        <v>50</v>
      </c>
      <c r="O154" s="678" t="s">
        <v>1096</v>
      </c>
      <c r="P154" s="602" t="s">
        <v>989</v>
      </c>
    </row>
    <row r="155" spans="1:16" ht="80" x14ac:dyDescent="0.35">
      <c r="A155" s="675" t="s">
        <v>1092</v>
      </c>
      <c r="B155" s="676">
        <v>0.379</v>
      </c>
      <c r="C155" s="676">
        <v>0</v>
      </c>
      <c r="D155" s="676">
        <v>3</v>
      </c>
      <c r="E155" s="676">
        <v>0</v>
      </c>
      <c r="F155" s="676">
        <v>0</v>
      </c>
      <c r="G155" s="677">
        <v>3.379</v>
      </c>
      <c r="H155" s="599">
        <v>1.5</v>
      </c>
      <c r="I155" s="599">
        <v>0</v>
      </c>
      <c r="J155" s="599">
        <v>5.3</v>
      </c>
      <c r="K155" s="599">
        <v>0</v>
      </c>
      <c r="L155" s="599">
        <v>0</v>
      </c>
      <c r="M155" s="677">
        <v>6.8</v>
      </c>
      <c r="N155" s="601">
        <v>1.0124297129328204</v>
      </c>
      <c r="O155" s="678" t="s">
        <v>1097</v>
      </c>
      <c r="P155" s="602" t="s">
        <v>1098</v>
      </c>
    </row>
    <row r="156" spans="1:16" ht="16" x14ac:dyDescent="0.35">
      <c r="A156" s="679" t="s">
        <v>1099</v>
      </c>
      <c r="B156" s="680">
        <v>1.163</v>
      </c>
      <c r="C156" s="680">
        <v>0</v>
      </c>
      <c r="D156" s="680">
        <v>4.3</v>
      </c>
      <c r="E156" s="680">
        <v>0</v>
      </c>
      <c r="F156" s="680">
        <v>0</v>
      </c>
      <c r="G156" s="680">
        <v>5.4630000000000001</v>
      </c>
      <c r="H156" s="680">
        <v>2.4</v>
      </c>
      <c r="I156" s="680">
        <v>0</v>
      </c>
      <c r="J156" s="680">
        <v>5.3</v>
      </c>
      <c r="K156" s="680">
        <v>0</v>
      </c>
      <c r="L156" s="680">
        <v>0</v>
      </c>
      <c r="M156" s="680">
        <v>7.7</v>
      </c>
      <c r="N156" s="631">
        <v>0.40948196961376532</v>
      </c>
      <c r="O156" s="681"/>
      <c r="P156" s="682"/>
    </row>
    <row r="157" spans="1:16" ht="16" x14ac:dyDescent="0.35">
      <c r="A157" s="666"/>
      <c r="B157" s="667"/>
      <c r="C157" s="667"/>
      <c r="D157" s="667"/>
      <c r="E157" s="667"/>
      <c r="F157" s="667"/>
      <c r="G157" s="668"/>
      <c r="H157" s="668"/>
      <c r="I157" s="668"/>
      <c r="J157" s="668"/>
      <c r="K157" s="668"/>
      <c r="L157" s="668"/>
      <c r="M157" s="668"/>
      <c r="N157" s="669"/>
      <c r="O157" s="670"/>
      <c r="P157" s="671"/>
    </row>
    <row r="158" spans="1:16" ht="16" x14ac:dyDescent="0.35">
      <c r="A158" s="659" t="s">
        <v>1100</v>
      </c>
      <c r="B158" s="683"/>
      <c r="C158" s="683"/>
      <c r="D158" s="683"/>
      <c r="E158" s="683"/>
      <c r="F158" s="683"/>
      <c r="G158" s="683"/>
      <c r="H158" s="683"/>
      <c r="I158" s="683"/>
      <c r="J158" s="683"/>
      <c r="K158" s="683"/>
      <c r="L158" s="683"/>
      <c r="M158" s="683"/>
      <c r="N158" s="684"/>
      <c r="O158" s="475"/>
      <c r="P158" s="475"/>
    </row>
    <row r="159" spans="1:16" ht="96" x14ac:dyDescent="0.35">
      <c r="A159" s="685" t="s">
        <v>1100</v>
      </c>
      <c r="B159" s="599">
        <v>5</v>
      </c>
      <c r="C159" s="599">
        <v>0</v>
      </c>
      <c r="D159" s="599">
        <v>5</v>
      </c>
      <c r="E159" s="599">
        <v>0</v>
      </c>
      <c r="F159" s="599">
        <v>0</v>
      </c>
      <c r="G159" s="600">
        <v>10</v>
      </c>
      <c r="H159" s="599">
        <v>4.78</v>
      </c>
      <c r="I159" s="599">
        <v>0</v>
      </c>
      <c r="J159" s="599">
        <v>5</v>
      </c>
      <c r="K159" s="599">
        <v>0</v>
      </c>
      <c r="L159" s="599">
        <v>0</v>
      </c>
      <c r="M159" s="600">
        <v>9.7800000000000011</v>
      </c>
      <c r="N159" s="601">
        <v>-2.1999999999999888E-2</v>
      </c>
      <c r="O159" s="690" t="s">
        <v>1101</v>
      </c>
      <c r="P159" s="686" t="s">
        <v>954</v>
      </c>
    </row>
    <row r="160" spans="1:16" ht="48" x14ac:dyDescent="0.35">
      <c r="A160" s="687" t="s">
        <v>1102</v>
      </c>
      <c r="B160" s="599">
        <v>1.615</v>
      </c>
      <c r="C160" s="599">
        <v>0</v>
      </c>
      <c r="D160" s="599">
        <v>0</v>
      </c>
      <c r="E160" s="599">
        <v>0</v>
      </c>
      <c r="F160" s="599">
        <v>0</v>
      </c>
      <c r="G160" s="600">
        <v>1.615</v>
      </c>
      <c r="H160" s="599">
        <v>1.68</v>
      </c>
      <c r="I160" s="599">
        <v>0</v>
      </c>
      <c r="J160" s="599">
        <v>0</v>
      </c>
      <c r="K160" s="599">
        <v>0</v>
      </c>
      <c r="L160" s="599">
        <v>0</v>
      </c>
      <c r="M160" s="600">
        <v>1.68</v>
      </c>
      <c r="N160" s="601">
        <v>4.0247678018575817E-2</v>
      </c>
      <c r="O160" s="690" t="s">
        <v>1103</v>
      </c>
      <c r="P160" s="686" t="s">
        <v>954</v>
      </c>
    </row>
    <row r="161" spans="1:16" ht="16" x14ac:dyDescent="0.35">
      <c r="A161" s="688" t="s">
        <v>1104</v>
      </c>
      <c r="B161" s="656">
        <v>6.6150000000000002</v>
      </c>
      <c r="C161" s="656">
        <v>0</v>
      </c>
      <c r="D161" s="656">
        <v>5</v>
      </c>
      <c r="E161" s="656">
        <v>0</v>
      </c>
      <c r="F161" s="656">
        <v>0</v>
      </c>
      <c r="G161" s="656">
        <v>11.615</v>
      </c>
      <c r="H161" s="656">
        <v>6.46</v>
      </c>
      <c r="I161" s="656">
        <v>0</v>
      </c>
      <c r="J161" s="656">
        <v>5</v>
      </c>
      <c r="K161" s="656">
        <v>0</v>
      </c>
      <c r="L161" s="656">
        <v>0</v>
      </c>
      <c r="M161" s="656">
        <v>11.46</v>
      </c>
      <c r="N161" s="631">
        <v>-1.3344812742143724E-2</v>
      </c>
      <c r="O161" s="664"/>
      <c r="P161" s="665"/>
    </row>
    <row r="162" spans="1:16" ht="16" x14ac:dyDescent="0.35">
      <c r="A162" s="666"/>
      <c r="B162" s="667"/>
      <c r="C162" s="667"/>
      <c r="D162" s="667"/>
      <c r="E162" s="667"/>
      <c r="F162" s="667"/>
      <c r="G162" s="668"/>
      <c r="H162" s="668"/>
      <c r="I162" s="668"/>
      <c r="J162" s="668"/>
      <c r="K162" s="668"/>
      <c r="L162" s="668"/>
      <c r="M162" s="668"/>
      <c r="N162" s="669"/>
      <c r="O162" s="670"/>
      <c r="P162" s="671"/>
    </row>
    <row r="163" spans="1:16" ht="16" x14ac:dyDescent="0.35">
      <c r="A163" s="638" t="s">
        <v>1105</v>
      </c>
      <c r="B163" s="639"/>
      <c r="C163" s="639"/>
      <c r="D163" s="639"/>
      <c r="E163" s="639"/>
      <c r="F163" s="639"/>
      <c r="G163" s="639"/>
      <c r="H163" s="639"/>
      <c r="I163" s="639"/>
      <c r="J163" s="639"/>
      <c r="K163" s="639"/>
      <c r="L163" s="639"/>
      <c r="M163" s="639"/>
      <c r="N163" s="272"/>
      <c r="O163" s="640"/>
      <c r="P163" s="640"/>
    </row>
    <row r="164" spans="1:16" ht="96" x14ac:dyDescent="0.35">
      <c r="A164" s="689" t="s">
        <v>1106</v>
      </c>
      <c r="B164" s="599">
        <v>19.561</v>
      </c>
      <c r="C164" s="599">
        <v>0</v>
      </c>
      <c r="D164" s="599">
        <v>0.39</v>
      </c>
      <c r="E164" s="599">
        <v>0</v>
      </c>
      <c r="F164" s="599">
        <v>0</v>
      </c>
      <c r="G164" s="600">
        <v>19.951000000000001</v>
      </c>
      <c r="H164" s="599">
        <v>23.167999999999996</v>
      </c>
      <c r="I164" s="599">
        <v>0</v>
      </c>
      <c r="J164" s="599">
        <v>1.2210000000000001</v>
      </c>
      <c r="K164" s="599">
        <v>0</v>
      </c>
      <c r="L164" s="599">
        <v>0</v>
      </c>
      <c r="M164" s="600">
        <v>24.388999999999996</v>
      </c>
      <c r="N164" s="601">
        <v>0.2224449902260536</v>
      </c>
      <c r="O164" s="690" t="s">
        <v>1107</v>
      </c>
      <c r="P164" s="686" t="s">
        <v>1108</v>
      </c>
    </row>
    <row r="165" spans="1:16" ht="48" x14ac:dyDescent="0.35">
      <c r="A165" s="691" t="s">
        <v>736</v>
      </c>
      <c r="B165" s="599">
        <v>0</v>
      </c>
      <c r="C165" s="599">
        <v>0.60699999999999998</v>
      </c>
      <c r="D165" s="599">
        <v>0</v>
      </c>
      <c r="E165" s="599">
        <v>0</v>
      </c>
      <c r="F165" s="599">
        <v>0</v>
      </c>
      <c r="G165" s="600">
        <v>0.60699999999999998</v>
      </c>
      <c r="H165" s="599">
        <v>0</v>
      </c>
      <c r="I165" s="599">
        <v>1.0109999999999999</v>
      </c>
      <c r="J165" s="599">
        <v>0</v>
      </c>
      <c r="K165" s="599">
        <v>0</v>
      </c>
      <c r="L165" s="599">
        <v>0</v>
      </c>
      <c r="M165" s="600">
        <v>1.0109999999999999</v>
      </c>
      <c r="N165" s="601">
        <v>0.66556836902800642</v>
      </c>
      <c r="O165" s="690" t="s">
        <v>1109</v>
      </c>
      <c r="P165" s="686" t="s">
        <v>1110</v>
      </c>
    </row>
    <row r="166" spans="1:16" ht="64" x14ac:dyDescent="0.35">
      <c r="A166" s="691" t="s">
        <v>1111</v>
      </c>
      <c r="B166" s="599">
        <v>20.466999999999999</v>
      </c>
      <c r="C166" s="599">
        <v>0</v>
      </c>
      <c r="D166" s="599">
        <v>24.9</v>
      </c>
      <c r="E166" s="599">
        <v>0</v>
      </c>
      <c r="F166" s="599">
        <v>0</v>
      </c>
      <c r="G166" s="600">
        <v>45.366999999999997</v>
      </c>
      <c r="H166" s="599">
        <v>22</v>
      </c>
      <c r="I166" s="599">
        <v>0</v>
      </c>
      <c r="J166" s="599">
        <v>31</v>
      </c>
      <c r="K166" s="599">
        <v>0</v>
      </c>
      <c r="L166" s="599">
        <v>0</v>
      </c>
      <c r="M166" s="600">
        <v>53</v>
      </c>
      <c r="N166" s="601">
        <v>0.16825004959552103</v>
      </c>
      <c r="O166" s="690" t="s">
        <v>1112</v>
      </c>
      <c r="P166" s="686" t="s">
        <v>1113</v>
      </c>
    </row>
    <row r="167" spans="1:16" ht="112" x14ac:dyDescent="0.35">
      <c r="A167" s="691" t="s">
        <v>1114</v>
      </c>
      <c r="B167" s="599">
        <v>2.5710000000000002</v>
      </c>
      <c r="C167" s="599">
        <v>0</v>
      </c>
      <c r="D167" s="599">
        <v>1.7</v>
      </c>
      <c r="E167" s="599">
        <v>0</v>
      </c>
      <c r="F167" s="599">
        <v>0</v>
      </c>
      <c r="G167" s="600">
        <v>4.2709999999999999</v>
      </c>
      <c r="H167" s="599">
        <v>2.73</v>
      </c>
      <c r="I167" s="599">
        <v>0</v>
      </c>
      <c r="J167" s="599">
        <v>2</v>
      </c>
      <c r="K167" s="599">
        <v>0</v>
      </c>
      <c r="L167" s="599">
        <v>0</v>
      </c>
      <c r="M167" s="600">
        <v>4.7300000000000004</v>
      </c>
      <c r="N167" s="601">
        <v>0.10746897682041689</v>
      </c>
      <c r="O167" s="690" t="s">
        <v>1115</v>
      </c>
      <c r="P167" s="686" t="s">
        <v>954</v>
      </c>
    </row>
    <row r="168" spans="1:16" ht="16" x14ac:dyDescent="0.35">
      <c r="A168" s="691" t="s">
        <v>1116</v>
      </c>
      <c r="B168" s="599">
        <v>0</v>
      </c>
      <c r="C168" s="599">
        <v>0</v>
      </c>
      <c r="D168" s="599">
        <v>0</v>
      </c>
      <c r="E168" s="599">
        <v>0</v>
      </c>
      <c r="F168" s="599">
        <v>0</v>
      </c>
      <c r="G168" s="600">
        <v>0</v>
      </c>
      <c r="H168" s="599">
        <v>0</v>
      </c>
      <c r="I168" s="599">
        <v>0</v>
      </c>
      <c r="J168" s="599">
        <v>0</v>
      </c>
      <c r="K168" s="599">
        <v>0</v>
      </c>
      <c r="L168" s="599">
        <v>0</v>
      </c>
      <c r="M168" s="600">
        <v>0</v>
      </c>
      <c r="N168" s="601" t="s">
        <v>50</v>
      </c>
      <c r="O168" s="690" t="s">
        <v>1117</v>
      </c>
      <c r="P168" s="686" t="s">
        <v>237</v>
      </c>
    </row>
    <row r="169" spans="1:16" ht="16" x14ac:dyDescent="0.35">
      <c r="A169" s="692" t="s">
        <v>1118</v>
      </c>
      <c r="B169" s="656">
        <v>42.598999999999997</v>
      </c>
      <c r="C169" s="656">
        <v>0.60699999999999998</v>
      </c>
      <c r="D169" s="656">
        <v>26.99</v>
      </c>
      <c r="E169" s="656">
        <v>0</v>
      </c>
      <c r="F169" s="656">
        <v>0</v>
      </c>
      <c r="G169" s="656">
        <v>70.195999999999998</v>
      </c>
      <c r="H169" s="656">
        <v>47.897999999999989</v>
      </c>
      <c r="I169" s="656">
        <v>1.0109999999999999</v>
      </c>
      <c r="J169" s="656">
        <v>34.221000000000004</v>
      </c>
      <c r="K169" s="656">
        <v>0</v>
      </c>
      <c r="L169" s="656">
        <v>0</v>
      </c>
      <c r="M169" s="656">
        <v>83.13</v>
      </c>
      <c r="N169" s="631">
        <v>0.18425551313465152</v>
      </c>
      <c r="O169" s="693"/>
      <c r="P169" s="693"/>
    </row>
    <row r="170" spans="1:16" ht="16" x14ac:dyDescent="0.35">
      <c r="A170" s="694"/>
      <c r="B170" s="695"/>
      <c r="C170" s="695"/>
      <c r="D170" s="695"/>
      <c r="E170" s="695"/>
      <c r="F170" s="695"/>
      <c r="G170" s="696"/>
      <c r="H170" s="695"/>
      <c r="I170" s="695"/>
      <c r="J170" s="695"/>
      <c r="K170" s="695"/>
      <c r="L170" s="695"/>
      <c r="M170" s="696"/>
      <c r="N170" s="697"/>
      <c r="O170" s="698"/>
      <c r="P170" s="698"/>
    </row>
    <row r="171" spans="1:16" ht="16" x14ac:dyDescent="0.35">
      <c r="A171" s="638" t="s">
        <v>1119</v>
      </c>
      <c r="B171" s="639"/>
      <c r="C171" s="639"/>
      <c r="D171" s="639"/>
      <c r="E171" s="639"/>
      <c r="F171" s="639"/>
      <c r="G171" s="639"/>
      <c r="H171" s="639"/>
      <c r="I171" s="639"/>
      <c r="J171" s="639"/>
      <c r="K171" s="639"/>
      <c r="L171" s="639"/>
      <c r="M171" s="639"/>
      <c r="N171" s="272"/>
      <c r="O171" s="640"/>
      <c r="P171" s="640"/>
    </row>
    <row r="172" spans="1:16" ht="32" x14ac:dyDescent="0.35">
      <c r="A172" s="689" t="s">
        <v>0</v>
      </c>
      <c r="B172" s="599">
        <v>16.494</v>
      </c>
      <c r="C172" s="599">
        <v>0</v>
      </c>
      <c r="D172" s="599">
        <v>0</v>
      </c>
      <c r="E172" s="599">
        <v>0</v>
      </c>
      <c r="F172" s="599">
        <v>0</v>
      </c>
      <c r="G172" s="600">
        <v>16.494</v>
      </c>
      <c r="H172" s="599">
        <v>15.6</v>
      </c>
      <c r="I172" s="599">
        <v>0</v>
      </c>
      <c r="J172" s="599">
        <v>0</v>
      </c>
      <c r="K172" s="599">
        <v>0</v>
      </c>
      <c r="L172" s="599">
        <v>0</v>
      </c>
      <c r="M172" s="600">
        <v>15.6</v>
      </c>
      <c r="N172" s="601">
        <v>-5.4201527828301212E-2</v>
      </c>
      <c r="O172" s="690" t="s">
        <v>1120</v>
      </c>
      <c r="P172" s="686" t="s">
        <v>60</v>
      </c>
    </row>
    <row r="173" spans="1:16" ht="102.75" customHeight="1" x14ac:dyDescent="0.35">
      <c r="A173" s="691" t="s">
        <v>1</v>
      </c>
      <c r="B173" s="599">
        <v>0</v>
      </c>
      <c r="C173" s="599">
        <v>0</v>
      </c>
      <c r="D173" s="599">
        <v>15</v>
      </c>
      <c r="E173" s="599">
        <v>0</v>
      </c>
      <c r="F173" s="599">
        <v>0</v>
      </c>
      <c r="G173" s="600">
        <v>15</v>
      </c>
      <c r="H173" s="599">
        <v>0</v>
      </c>
      <c r="I173" s="599">
        <v>0</v>
      </c>
      <c r="J173" s="599">
        <v>11.6</v>
      </c>
      <c r="K173" s="599">
        <v>0</v>
      </c>
      <c r="L173" s="599">
        <v>0</v>
      </c>
      <c r="M173" s="600">
        <v>11.6</v>
      </c>
      <c r="N173" s="601">
        <v>-0.22666666666666668</v>
      </c>
      <c r="O173" s="690" t="s">
        <v>1121</v>
      </c>
      <c r="P173" s="686" t="s">
        <v>1122</v>
      </c>
    </row>
    <row r="174" spans="1:16" ht="32" x14ac:dyDescent="0.35">
      <c r="A174" s="699" t="s">
        <v>1123</v>
      </c>
      <c r="B174" s="656">
        <v>16.494</v>
      </c>
      <c r="C174" s="656">
        <v>0</v>
      </c>
      <c r="D174" s="656">
        <v>15</v>
      </c>
      <c r="E174" s="656">
        <v>0</v>
      </c>
      <c r="F174" s="656">
        <v>0</v>
      </c>
      <c r="G174" s="656">
        <v>31.494</v>
      </c>
      <c r="H174" s="656">
        <v>15.6</v>
      </c>
      <c r="I174" s="656">
        <v>0</v>
      </c>
      <c r="J174" s="656">
        <v>11.6</v>
      </c>
      <c r="K174" s="656">
        <v>0</v>
      </c>
      <c r="L174" s="656">
        <v>0</v>
      </c>
      <c r="M174" s="656">
        <v>27.2</v>
      </c>
      <c r="N174" s="631">
        <v>-0.13634343049469741</v>
      </c>
      <c r="O174" s="632"/>
      <c r="P174" s="633"/>
    </row>
    <row r="175" spans="1:16" ht="16" x14ac:dyDescent="0.35">
      <c r="A175" s="666"/>
      <c r="B175" s="667"/>
      <c r="C175" s="667"/>
      <c r="D175" s="667"/>
      <c r="E175" s="667"/>
      <c r="F175" s="667"/>
      <c r="G175" s="668"/>
      <c r="H175" s="668"/>
      <c r="I175" s="668"/>
      <c r="J175" s="668"/>
      <c r="K175" s="668"/>
      <c r="L175" s="668"/>
      <c r="M175" s="668"/>
      <c r="N175" s="669"/>
      <c r="O175" s="670"/>
      <c r="P175" s="671"/>
    </row>
    <row r="176" spans="1:16" ht="16" x14ac:dyDescent="0.35">
      <c r="A176" s="638" t="s">
        <v>1124</v>
      </c>
      <c r="B176" s="639"/>
      <c r="C176" s="639"/>
      <c r="D176" s="639"/>
      <c r="E176" s="639"/>
      <c r="F176" s="639"/>
      <c r="G176" s="639"/>
      <c r="H176" s="639"/>
      <c r="I176" s="639"/>
      <c r="J176" s="639"/>
      <c r="K176" s="639"/>
      <c r="L176" s="639"/>
      <c r="M176" s="639"/>
      <c r="N176" s="272"/>
      <c r="O176" s="640"/>
      <c r="P176" s="640"/>
    </row>
    <row r="177" spans="1:16" ht="16" x14ac:dyDescent="0.35">
      <c r="A177" s="700" t="s">
        <v>1125</v>
      </c>
      <c r="B177" s="701"/>
      <c r="C177" s="701"/>
      <c r="D177" s="701"/>
      <c r="E177" s="701"/>
      <c r="F177" s="701"/>
      <c r="G177" s="701"/>
      <c r="H177" s="701"/>
      <c r="I177" s="701"/>
      <c r="J177" s="701"/>
      <c r="K177" s="701"/>
      <c r="L177" s="701"/>
      <c r="M177" s="701"/>
      <c r="N177" s="701"/>
      <c r="O177" s="701"/>
      <c r="P177" s="701"/>
    </row>
    <row r="178" spans="1:16" ht="64" x14ac:dyDescent="0.35">
      <c r="A178" s="685" t="s">
        <v>1126</v>
      </c>
      <c r="B178" s="599">
        <v>0.40100000000000002</v>
      </c>
      <c r="C178" s="599">
        <v>0</v>
      </c>
      <c r="D178" s="599">
        <v>2.0179999999999998</v>
      </c>
      <c r="E178" s="599">
        <v>-0.1</v>
      </c>
      <c r="F178" s="599">
        <v>0</v>
      </c>
      <c r="G178" s="600">
        <v>2.3189999999999995</v>
      </c>
      <c r="H178" s="599">
        <v>1.61</v>
      </c>
      <c r="I178" s="599">
        <v>0</v>
      </c>
      <c r="J178" s="599">
        <v>3.5</v>
      </c>
      <c r="K178" s="599">
        <v>0</v>
      </c>
      <c r="L178" s="599">
        <v>0</v>
      </c>
      <c r="M178" s="600">
        <v>5.1100000000000003</v>
      </c>
      <c r="N178" s="601">
        <v>1.2035360068995262</v>
      </c>
      <c r="O178" s="702" t="s">
        <v>1127</v>
      </c>
      <c r="P178" s="686" t="s">
        <v>1128</v>
      </c>
    </row>
    <row r="179" spans="1:16" ht="80" x14ac:dyDescent="0.35">
      <c r="A179" s="687" t="s">
        <v>1129</v>
      </c>
      <c r="B179" s="621">
        <v>3.29</v>
      </c>
      <c r="C179" s="621">
        <v>0</v>
      </c>
      <c r="D179" s="621">
        <v>10.695</v>
      </c>
      <c r="E179" s="621">
        <v>0</v>
      </c>
      <c r="F179" s="621">
        <v>0</v>
      </c>
      <c r="G179" s="622">
        <v>13.984999999999999</v>
      </c>
      <c r="H179" s="599">
        <v>6.5</v>
      </c>
      <c r="I179" s="599">
        <v>0</v>
      </c>
      <c r="J179" s="599">
        <v>29</v>
      </c>
      <c r="K179" s="599">
        <v>0</v>
      </c>
      <c r="L179" s="599">
        <v>0</v>
      </c>
      <c r="M179" s="622">
        <v>35.5</v>
      </c>
      <c r="N179" s="601">
        <v>1.5384340364676441</v>
      </c>
      <c r="O179" s="703" t="s">
        <v>1130</v>
      </c>
      <c r="P179" s="704" t="s">
        <v>1131</v>
      </c>
    </row>
    <row r="180" spans="1:16" ht="32" x14ac:dyDescent="0.35">
      <c r="A180" s="705" t="s">
        <v>1132</v>
      </c>
      <c r="B180" s="288">
        <v>3.6909999999999998</v>
      </c>
      <c r="C180" s="288">
        <v>0</v>
      </c>
      <c r="D180" s="288">
        <v>12.713000000000001</v>
      </c>
      <c r="E180" s="288">
        <v>-0.1</v>
      </c>
      <c r="F180" s="288">
        <v>0</v>
      </c>
      <c r="G180" s="288">
        <v>16.303999999999998</v>
      </c>
      <c r="H180" s="288">
        <v>8.11</v>
      </c>
      <c r="I180" s="288">
        <v>0</v>
      </c>
      <c r="J180" s="288">
        <v>32.5</v>
      </c>
      <c r="K180" s="288">
        <v>0</v>
      </c>
      <c r="L180" s="288">
        <v>0</v>
      </c>
      <c r="M180" s="288">
        <v>40.61</v>
      </c>
      <c r="N180" s="200">
        <v>1.4907998037291463</v>
      </c>
      <c r="O180" s="706"/>
      <c r="P180" s="707"/>
    </row>
    <row r="181" spans="1:16" ht="16" x14ac:dyDescent="0.35">
      <c r="A181" s="708"/>
      <c r="B181" s="709"/>
      <c r="C181" s="709"/>
      <c r="D181" s="709"/>
      <c r="E181" s="709"/>
      <c r="F181" s="709"/>
      <c r="G181" s="710"/>
      <c r="H181" s="709"/>
      <c r="I181" s="709"/>
      <c r="J181" s="709"/>
      <c r="K181" s="709"/>
      <c r="L181" s="709"/>
      <c r="M181" s="710"/>
      <c r="N181" s="669"/>
      <c r="O181" s="711"/>
      <c r="P181" s="711"/>
    </row>
    <row r="182" spans="1:16" ht="16" x14ac:dyDescent="0.35">
      <c r="A182" s="700" t="s">
        <v>1133</v>
      </c>
      <c r="B182" s="701"/>
      <c r="C182" s="701"/>
      <c r="D182" s="701"/>
      <c r="E182" s="701"/>
      <c r="F182" s="701"/>
      <c r="G182" s="701"/>
      <c r="H182" s="701"/>
      <c r="I182" s="701"/>
      <c r="J182" s="701"/>
      <c r="K182" s="701"/>
      <c r="L182" s="701"/>
      <c r="M182" s="701"/>
      <c r="N182" s="701"/>
      <c r="O182" s="701"/>
      <c r="P182" s="701"/>
    </row>
    <row r="183" spans="1:16" ht="16" x14ac:dyDescent="0.35">
      <c r="A183" s="685" t="s">
        <v>1134</v>
      </c>
      <c r="B183" s="599">
        <v>0</v>
      </c>
      <c r="C183" s="599">
        <v>0</v>
      </c>
      <c r="D183" s="599">
        <v>2.1850000000000001</v>
      </c>
      <c r="E183" s="599">
        <v>0</v>
      </c>
      <c r="F183" s="599">
        <v>0</v>
      </c>
      <c r="G183" s="600">
        <v>2.1850000000000001</v>
      </c>
      <c r="H183" s="599">
        <v>0</v>
      </c>
      <c r="I183" s="599">
        <v>0</v>
      </c>
      <c r="J183" s="599">
        <v>2.0499999999999998</v>
      </c>
      <c r="K183" s="599">
        <v>0</v>
      </c>
      <c r="L183" s="599">
        <v>0</v>
      </c>
      <c r="M183" s="600">
        <v>2.0499999999999998</v>
      </c>
      <c r="N183" s="601">
        <v>-6.1784897025171731E-2</v>
      </c>
      <c r="O183" s="702" t="s">
        <v>1135</v>
      </c>
      <c r="P183" s="686" t="s">
        <v>1136</v>
      </c>
    </row>
    <row r="184" spans="1:16" ht="32" x14ac:dyDescent="0.35">
      <c r="A184" s="685" t="s">
        <v>1137</v>
      </c>
      <c r="B184" s="599">
        <v>7.181</v>
      </c>
      <c r="C184" s="599">
        <v>0</v>
      </c>
      <c r="D184" s="599">
        <v>0</v>
      </c>
      <c r="E184" s="599">
        <v>0</v>
      </c>
      <c r="F184" s="599">
        <v>0</v>
      </c>
      <c r="G184" s="600">
        <v>7.181</v>
      </c>
      <c r="H184" s="599">
        <v>7.8360000000000003</v>
      </c>
      <c r="I184" s="599">
        <v>0</v>
      </c>
      <c r="J184" s="599">
        <v>0</v>
      </c>
      <c r="K184" s="599">
        <v>0</v>
      </c>
      <c r="L184" s="599">
        <v>0</v>
      </c>
      <c r="M184" s="600">
        <v>7.8360000000000003</v>
      </c>
      <c r="N184" s="601">
        <v>9.121292299122688E-2</v>
      </c>
      <c r="O184" s="702" t="s">
        <v>1138</v>
      </c>
      <c r="P184" s="686" t="s">
        <v>1139</v>
      </c>
    </row>
    <row r="185" spans="1:16" ht="32" x14ac:dyDescent="0.35">
      <c r="A185" s="685" t="s">
        <v>1140</v>
      </c>
      <c r="B185" s="599">
        <v>0</v>
      </c>
      <c r="C185" s="599">
        <v>0.8</v>
      </c>
      <c r="D185" s="599">
        <v>0</v>
      </c>
      <c r="E185" s="599">
        <v>0</v>
      </c>
      <c r="F185" s="599">
        <v>0</v>
      </c>
      <c r="G185" s="600">
        <v>0.8</v>
      </c>
      <c r="H185" s="599">
        <v>0</v>
      </c>
      <c r="I185" s="599">
        <v>0.78</v>
      </c>
      <c r="J185" s="599">
        <v>0</v>
      </c>
      <c r="K185" s="599">
        <v>0</v>
      </c>
      <c r="L185" s="599">
        <v>0</v>
      </c>
      <c r="M185" s="600">
        <v>0.78</v>
      </c>
      <c r="N185" s="601">
        <v>-2.5000000000000022E-2</v>
      </c>
      <c r="O185" s="702" t="s">
        <v>1141</v>
      </c>
      <c r="P185" s="686" t="s">
        <v>1011</v>
      </c>
    </row>
    <row r="186" spans="1:16" ht="45" customHeight="1" x14ac:dyDescent="0.35">
      <c r="A186" s="685" t="s">
        <v>1142</v>
      </c>
      <c r="B186" s="599">
        <v>2.585</v>
      </c>
      <c r="C186" s="599">
        <v>0</v>
      </c>
      <c r="D186" s="599">
        <v>0</v>
      </c>
      <c r="E186" s="599">
        <v>0</v>
      </c>
      <c r="F186" s="599">
        <v>8.9999999999999993E-3</v>
      </c>
      <c r="G186" s="600">
        <v>2.5939999999999999</v>
      </c>
      <c r="H186" s="599">
        <v>2.4449999999999998</v>
      </c>
      <c r="I186" s="599">
        <v>0</v>
      </c>
      <c r="J186" s="599">
        <v>0</v>
      </c>
      <c r="K186" s="599">
        <v>0</v>
      </c>
      <c r="L186" s="599">
        <v>6.0000000000000001E-3</v>
      </c>
      <c r="M186" s="600">
        <v>2.4509999999999996</v>
      </c>
      <c r="N186" s="601">
        <v>-5.5127216653816591E-2</v>
      </c>
      <c r="O186" s="702" t="s">
        <v>1143</v>
      </c>
      <c r="P186" s="686" t="s">
        <v>1144</v>
      </c>
    </row>
    <row r="187" spans="1:16" ht="48" x14ac:dyDescent="0.35">
      <c r="A187" s="685" t="s">
        <v>1145</v>
      </c>
      <c r="B187" s="599">
        <v>0</v>
      </c>
      <c r="C187" s="599">
        <v>0</v>
      </c>
      <c r="D187" s="599">
        <v>3.31</v>
      </c>
      <c r="E187" s="599">
        <v>0</v>
      </c>
      <c r="F187" s="599">
        <v>0</v>
      </c>
      <c r="G187" s="600">
        <v>3.31</v>
      </c>
      <c r="H187" s="599">
        <v>0</v>
      </c>
      <c r="I187" s="599">
        <v>0</v>
      </c>
      <c r="J187" s="599">
        <v>1.75</v>
      </c>
      <c r="K187" s="599">
        <v>0</v>
      </c>
      <c r="L187" s="599">
        <v>0</v>
      </c>
      <c r="M187" s="600">
        <v>1.75</v>
      </c>
      <c r="N187" s="601">
        <v>-0.47129909365558914</v>
      </c>
      <c r="O187" s="702" t="s">
        <v>1135</v>
      </c>
      <c r="P187" s="686" t="s">
        <v>1146</v>
      </c>
    </row>
    <row r="188" spans="1:16" ht="32" x14ac:dyDescent="0.35">
      <c r="A188" s="685" t="s">
        <v>1147</v>
      </c>
      <c r="B188" s="599">
        <v>5.8179999999999996</v>
      </c>
      <c r="C188" s="599">
        <v>0</v>
      </c>
      <c r="D188" s="599">
        <v>0</v>
      </c>
      <c r="E188" s="599">
        <v>0</v>
      </c>
      <c r="F188" s="599">
        <v>0</v>
      </c>
      <c r="G188" s="600">
        <v>5.8179999999999996</v>
      </c>
      <c r="H188" s="599">
        <v>5.9930000000000003</v>
      </c>
      <c r="I188" s="599">
        <v>0</v>
      </c>
      <c r="J188" s="599">
        <v>0</v>
      </c>
      <c r="K188" s="599">
        <v>0</v>
      </c>
      <c r="L188" s="599">
        <v>0</v>
      </c>
      <c r="M188" s="600">
        <v>5.9930000000000003</v>
      </c>
      <c r="N188" s="601">
        <v>3.0079064970780462E-2</v>
      </c>
      <c r="O188" s="702" t="s">
        <v>1148</v>
      </c>
      <c r="P188" s="686" t="s">
        <v>1149</v>
      </c>
    </row>
    <row r="189" spans="1:16" ht="32" x14ac:dyDescent="0.35">
      <c r="A189" s="685" t="s">
        <v>1150</v>
      </c>
      <c r="B189" s="599">
        <v>0</v>
      </c>
      <c r="C189" s="599">
        <v>0.35</v>
      </c>
      <c r="D189" s="599">
        <v>0</v>
      </c>
      <c r="E189" s="599">
        <v>0</v>
      </c>
      <c r="F189" s="599">
        <v>0</v>
      </c>
      <c r="G189" s="600">
        <v>0.35</v>
      </c>
      <c r="H189" s="599">
        <v>0</v>
      </c>
      <c r="I189" s="599">
        <v>0.35</v>
      </c>
      <c r="J189" s="599">
        <v>0</v>
      </c>
      <c r="K189" s="599">
        <v>0</v>
      </c>
      <c r="L189" s="599">
        <v>0</v>
      </c>
      <c r="M189" s="600">
        <v>0.35</v>
      </c>
      <c r="N189" s="601">
        <v>0</v>
      </c>
      <c r="O189" s="702" t="s">
        <v>1141</v>
      </c>
      <c r="P189" s="686" t="s">
        <v>1011</v>
      </c>
    </row>
    <row r="190" spans="1:16" ht="32" x14ac:dyDescent="0.35">
      <c r="A190" s="687" t="s">
        <v>1151</v>
      </c>
      <c r="B190" s="599">
        <v>1.7829999999999999</v>
      </c>
      <c r="C190" s="599">
        <v>0</v>
      </c>
      <c r="D190" s="599">
        <v>0</v>
      </c>
      <c r="E190" s="599">
        <v>0</v>
      </c>
      <c r="F190" s="599">
        <v>0</v>
      </c>
      <c r="G190" s="600">
        <v>1.7829999999999999</v>
      </c>
      <c r="H190" s="599">
        <v>1.873</v>
      </c>
      <c r="I190" s="599">
        <v>0</v>
      </c>
      <c r="J190" s="599">
        <v>0</v>
      </c>
      <c r="K190" s="599">
        <v>0</v>
      </c>
      <c r="L190" s="599">
        <v>0</v>
      </c>
      <c r="M190" s="600">
        <v>1.873</v>
      </c>
      <c r="N190" s="601">
        <v>5.0476724621424614E-2</v>
      </c>
      <c r="O190" s="702" t="s">
        <v>1152</v>
      </c>
      <c r="P190" s="686" t="s">
        <v>1153</v>
      </c>
    </row>
    <row r="191" spans="1:16" ht="16" x14ac:dyDescent="0.35">
      <c r="A191" s="705" t="s">
        <v>1154</v>
      </c>
      <c r="B191" s="288">
        <v>17.367000000000001</v>
      </c>
      <c r="C191" s="288">
        <v>1.1499999999999999</v>
      </c>
      <c r="D191" s="288">
        <v>5.4950000000000001</v>
      </c>
      <c r="E191" s="288">
        <v>0</v>
      </c>
      <c r="F191" s="288">
        <v>8.9999999999999993E-3</v>
      </c>
      <c r="G191" s="288">
        <v>24.021000000000001</v>
      </c>
      <c r="H191" s="288">
        <v>18.147000000000002</v>
      </c>
      <c r="I191" s="288">
        <v>1.1299999999999999</v>
      </c>
      <c r="J191" s="288">
        <v>3.8</v>
      </c>
      <c r="K191" s="288">
        <v>0</v>
      </c>
      <c r="L191" s="288">
        <v>6.0000000000000001E-3</v>
      </c>
      <c r="M191" s="288">
        <v>23.083000000000002</v>
      </c>
      <c r="N191" s="200">
        <v>-3.9049165313683812E-2</v>
      </c>
      <c r="O191" s="706"/>
      <c r="P191" s="707"/>
    </row>
    <row r="192" spans="1:16" ht="16" x14ac:dyDescent="0.35">
      <c r="A192" s="708"/>
      <c r="B192" s="709"/>
      <c r="C192" s="709"/>
      <c r="D192" s="709"/>
      <c r="E192" s="709"/>
      <c r="F192" s="709"/>
      <c r="G192" s="710"/>
      <c r="H192" s="709"/>
      <c r="I192" s="709"/>
      <c r="J192" s="709"/>
      <c r="K192" s="709"/>
      <c r="L192" s="709"/>
      <c r="M192" s="710"/>
      <c r="N192" s="669"/>
      <c r="O192" s="711"/>
      <c r="P192" s="711"/>
    </row>
    <row r="193" spans="1:16" ht="16" x14ac:dyDescent="0.35">
      <c r="A193" s="708"/>
      <c r="B193" s="709"/>
      <c r="C193" s="709"/>
      <c r="D193" s="709"/>
      <c r="E193" s="709"/>
      <c r="F193" s="709"/>
      <c r="G193" s="710"/>
      <c r="H193" s="709"/>
      <c r="I193" s="709"/>
      <c r="J193" s="709"/>
      <c r="K193" s="709"/>
      <c r="L193" s="709"/>
      <c r="M193" s="710"/>
      <c r="N193" s="669"/>
      <c r="O193" s="711"/>
      <c r="P193" s="711"/>
    </row>
    <row r="194" spans="1:16" ht="32" x14ac:dyDescent="0.35">
      <c r="A194" s="679" t="s">
        <v>1155</v>
      </c>
      <c r="B194" s="680">
        <v>21.058</v>
      </c>
      <c r="C194" s="680">
        <v>1.1499999999999999</v>
      </c>
      <c r="D194" s="680">
        <v>18.208000000000002</v>
      </c>
      <c r="E194" s="680">
        <v>-0.1</v>
      </c>
      <c r="F194" s="680">
        <v>8.9999999999999993E-3</v>
      </c>
      <c r="G194" s="680">
        <v>40.325000000000003</v>
      </c>
      <c r="H194" s="680">
        <v>26.257000000000001</v>
      </c>
      <c r="I194" s="680">
        <v>1.1299999999999999</v>
      </c>
      <c r="J194" s="680">
        <v>36.299999999999997</v>
      </c>
      <c r="K194" s="680">
        <v>0</v>
      </c>
      <c r="L194" s="680">
        <v>6.0000000000000001E-3</v>
      </c>
      <c r="M194" s="680">
        <v>63.692999999999998</v>
      </c>
      <c r="N194" s="631">
        <v>0.57949163050216967</v>
      </c>
      <c r="O194" s="681"/>
      <c r="P194" s="682"/>
    </row>
    <row r="195" spans="1:16" ht="16" x14ac:dyDescent="0.35">
      <c r="A195" s="666"/>
      <c r="B195" s="667"/>
      <c r="C195" s="667"/>
      <c r="D195" s="667"/>
      <c r="E195" s="667"/>
      <c r="F195" s="667"/>
      <c r="G195" s="668"/>
      <c r="H195" s="668"/>
      <c r="I195" s="668"/>
      <c r="J195" s="668"/>
      <c r="K195" s="668"/>
      <c r="L195" s="668"/>
      <c r="M195" s="668"/>
      <c r="N195" s="669"/>
      <c r="O195" s="670"/>
      <c r="P195" s="671"/>
    </row>
    <row r="196" spans="1:16" ht="32" x14ac:dyDescent="0.35">
      <c r="A196" s="712" t="s">
        <v>1156</v>
      </c>
      <c r="B196" s="713"/>
      <c r="C196" s="713"/>
      <c r="D196" s="713"/>
      <c r="E196" s="713"/>
      <c r="F196" s="713"/>
      <c r="G196" s="713"/>
      <c r="H196" s="713"/>
      <c r="I196" s="713"/>
      <c r="J196" s="713"/>
      <c r="K196" s="713"/>
      <c r="L196" s="713"/>
      <c r="M196" s="713"/>
      <c r="N196" s="660"/>
      <c r="O196" s="272"/>
      <c r="P196" s="272"/>
    </row>
    <row r="197" spans="1:16" ht="16" x14ac:dyDescent="0.35">
      <c r="A197" s="708"/>
      <c r="B197" s="709"/>
      <c r="C197" s="709"/>
      <c r="D197" s="709"/>
      <c r="E197" s="709"/>
      <c r="F197" s="709"/>
      <c r="G197" s="710"/>
      <c r="H197" s="709"/>
      <c r="I197" s="709"/>
      <c r="J197" s="709"/>
      <c r="K197" s="709"/>
      <c r="L197" s="709"/>
      <c r="M197" s="710"/>
      <c r="N197" s="669"/>
      <c r="O197" s="711"/>
      <c r="P197" s="711"/>
    </row>
    <row r="198" spans="1:16" ht="16" x14ac:dyDescent="0.35">
      <c r="A198" s="488" t="s">
        <v>1157</v>
      </c>
      <c r="B198" s="166"/>
      <c r="C198" s="166"/>
      <c r="D198" s="166"/>
      <c r="E198" s="166"/>
      <c r="F198" s="166"/>
      <c r="G198" s="166"/>
      <c r="H198" s="166"/>
      <c r="I198" s="166"/>
      <c r="J198" s="166"/>
      <c r="K198" s="166"/>
      <c r="L198" s="166"/>
      <c r="M198" s="166"/>
      <c r="N198" s="714"/>
      <c r="O198" s="489"/>
      <c r="P198" s="489"/>
    </row>
    <row r="199" spans="1:16" ht="64" x14ac:dyDescent="0.35">
      <c r="A199" s="685" t="s">
        <v>1158</v>
      </c>
      <c r="B199" s="599">
        <v>3.6859999999999999</v>
      </c>
      <c r="C199" s="599">
        <v>0</v>
      </c>
      <c r="D199" s="599">
        <v>0</v>
      </c>
      <c r="E199" s="599">
        <v>0</v>
      </c>
      <c r="F199" s="599">
        <v>0</v>
      </c>
      <c r="G199" s="600">
        <v>3.6859999999999999</v>
      </c>
      <c r="H199" s="599">
        <v>3.9299999999999997</v>
      </c>
      <c r="I199" s="599">
        <v>0</v>
      </c>
      <c r="J199" s="599">
        <v>0</v>
      </c>
      <c r="K199" s="599">
        <v>0</v>
      </c>
      <c r="L199" s="599">
        <v>0</v>
      </c>
      <c r="M199" s="600">
        <v>3.9299999999999997</v>
      </c>
      <c r="N199" s="601">
        <v>6.6196418882257135E-2</v>
      </c>
      <c r="O199" s="715" t="s">
        <v>1159</v>
      </c>
      <c r="P199" s="686" t="s">
        <v>954</v>
      </c>
    </row>
    <row r="200" spans="1:16" ht="32" x14ac:dyDescent="0.35">
      <c r="A200" s="705" t="s">
        <v>1160</v>
      </c>
      <c r="B200" s="288">
        <v>3.6859999999999999</v>
      </c>
      <c r="C200" s="288">
        <v>0</v>
      </c>
      <c r="D200" s="288">
        <v>0</v>
      </c>
      <c r="E200" s="288">
        <v>0</v>
      </c>
      <c r="F200" s="288">
        <v>0</v>
      </c>
      <c r="G200" s="288">
        <v>3.6859999999999999</v>
      </c>
      <c r="H200" s="288">
        <v>3.9299999999999997</v>
      </c>
      <c r="I200" s="288">
        <v>0</v>
      </c>
      <c r="J200" s="288">
        <v>0</v>
      </c>
      <c r="K200" s="288">
        <v>0</v>
      </c>
      <c r="L200" s="288">
        <v>0</v>
      </c>
      <c r="M200" s="288">
        <v>3.9299999999999997</v>
      </c>
      <c r="N200" s="200">
        <v>6.6196418882257135E-2</v>
      </c>
      <c r="O200" s="288"/>
      <c r="P200" s="700"/>
    </row>
    <row r="201" spans="1:16" ht="16" x14ac:dyDescent="0.35">
      <c r="A201" s="716"/>
      <c r="B201" s="652"/>
      <c r="C201" s="652"/>
      <c r="D201" s="652"/>
      <c r="E201" s="652"/>
      <c r="F201" s="652"/>
      <c r="G201" s="652"/>
      <c r="H201" s="652"/>
      <c r="I201" s="652"/>
      <c r="J201" s="652"/>
      <c r="K201" s="652"/>
      <c r="L201" s="652"/>
      <c r="M201" s="652"/>
      <c r="N201" s="717"/>
      <c r="O201" s="671"/>
      <c r="P201" s="671"/>
    </row>
    <row r="202" spans="1:16" ht="16" x14ac:dyDescent="0.35">
      <c r="A202" s="488" t="s">
        <v>1161</v>
      </c>
      <c r="B202" s="166"/>
      <c r="C202" s="166"/>
      <c r="D202" s="166"/>
      <c r="E202" s="166"/>
      <c r="F202" s="166"/>
      <c r="G202" s="166"/>
      <c r="H202" s="166"/>
      <c r="I202" s="166"/>
      <c r="J202" s="166"/>
      <c r="K202" s="166"/>
      <c r="L202" s="166"/>
      <c r="M202" s="166"/>
      <c r="N202" s="714"/>
      <c r="O202" s="166"/>
      <c r="P202" s="166"/>
    </row>
    <row r="203" spans="1:16" ht="176" x14ac:dyDescent="0.35">
      <c r="A203" s="685" t="s">
        <v>1162</v>
      </c>
      <c r="B203" s="599">
        <v>15.835000000000001</v>
      </c>
      <c r="C203" s="599">
        <v>0</v>
      </c>
      <c r="D203" s="599">
        <v>0</v>
      </c>
      <c r="E203" s="599">
        <v>0</v>
      </c>
      <c r="F203" s="599">
        <v>0</v>
      </c>
      <c r="G203" s="600">
        <v>15.835000000000001</v>
      </c>
      <c r="H203" s="599">
        <v>16.923000000000002</v>
      </c>
      <c r="I203" s="599">
        <v>0</v>
      </c>
      <c r="J203" s="599">
        <v>0</v>
      </c>
      <c r="K203" s="599">
        <v>0</v>
      </c>
      <c r="L203" s="599">
        <v>0</v>
      </c>
      <c r="M203" s="600">
        <v>16.923000000000002</v>
      </c>
      <c r="N203" s="601">
        <v>6.8708556994000691E-2</v>
      </c>
      <c r="O203" s="690" t="s">
        <v>1163</v>
      </c>
      <c r="P203" s="686" t="s">
        <v>1164</v>
      </c>
    </row>
    <row r="204" spans="1:16" ht="160" x14ac:dyDescent="0.35">
      <c r="A204" s="687" t="s">
        <v>1165</v>
      </c>
      <c r="B204" s="621">
        <v>0</v>
      </c>
      <c r="C204" s="621">
        <v>0</v>
      </c>
      <c r="D204" s="621">
        <v>31.8</v>
      </c>
      <c r="E204" s="621">
        <v>0</v>
      </c>
      <c r="F204" s="621">
        <v>0</v>
      </c>
      <c r="G204" s="622">
        <v>31.8</v>
      </c>
      <c r="H204" s="599">
        <v>0</v>
      </c>
      <c r="I204" s="599">
        <v>0</v>
      </c>
      <c r="J204" s="599">
        <v>32.799999999999997</v>
      </c>
      <c r="K204" s="599">
        <v>0</v>
      </c>
      <c r="L204" s="599">
        <v>0</v>
      </c>
      <c r="M204" s="622">
        <v>32.799999999999997</v>
      </c>
      <c r="N204" s="601">
        <v>3.1446540880503034E-2</v>
      </c>
      <c r="O204" s="690" t="s">
        <v>1166</v>
      </c>
      <c r="P204" s="686" t="s">
        <v>1167</v>
      </c>
    </row>
    <row r="205" spans="1:16" ht="32" x14ac:dyDescent="0.35">
      <c r="A205" s="687" t="s">
        <v>1168</v>
      </c>
      <c r="B205" s="621">
        <v>0</v>
      </c>
      <c r="C205" s="621">
        <v>0.2</v>
      </c>
      <c r="D205" s="621">
        <v>0</v>
      </c>
      <c r="E205" s="621">
        <v>0</v>
      </c>
      <c r="F205" s="621">
        <v>0</v>
      </c>
      <c r="G205" s="622">
        <v>0.2</v>
      </c>
      <c r="H205" s="599">
        <v>0</v>
      </c>
      <c r="I205" s="599">
        <v>0.2</v>
      </c>
      <c r="J205" s="599">
        <v>0</v>
      </c>
      <c r="K205" s="599">
        <v>0</v>
      </c>
      <c r="L205" s="599">
        <v>0</v>
      </c>
      <c r="M205" s="622">
        <v>0.2</v>
      </c>
      <c r="N205" s="601">
        <v>0</v>
      </c>
      <c r="O205" s="690" t="s">
        <v>1141</v>
      </c>
      <c r="P205" s="686" t="s">
        <v>1169</v>
      </c>
    </row>
    <row r="206" spans="1:16" ht="32" x14ac:dyDescent="0.35">
      <c r="A206" s="687" t="s">
        <v>1170</v>
      </c>
      <c r="B206" s="621">
        <v>-0.13</v>
      </c>
      <c r="C206" s="621">
        <v>0</v>
      </c>
      <c r="D206" s="621">
        <v>0</v>
      </c>
      <c r="E206" s="621">
        <v>0</v>
      </c>
      <c r="F206" s="621">
        <v>0</v>
      </c>
      <c r="G206" s="622">
        <v>-0.13</v>
      </c>
      <c r="H206" s="599">
        <v>-0.11799999999999999</v>
      </c>
      <c r="I206" s="599">
        <v>0</v>
      </c>
      <c r="J206" s="599">
        <v>0</v>
      </c>
      <c r="K206" s="599">
        <v>0</v>
      </c>
      <c r="L206" s="599">
        <v>0</v>
      </c>
      <c r="M206" s="622">
        <v>-0.11799999999999999</v>
      </c>
      <c r="N206" s="601">
        <v>-9.2307692307692382E-2</v>
      </c>
      <c r="O206" s="690" t="s">
        <v>1171</v>
      </c>
      <c r="P206" s="686" t="s">
        <v>1167</v>
      </c>
    </row>
    <row r="207" spans="1:16" ht="16.25" customHeight="1" x14ac:dyDescent="0.35">
      <c r="A207" s="705" t="s">
        <v>1172</v>
      </c>
      <c r="B207" s="288">
        <v>15.705</v>
      </c>
      <c r="C207" s="288">
        <v>0.2</v>
      </c>
      <c r="D207" s="288">
        <v>31.8</v>
      </c>
      <c r="E207" s="288">
        <v>0</v>
      </c>
      <c r="F207" s="288">
        <v>0</v>
      </c>
      <c r="G207" s="288">
        <v>47.705000000000005</v>
      </c>
      <c r="H207" s="288">
        <v>16.805000000000003</v>
      </c>
      <c r="I207" s="288">
        <v>0.2</v>
      </c>
      <c r="J207" s="288">
        <v>32.799999999999997</v>
      </c>
      <c r="K207" s="288">
        <v>0</v>
      </c>
      <c r="L207" s="288">
        <v>0</v>
      </c>
      <c r="M207" s="288">
        <v>49.805</v>
      </c>
      <c r="N207" s="200">
        <v>4.4020542920029222E-2</v>
      </c>
      <c r="O207" s="706"/>
      <c r="P207" s="707"/>
    </row>
    <row r="208" spans="1:16" ht="16" x14ac:dyDescent="0.35">
      <c r="A208" s="716"/>
      <c r="B208" s="716"/>
      <c r="C208" s="716"/>
      <c r="D208" s="716"/>
      <c r="E208" s="716"/>
      <c r="F208" s="716"/>
      <c r="G208" s="716"/>
      <c r="H208" s="716"/>
      <c r="I208" s="716"/>
      <c r="J208" s="716"/>
      <c r="K208" s="716"/>
      <c r="L208" s="716"/>
      <c r="M208" s="716"/>
      <c r="N208" s="717"/>
      <c r="O208" s="718"/>
      <c r="P208" s="718"/>
    </row>
    <row r="209" spans="1:17" s="377" customFormat="1" ht="32" x14ac:dyDescent="0.35">
      <c r="A209" s="700" t="s">
        <v>1173</v>
      </c>
      <c r="B209" s="701"/>
      <c r="C209" s="701"/>
      <c r="D209" s="701"/>
      <c r="E209" s="701"/>
      <c r="F209" s="701"/>
      <c r="G209" s="701"/>
      <c r="H209" s="701"/>
      <c r="I209" s="701"/>
      <c r="J209" s="701"/>
      <c r="K209" s="701"/>
      <c r="L209" s="701"/>
      <c r="M209" s="701"/>
      <c r="N209" s="701"/>
      <c r="O209" s="701"/>
      <c r="P209" s="701"/>
      <c r="Q209" s="372"/>
    </row>
    <row r="210" spans="1:17" ht="48" x14ac:dyDescent="0.35">
      <c r="A210" s="685" t="s">
        <v>1174</v>
      </c>
      <c r="B210" s="599">
        <v>11.4</v>
      </c>
      <c r="C210" s="599">
        <v>0</v>
      </c>
      <c r="D210" s="599">
        <v>0</v>
      </c>
      <c r="E210" s="599">
        <v>0</v>
      </c>
      <c r="F210" s="599">
        <v>0</v>
      </c>
      <c r="G210" s="600">
        <v>11.4</v>
      </c>
      <c r="H210" s="599">
        <v>11.997999999999999</v>
      </c>
      <c r="I210" s="599">
        <v>0</v>
      </c>
      <c r="J210" s="599">
        <v>0</v>
      </c>
      <c r="K210" s="599">
        <v>0</v>
      </c>
      <c r="L210" s="599">
        <v>0</v>
      </c>
      <c r="M210" s="600">
        <v>11.997999999999999</v>
      </c>
      <c r="N210" s="601">
        <v>5.2456140350877103E-2</v>
      </c>
      <c r="O210" s="690" t="s">
        <v>1175</v>
      </c>
      <c r="P210" s="686" t="s">
        <v>1176</v>
      </c>
    </row>
    <row r="211" spans="1:17" s="377" customFormat="1" ht="32" x14ac:dyDescent="0.35">
      <c r="A211" s="685" t="s">
        <v>1177</v>
      </c>
      <c r="B211" s="599">
        <v>4.3499999999999996</v>
      </c>
      <c r="C211" s="599">
        <v>0</v>
      </c>
      <c r="D211" s="599">
        <v>0</v>
      </c>
      <c r="E211" s="599">
        <v>0</v>
      </c>
      <c r="F211" s="599">
        <v>0</v>
      </c>
      <c r="G211" s="600">
        <v>4.3499999999999996</v>
      </c>
      <c r="H211" s="599">
        <v>5.4619999999999997</v>
      </c>
      <c r="I211" s="599">
        <v>0</v>
      </c>
      <c r="J211" s="599">
        <v>0</v>
      </c>
      <c r="K211" s="599">
        <v>0</v>
      </c>
      <c r="L211" s="599">
        <v>0</v>
      </c>
      <c r="M211" s="600">
        <v>5.4619999999999997</v>
      </c>
      <c r="N211" s="601">
        <v>0.25563218390804604</v>
      </c>
      <c r="O211" s="690" t="s">
        <v>1178</v>
      </c>
      <c r="P211" s="686" t="s">
        <v>1179</v>
      </c>
      <c r="Q211" s="372"/>
    </row>
    <row r="212" spans="1:17" s="377" customFormat="1" ht="32" x14ac:dyDescent="0.35">
      <c r="A212" s="687" t="s">
        <v>1180</v>
      </c>
      <c r="B212" s="599">
        <v>-4.2830000000000004</v>
      </c>
      <c r="C212" s="599">
        <v>0</v>
      </c>
      <c r="D212" s="599">
        <v>0</v>
      </c>
      <c r="E212" s="599">
        <v>0</v>
      </c>
      <c r="F212" s="599">
        <v>0</v>
      </c>
      <c r="G212" s="600">
        <v>-4.2830000000000004</v>
      </c>
      <c r="H212" s="599">
        <v>-5.0430000000000001</v>
      </c>
      <c r="I212" s="599">
        <v>0</v>
      </c>
      <c r="J212" s="599">
        <v>0</v>
      </c>
      <c r="K212" s="599">
        <v>0</v>
      </c>
      <c r="L212" s="599">
        <v>0</v>
      </c>
      <c r="M212" s="600">
        <v>-5.0430000000000001</v>
      </c>
      <c r="N212" s="601">
        <v>0.17744571561989253</v>
      </c>
      <c r="O212" s="690" t="s">
        <v>1181</v>
      </c>
      <c r="P212" s="686" t="s">
        <v>1182</v>
      </c>
      <c r="Q212" s="372"/>
    </row>
    <row r="213" spans="1:17" s="377" customFormat="1" ht="32" x14ac:dyDescent="0.35">
      <c r="A213" s="687" t="s">
        <v>1183</v>
      </c>
      <c r="B213" s="599">
        <v>0</v>
      </c>
      <c r="C213" s="599">
        <v>0</v>
      </c>
      <c r="D213" s="599">
        <v>17</v>
      </c>
      <c r="E213" s="599">
        <v>0</v>
      </c>
      <c r="F213" s="599">
        <v>0</v>
      </c>
      <c r="G213" s="600">
        <v>17</v>
      </c>
      <c r="H213" s="599">
        <v>0</v>
      </c>
      <c r="I213" s="599">
        <v>0</v>
      </c>
      <c r="J213" s="599">
        <v>15.4</v>
      </c>
      <c r="K213" s="599">
        <v>0</v>
      </c>
      <c r="L213" s="599">
        <v>0</v>
      </c>
      <c r="M213" s="600">
        <v>15.4</v>
      </c>
      <c r="N213" s="601">
        <v>-9.4117647058823514E-2</v>
      </c>
      <c r="O213" s="690" t="s">
        <v>1184</v>
      </c>
      <c r="P213" s="686" t="s">
        <v>1185</v>
      </c>
      <c r="Q213" s="372"/>
    </row>
    <row r="214" spans="1:17" s="377" customFormat="1" ht="16" x14ac:dyDescent="0.35">
      <c r="A214" s="687" t="s">
        <v>1186</v>
      </c>
      <c r="B214" s="599">
        <v>0</v>
      </c>
      <c r="C214" s="599">
        <v>3.5</v>
      </c>
      <c r="D214" s="599">
        <v>0</v>
      </c>
      <c r="E214" s="599">
        <v>0</v>
      </c>
      <c r="F214" s="599">
        <v>0</v>
      </c>
      <c r="G214" s="600">
        <v>3.5</v>
      </c>
      <c r="H214" s="599">
        <v>0</v>
      </c>
      <c r="I214" s="599">
        <v>3.5</v>
      </c>
      <c r="J214" s="599">
        <v>0</v>
      </c>
      <c r="K214" s="599">
        <v>0</v>
      </c>
      <c r="L214" s="599">
        <v>0</v>
      </c>
      <c r="M214" s="622">
        <v>3.5</v>
      </c>
      <c r="N214" s="601">
        <v>0</v>
      </c>
      <c r="O214" s="690" t="s">
        <v>1141</v>
      </c>
      <c r="P214" s="686" t="s">
        <v>1169</v>
      </c>
      <c r="Q214" s="372"/>
    </row>
    <row r="215" spans="1:17" ht="32" x14ac:dyDescent="0.35">
      <c r="A215" s="705" t="s">
        <v>1187</v>
      </c>
      <c r="B215" s="288">
        <v>11.466999999999999</v>
      </c>
      <c r="C215" s="288">
        <v>3.5</v>
      </c>
      <c r="D215" s="288">
        <v>17</v>
      </c>
      <c r="E215" s="288">
        <v>0</v>
      </c>
      <c r="F215" s="288">
        <v>0</v>
      </c>
      <c r="G215" s="288">
        <v>31.966999999999999</v>
      </c>
      <c r="H215" s="288">
        <v>12.417000000000002</v>
      </c>
      <c r="I215" s="288">
        <v>3.5</v>
      </c>
      <c r="J215" s="288">
        <v>15.4</v>
      </c>
      <c r="K215" s="288">
        <v>0</v>
      </c>
      <c r="L215" s="288">
        <v>0</v>
      </c>
      <c r="M215" s="288">
        <v>31.317</v>
      </c>
      <c r="N215" s="200">
        <v>-2.0333468889792556E-2</v>
      </c>
      <c r="O215" s="706"/>
      <c r="P215" s="707"/>
    </row>
    <row r="216" spans="1:17" ht="16" x14ac:dyDescent="0.35">
      <c r="A216" s="716"/>
      <c r="B216" s="716"/>
      <c r="C216" s="716"/>
      <c r="D216" s="716"/>
      <c r="E216" s="716"/>
      <c r="F216" s="716"/>
      <c r="G216" s="716"/>
      <c r="H216" s="716"/>
      <c r="I216" s="716"/>
      <c r="J216" s="716"/>
      <c r="K216" s="716"/>
      <c r="L216" s="716"/>
      <c r="M216" s="716"/>
      <c r="N216" s="717"/>
      <c r="O216" s="719"/>
      <c r="P216" s="719"/>
    </row>
    <row r="217" spans="1:17" ht="32" x14ac:dyDescent="0.35">
      <c r="A217" s="624" t="s">
        <v>1188</v>
      </c>
      <c r="B217" s="625"/>
      <c r="C217" s="625"/>
      <c r="D217" s="625"/>
      <c r="E217" s="625"/>
      <c r="F217" s="625"/>
      <c r="G217" s="625"/>
      <c r="H217" s="625"/>
      <c r="I217" s="625"/>
      <c r="J217" s="625"/>
      <c r="K217" s="625"/>
      <c r="L217" s="625"/>
      <c r="M217" s="625"/>
      <c r="N217" s="625"/>
      <c r="O217" s="625"/>
      <c r="P217" s="625"/>
    </row>
    <row r="218" spans="1:17" ht="16" x14ac:dyDescent="0.35">
      <c r="A218" s="685" t="s">
        <v>1189</v>
      </c>
      <c r="B218" s="599">
        <v>0</v>
      </c>
      <c r="C218" s="599">
        <v>0</v>
      </c>
      <c r="D218" s="599">
        <v>0</v>
      </c>
      <c r="E218" s="599">
        <v>0</v>
      </c>
      <c r="F218" s="599">
        <v>0</v>
      </c>
      <c r="G218" s="600">
        <v>0</v>
      </c>
      <c r="H218" s="599">
        <v>0</v>
      </c>
      <c r="I218" s="599">
        <v>0</v>
      </c>
      <c r="J218" s="599">
        <v>0</v>
      </c>
      <c r="K218" s="599">
        <v>0</v>
      </c>
      <c r="L218" s="599">
        <v>0</v>
      </c>
      <c r="M218" s="600">
        <v>0</v>
      </c>
      <c r="N218" s="601" t="s">
        <v>50</v>
      </c>
      <c r="O218" s="690" t="s">
        <v>1190</v>
      </c>
      <c r="P218" s="686" t="s">
        <v>1191</v>
      </c>
    </row>
    <row r="219" spans="1:17" ht="64" x14ac:dyDescent="0.35">
      <c r="A219" s="687" t="s">
        <v>1192</v>
      </c>
      <c r="B219" s="621">
        <v>2.4220000000000002</v>
      </c>
      <c r="C219" s="621">
        <v>0</v>
      </c>
      <c r="D219" s="621">
        <v>0</v>
      </c>
      <c r="E219" s="621">
        <v>0</v>
      </c>
      <c r="F219" s="621">
        <v>0</v>
      </c>
      <c r="G219" s="622">
        <v>2.4220000000000002</v>
      </c>
      <c r="H219" s="599">
        <v>3.762</v>
      </c>
      <c r="I219" s="599">
        <v>0</v>
      </c>
      <c r="J219" s="599">
        <v>0</v>
      </c>
      <c r="K219" s="599">
        <v>0</v>
      </c>
      <c r="L219" s="599">
        <v>0</v>
      </c>
      <c r="M219" s="622">
        <v>3.762</v>
      </c>
      <c r="N219" s="601">
        <v>0.5532617671345994</v>
      </c>
      <c r="O219" s="690" t="s">
        <v>1193</v>
      </c>
      <c r="P219" s="686" t="s">
        <v>1194</v>
      </c>
    </row>
    <row r="220" spans="1:17" ht="32" x14ac:dyDescent="0.35">
      <c r="A220" s="705" t="s">
        <v>1195</v>
      </c>
      <c r="B220" s="288">
        <v>2.4220000000000002</v>
      </c>
      <c r="C220" s="288">
        <v>0</v>
      </c>
      <c r="D220" s="288">
        <v>0</v>
      </c>
      <c r="E220" s="288">
        <v>0</v>
      </c>
      <c r="F220" s="288">
        <v>0</v>
      </c>
      <c r="G220" s="288">
        <v>2.4220000000000002</v>
      </c>
      <c r="H220" s="288">
        <v>3.762</v>
      </c>
      <c r="I220" s="288">
        <v>0</v>
      </c>
      <c r="J220" s="288">
        <v>0</v>
      </c>
      <c r="K220" s="288">
        <v>0</v>
      </c>
      <c r="L220" s="288">
        <v>0</v>
      </c>
      <c r="M220" s="288">
        <v>3.762</v>
      </c>
      <c r="N220" s="200">
        <v>0.5532617671345994</v>
      </c>
      <c r="O220" s="706"/>
      <c r="P220" s="707"/>
    </row>
    <row r="221" spans="1:17" ht="16" x14ac:dyDescent="0.35">
      <c r="A221" s="716"/>
      <c r="B221" s="716"/>
      <c r="C221" s="716"/>
      <c r="D221" s="716"/>
      <c r="E221" s="716"/>
      <c r="F221" s="716"/>
      <c r="G221" s="716"/>
      <c r="H221" s="716"/>
      <c r="I221" s="716"/>
      <c r="J221" s="716"/>
      <c r="K221" s="716"/>
      <c r="L221" s="716"/>
      <c r="M221" s="716"/>
      <c r="N221" s="717"/>
      <c r="O221" s="719"/>
      <c r="P221" s="719"/>
    </row>
    <row r="222" spans="1:17" ht="32" x14ac:dyDescent="0.35">
      <c r="A222" s="679" t="s">
        <v>1196</v>
      </c>
      <c r="B222" s="680">
        <v>33.28</v>
      </c>
      <c r="C222" s="680">
        <v>3.7</v>
      </c>
      <c r="D222" s="680">
        <v>48.8</v>
      </c>
      <c r="E222" s="680">
        <v>0</v>
      </c>
      <c r="F222" s="680">
        <v>0</v>
      </c>
      <c r="G222" s="680">
        <v>85.78</v>
      </c>
      <c r="H222" s="680">
        <v>36.914000000000001</v>
      </c>
      <c r="I222" s="680">
        <v>3.7</v>
      </c>
      <c r="J222" s="680">
        <v>48.199999999999996</v>
      </c>
      <c r="K222" s="680">
        <v>0</v>
      </c>
      <c r="L222" s="680">
        <v>0</v>
      </c>
      <c r="M222" s="680">
        <v>88.813999999999993</v>
      </c>
      <c r="N222" s="631">
        <v>3.5369550011657633E-2</v>
      </c>
      <c r="O222" s="681"/>
      <c r="P222" s="682"/>
    </row>
    <row r="223" spans="1:17" ht="16" x14ac:dyDescent="0.35">
      <c r="A223" s="720"/>
      <c r="B223" s="721"/>
      <c r="C223" s="721"/>
      <c r="D223" s="721"/>
      <c r="E223" s="721"/>
      <c r="F223" s="721"/>
      <c r="G223" s="721"/>
      <c r="H223" s="721"/>
      <c r="I223" s="721"/>
      <c r="J223" s="721"/>
      <c r="K223" s="721"/>
      <c r="L223" s="721"/>
      <c r="M223" s="721"/>
      <c r="N223" s="722"/>
      <c r="O223" s="723"/>
      <c r="P223" s="723"/>
    </row>
    <row r="224" spans="1:17" ht="16" x14ac:dyDescent="0.35">
      <c r="A224" s="286" t="s">
        <v>338</v>
      </c>
      <c r="B224" s="287"/>
      <c r="C224" s="287"/>
      <c r="D224" s="287"/>
      <c r="E224" s="287"/>
      <c r="F224" s="287"/>
      <c r="G224" s="288"/>
      <c r="H224" s="724"/>
      <c r="I224" s="724"/>
      <c r="J224" s="724"/>
      <c r="K224" s="724"/>
      <c r="L224" s="724"/>
      <c r="M224" s="288"/>
      <c r="N224" s="722"/>
      <c r="O224" s="723"/>
      <c r="P224" s="723"/>
    </row>
    <row r="225" spans="1:17" s="411" customFormat="1" ht="19.5" x14ac:dyDescent="0.45">
      <c r="A225" s="725"/>
      <c r="B225" s="726"/>
      <c r="C225" s="726"/>
      <c r="D225" s="726"/>
      <c r="E225" s="726"/>
      <c r="F225" s="726"/>
      <c r="G225" s="726"/>
      <c r="H225" s="726"/>
      <c r="I225" s="726"/>
      <c r="J225" s="726"/>
      <c r="K225" s="726"/>
      <c r="L225" s="726"/>
      <c r="M225" s="726"/>
      <c r="N225" s="727"/>
      <c r="O225" s="728"/>
      <c r="P225" s="728"/>
      <c r="Q225" s="410"/>
    </row>
    <row r="226" spans="1:17" ht="16" x14ac:dyDescent="0.35">
      <c r="A226" s="699" t="s">
        <v>1197</v>
      </c>
      <c r="B226" s="729">
        <v>913.8660000000001</v>
      </c>
      <c r="C226" s="729">
        <v>27.864000000000001</v>
      </c>
      <c r="D226" s="729">
        <v>162.85799999999998</v>
      </c>
      <c r="E226" s="729">
        <v>-0.1</v>
      </c>
      <c r="F226" s="729">
        <v>8.9999999999999993E-3</v>
      </c>
      <c r="G226" s="729">
        <v>1104.4970000000001</v>
      </c>
      <c r="H226" s="729">
        <v>915.80099999999993</v>
      </c>
      <c r="I226" s="729">
        <v>23.031999999999996</v>
      </c>
      <c r="J226" s="729">
        <v>209.291</v>
      </c>
      <c r="K226" s="729">
        <v>-0.3</v>
      </c>
      <c r="L226" s="729">
        <v>6.0000000000000001E-3</v>
      </c>
      <c r="M226" s="729">
        <v>1147.8300000000002</v>
      </c>
      <c r="N226" s="631">
        <v>3.9233243729951357E-2</v>
      </c>
      <c r="O226" s="730"/>
      <c r="P226" s="730"/>
    </row>
    <row r="227" spans="1:17" ht="15" x14ac:dyDescent="0.35">
      <c r="A227" s="281"/>
      <c r="B227" s="283"/>
      <c r="C227" s="283"/>
      <c r="D227" s="283"/>
      <c r="E227" s="283"/>
      <c r="F227" s="283"/>
      <c r="G227" s="731"/>
      <c r="H227" s="731"/>
      <c r="I227" s="731"/>
      <c r="J227" s="731"/>
      <c r="K227" s="731"/>
      <c r="L227" s="731"/>
      <c r="M227" s="731"/>
      <c r="N227" s="732"/>
      <c r="O227" s="283"/>
      <c r="P227" s="28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7E34C-21BA-4FF4-AED5-3EBA0CC5CD23}">
  <sheetPr>
    <tabColor rgb="FFFFFF00"/>
  </sheetPr>
  <dimension ref="A1:Q111"/>
  <sheetViews>
    <sheetView showGridLines="0" tabSelected="1" topLeftCell="A77" zoomScale="60" zoomScaleNormal="60" workbookViewId="0">
      <selection activeCell="L20" sqref="L20"/>
    </sheetView>
  </sheetViews>
  <sheetFormatPr defaultColWidth="9.36328125" defaultRowHeight="14.5" outlineLevelCol="1" x14ac:dyDescent="0.35"/>
  <cols>
    <col min="1" max="1" width="40.6328125" style="733" customWidth="1"/>
    <col min="2" max="13" width="17.6328125" style="734" customWidth="1" outlineLevel="1"/>
    <col min="14" max="14" width="17.6328125" style="735" customWidth="1" outlineLevel="1"/>
    <col min="15" max="16" width="75.6328125" style="159" customWidth="1" outlineLevel="1"/>
    <col min="17" max="17" width="2.54296875" style="158" customWidth="1"/>
    <col min="18" max="16384" width="9.36328125" style="159"/>
  </cols>
  <sheetData>
    <row r="1" spans="1:17" ht="28.25" customHeight="1" thickBot="1" x14ac:dyDescent="0.4"/>
    <row r="2" spans="1:17" ht="28.25" customHeight="1" x14ac:dyDescent="0.35">
      <c r="A2" s="736"/>
      <c r="B2" s="737"/>
      <c r="C2" s="738"/>
      <c r="D2" s="738"/>
      <c r="E2" s="738"/>
      <c r="F2" s="738"/>
      <c r="G2" s="739"/>
      <c r="H2" s="737"/>
      <c r="I2" s="738"/>
      <c r="J2" s="738"/>
      <c r="K2" s="738"/>
      <c r="L2" s="738"/>
      <c r="M2" s="739"/>
      <c r="N2" s="740"/>
      <c r="O2" s="741"/>
      <c r="P2" s="742"/>
    </row>
    <row r="3" spans="1:17" ht="100.25" customHeight="1" x14ac:dyDescent="0.35">
      <c r="A3" s="743" t="s">
        <v>1587</v>
      </c>
      <c r="B3" s="9" t="s">
        <v>6</v>
      </c>
      <c r="C3" s="9" t="s">
        <v>7</v>
      </c>
      <c r="D3" s="9" t="s">
        <v>8</v>
      </c>
      <c r="E3" s="9" t="s">
        <v>9</v>
      </c>
      <c r="F3" s="9" t="s">
        <v>10</v>
      </c>
      <c r="G3" s="9" t="s">
        <v>11</v>
      </c>
      <c r="H3" s="307" t="s">
        <v>12</v>
      </c>
      <c r="I3" s="307" t="s">
        <v>13</v>
      </c>
      <c r="J3" s="307" t="s">
        <v>14</v>
      </c>
      <c r="K3" s="307" t="s">
        <v>15</v>
      </c>
      <c r="L3" s="307" t="s">
        <v>16</v>
      </c>
      <c r="M3" s="307" t="s">
        <v>17</v>
      </c>
      <c r="N3" s="10" t="s">
        <v>18</v>
      </c>
      <c r="O3" s="744" t="s">
        <v>3</v>
      </c>
      <c r="P3" s="745" t="s">
        <v>4</v>
      </c>
    </row>
    <row r="4" spans="1:17" ht="22" thickBot="1" x14ac:dyDescent="0.4">
      <c r="A4" s="746"/>
      <c r="B4" s="747"/>
      <c r="C4" s="747"/>
      <c r="D4" s="747"/>
      <c r="E4" s="747"/>
      <c r="F4" s="747"/>
      <c r="G4" s="747"/>
      <c r="H4" s="747"/>
      <c r="I4" s="747"/>
      <c r="J4" s="747"/>
      <c r="K4" s="747"/>
      <c r="L4" s="747"/>
      <c r="M4" s="747"/>
      <c r="N4" s="748"/>
      <c r="O4" s="749"/>
      <c r="P4" s="749"/>
    </row>
    <row r="5" spans="1:17" ht="16" x14ac:dyDescent="0.35">
      <c r="A5" s="154"/>
      <c r="B5" s="155"/>
      <c r="C5" s="155"/>
      <c r="D5" s="155"/>
      <c r="E5" s="155"/>
      <c r="F5" s="155"/>
      <c r="G5" s="155"/>
      <c r="H5" s="155"/>
      <c r="I5" s="155"/>
      <c r="J5" s="155"/>
      <c r="K5" s="155"/>
      <c r="L5" s="155"/>
      <c r="M5" s="155"/>
      <c r="N5" s="156"/>
      <c r="O5" s="157"/>
      <c r="P5" s="157"/>
    </row>
    <row r="6" spans="1:17" ht="16" x14ac:dyDescent="0.35">
      <c r="A6" s="840" t="s">
        <v>1588</v>
      </c>
      <c r="B6" s="237"/>
      <c r="C6" s="237"/>
      <c r="D6" s="237"/>
      <c r="E6" s="237"/>
      <c r="F6" s="237"/>
      <c r="G6" s="237"/>
      <c r="H6" s="237"/>
      <c r="I6" s="237"/>
      <c r="J6" s="237"/>
      <c r="K6" s="237"/>
      <c r="L6" s="237"/>
      <c r="M6" s="237"/>
      <c r="N6" s="237"/>
      <c r="O6" s="237"/>
      <c r="P6" s="237"/>
    </row>
    <row r="7" spans="1:17" customFormat="1" ht="48" x14ac:dyDescent="0.35">
      <c r="A7" s="685" t="s">
        <v>1589</v>
      </c>
      <c r="B7" s="599">
        <v>9.6539999999999999</v>
      </c>
      <c r="C7" s="599">
        <v>0</v>
      </c>
      <c r="D7" s="599">
        <v>0</v>
      </c>
      <c r="E7" s="599">
        <v>0</v>
      </c>
      <c r="F7" s="599">
        <v>0</v>
      </c>
      <c r="G7" s="600">
        <v>9.6539999999999999</v>
      </c>
      <c r="H7" s="599">
        <v>12.600000000000001</v>
      </c>
      <c r="I7" s="599">
        <v>0</v>
      </c>
      <c r="J7" s="599">
        <v>149.9</v>
      </c>
      <c r="K7" s="599">
        <v>0</v>
      </c>
      <c r="L7" s="599">
        <v>0</v>
      </c>
      <c r="M7" s="600">
        <v>162.5</v>
      </c>
      <c r="N7" s="601">
        <v>15.832401077273669</v>
      </c>
      <c r="O7" s="913" t="s">
        <v>1590</v>
      </c>
      <c r="P7" s="686" t="s">
        <v>1591</v>
      </c>
      <c r="Q7" s="126"/>
    </row>
    <row r="8" spans="1:17" customFormat="1" ht="16" x14ac:dyDescent="0.35">
      <c r="A8" s="685" t="s">
        <v>1592</v>
      </c>
      <c r="B8" s="599">
        <v>0</v>
      </c>
      <c r="C8" s="599">
        <v>0</v>
      </c>
      <c r="D8" s="599">
        <v>0</v>
      </c>
      <c r="E8" s="599">
        <v>0</v>
      </c>
      <c r="F8" s="599">
        <v>0</v>
      </c>
      <c r="G8" s="600">
        <v>0</v>
      </c>
      <c r="H8" s="599">
        <v>0</v>
      </c>
      <c r="I8" s="599">
        <v>0</v>
      </c>
      <c r="J8" s="599">
        <v>0</v>
      </c>
      <c r="K8" s="599">
        <v>0</v>
      </c>
      <c r="L8" s="599">
        <v>0</v>
      </c>
      <c r="M8" s="600">
        <v>0</v>
      </c>
      <c r="N8" s="601" t="s">
        <v>50</v>
      </c>
      <c r="O8" s="913" t="s">
        <v>237</v>
      </c>
      <c r="P8" s="686" t="s">
        <v>237</v>
      </c>
      <c r="Q8" s="126"/>
    </row>
    <row r="9" spans="1:17" customFormat="1" ht="16" x14ac:dyDescent="0.35">
      <c r="A9" s="685" t="s">
        <v>1593</v>
      </c>
      <c r="B9" s="599">
        <v>0</v>
      </c>
      <c r="C9" s="599">
        <v>0</v>
      </c>
      <c r="D9" s="599">
        <v>0</v>
      </c>
      <c r="E9" s="599">
        <v>0</v>
      </c>
      <c r="F9" s="599">
        <v>0</v>
      </c>
      <c r="G9" s="600">
        <v>0</v>
      </c>
      <c r="H9" s="599">
        <v>0</v>
      </c>
      <c r="I9" s="599">
        <v>0</v>
      </c>
      <c r="J9" s="599">
        <v>0</v>
      </c>
      <c r="K9" s="599">
        <v>0</v>
      </c>
      <c r="L9" s="599">
        <v>0</v>
      </c>
      <c r="M9" s="600">
        <v>0</v>
      </c>
      <c r="N9" s="601" t="s">
        <v>50</v>
      </c>
      <c r="O9" s="913" t="s">
        <v>237</v>
      </c>
      <c r="P9" s="686" t="s">
        <v>237</v>
      </c>
      <c r="Q9" s="126"/>
    </row>
    <row r="10" spans="1:17" customFormat="1" ht="32" x14ac:dyDescent="0.35">
      <c r="A10" s="857" t="s">
        <v>1594</v>
      </c>
      <c r="B10" s="680">
        <v>9.6539999999999999</v>
      </c>
      <c r="C10" s="680">
        <v>0</v>
      </c>
      <c r="D10" s="680">
        <v>0</v>
      </c>
      <c r="E10" s="680">
        <v>0</v>
      </c>
      <c r="F10" s="680">
        <v>0</v>
      </c>
      <c r="G10" s="680">
        <v>9.6539999999999999</v>
      </c>
      <c r="H10" s="680">
        <v>12.600000000000001</v>
      </c>
      <c r="I10" s="680">
        <v>0</v>
      </c>
      <c r="J10" s="680">
        <v>149.9</v>
      </c>
      <c r="K10" s="680">
        <v>0</v>
      </c>
      <c r="L10" s="680">
        <v>0</v>
      </c>
      <c r="M10" s="680">
        <v>162.5</v>
      </c>
      <c r="N10" s="680">
        <v>15.832401077273669</v>
      </c>
      <c r="O10" s="631"/>
      <c r="P10" s="681"/>
      <c r="Q10" s="126"/>
    </row>
    <row r="11" spans="1:17" ht="16" x14ac:dyDescent="0.35">
      <c r="A11" s="154"/>
      <c r="B11" s="155"/>
      <c r="C11" s="155"/>
      <c r="D11" s="155"/>
      <c r="E11" s="155"/>
      <c r="F11" s="155"/>
      <c r="G11" s="155"/>
      <c r="H11" s="155"/>
      <c r="I11" s="155"/>
      <c r="J11" s="155"/>
      <c r="K11" s="155"/>
      <c r="L11" s="155"/>
      <c r="M11" s="155"/>
      <c r="N11" s="156"/>
      <c r="O11" s="157"/>
      <c r="P11" s="157"/>
    </row>
    <row r="12" spans="1:17" customFormat="1" ht="16" x14ac:dyDescent="0.35">
      <c r="A12" s="840" t="s">
        <v>1595</v>
      </c>
      <c r="B12" s="143"/>
      <c r="C12" s="143"/>
      <c r="D12" s="143"/>
      <c r="E12" s="143"/>
      <c r="F12" s="143"/>
      <c r="G12" s="143"/>
      <c r="H12" s="143"/>
      <c r="I12" s="143"/>
      <c r="J12" s="143"/>
      <c r="K12" s="143"/>
      <c r="L12" s="143"/>
      <c r="M12" s="143"/>
      <c r="N12" s="673"/>
      <c r="O12" s="674"/>
      <c r="P12" s="674"/>
      <c r="Q12" s="126"/>
    </row>
    <row r="13" spans="1:17" ht="16" x14ac:dyDescent="0.35">
      <c r="A13" s="257" t="s">
        <v>1596</v>
      </c>
      <c r="B13" s="776"/>
      <c r="C13" s="776"/>
      <c r="D13" s="776"/>
      <c r="E13" s="776"/>
      <c r="F13" s="776"/>
      <c r="G13" s="776"/>
      <c r="H13" s="776"/>
      <c r="I13" s="776"/>
      <c r="J13" s="776"/>
      <c r="K13" s="776"/>
      <c r="L13" s="776"/>
      <c r="M13" s="776"/>
      <c r="N13" s="241"/>
      <c r="O13" s="777"/>
      <c r="P13" s="777"/>
    </row>
    <row r="14" spans="1:17" customFormat="1" ht="176" x14ac:dyDescent="0.35">
      <c r="A14" s="675" t="s">
        <v>1597</v>
      </c>
      <c r="B14" s="914">
        <v>6.782</v>
      </c>
      <c r="C14" s="914">
        <v>0</v>
      </c>
      <c r="D14" s="916">
        <v>35.125999999999998</v>
      </c>
      <c r="E14" s="914">
        <v>0</v>
      </c>
      <c r="F14" s="914">
        <v>0</v>
      </c>
      <c r="G14" s="915">
        <v>41.908000000000001</v>
      </c>
      <c r="H14" s="1036">
        <v>12.25</v>
      </c>
      <c r="I14" s="599">
        <v>0</v>
      </c>
      <c r="J14" s="1036">
        <v>56.835999999999999</v>
      </c>
      <c r="K14" s="599">
        <v>0</v>
      </c>
      <c r="L14" s="599">
        <v>0</v>
      </c>
      <c r="M14" s="1037">
        <v>69.085999999999999</v>
      </c>
      <c r="N14" s="1029">
        <v>0.64851579650663349</v>
      </c>
      <c r="O14" s="678" t="s">
        <v>1598</v>
      </c>
      <c r="P14" s="602" t="s">
        <v>40</v>
      </c>
      <c r="Q14" s="126"/>
    </row>
    <row r="15" spans="1:17" customFormat="1" ht="32" x14ac:dyDescent="0.35">
      <c r="A15" s="917" t="s">
        <v>1599</v>
      </c>
      <c r="B15" s="918">
        <v>-1.06</v>
      </c>
      <c r="C15" s="918">
        <v>0</v>
      </c>
      <c r="D15" s="918">
        <v>0</v>
      </c>
      <c r="E15" s="918">
        <v>0</v>
      </c>
      <c r="F15" s="918">
        <v>0</v>
      </c>
      <c r="G15" s="919">
        <v>-1.06</v>
      </c>
      <c r="H15" s="599">
        <v>-0.95</v>
      </c>
      <c r="I15" s="599">
        <v>0</v>
      </c>
      <c r="J15" s="599">
        <v>0</v>
      </c>
      <c r="K15" s="599">
        <v>0</v>
      </c>
      <c r="L15" s="599">
        <v>0</v>
      </c>
      <c r="M15" s="919">
        <v>-0.95</v>
      </c>
      <c r="N15" s="601">
        <v>-0.10377358490566047</v>
      </c>
      <c r="O15" s="29" t="s">
        <v>1600</v>
      </c>
      <c r="P15" s="446" t="s">
        <v>40</v>
      </c>
      <c r="Q15" s="126"/>
    </row>
    <row r="16" spans="1:17" customFormat="1" ht="16" x14ac:dyDescent="0.35">
      <c r="A16" s="490" t="s">
        <v>1601</v>
      </c>
      <c r="B16" s="288">
        <v>5.7219999999999995</v>
      </c>
      <c r="C16" s="288">
        <v>0</v>
      </c>
      <c r="D16" s="288">
        <v>35.125999999999998</v>
      </c>
      <c r="E16" s="288">
        <v>0</v>
      </c>
      <c r="F16" s="288">
        <v>0</v>
      </c>
      <c r="G16" s="288">
        <v>40.847999999999999</v>
      </c>
      <c r="H16" s="1019">
        <v>11.3</v>
      </c>
      <c r="I16" s="288">
        <v>0</v>
      </c>
      <c r="J16" s="1019">
        <v>56.835999999999999</v>
      </c>
      <c r="K16" s="288">
        <v>0</v>
      </c>
      <c r="L16" s="288">
        <v>0</v>
      </c>
      <c r="M16" s="1019">
        <v>68.135999999999996</v>
      </c>
      <c r="N16" s="1020">
        <v>0.66803760282021141</v>
      </c>
      <c r="O16" s="869" t="s">
        <v>237</v>
      </c>
      <c r="P16" s="875" t="s">
        <v>237</v>
      </c>
      <c r="Q16" s="126"/>
    </row>
    <row r="17" spans="1:17" customFormat="1" x14ac:dyDescent="0.35"/>
    <row r="18" spans="1:17" ht="16" x14ac:dyDescent="0.35">
      <c r="A18" s="257" t="s">
        <v>1602</v>
      </c>
      <c r="B18" s="776"/>
      <c r="C18" s="776"/>
      <c r="D18" s="776"/>
      <c r="E18" s="776"/>
      <c r="F18" s="776"/>
      <c r="G18" s="776"/>
      <c r="H18" s="776"/>
      <c r="I18" s="776"/>
      <c r="J18" s="776"/>
      <c r="K18" s="776"/>
      <c r="L18" s="776"/>
      <c r="M18" s="776"/>
      <c r="N18" s="241"/>
      <c r="O18" s="777"/>
      <c r="P18" s="777"/>
    </row>
    <row r="19" spans="1:17" s="306" customFormat="1" ht="32" x14ac:dyDescent="0.35">
      <c r="A19" s="920" t="s">
        <v>1603</v>
      </c>
      <c r="B19" s="921">
        <v>2.2999999999999998</v>
      </c>
      <c r="C19" s="921">
        <v>0</v>
      </c>
      <c r="D19" s="921">
        <v>0</v>
      </c>
      <c r="E19" s="921">
        <v>0</v>
      </c>
      <c r="F19" s="921">
        <v>0</v>
      </c>
      <c r="G19" s="922">
        <v>2.2999999999999998</v>
      </c>
      <c r="H19" s="921">
        <v>3.65</v>
      </c>
      <c r="I19" s="921">
        <v>0</v>
      </c>
      <c r="J19" s="921">
        <v>0</v>
      </c>
      <c r="K19" s="921">
        <v>0</v>
      </c>
      <c r="L19" s="921">
        <v>0</v>
      </c>
      <c r="M19" s="922">
        <v>3.65</v>
      </c>
      <c r="N19" s="923">
        <v>0.58695652173913049</v>
      </c>
      <c r="O19" s="924" t="s">
        <v>1604</v>
      </c>
      <c r="P19" s="925" t="s">
        <v>1605</v>
      </c>
      <c r="Q19" s="926"/>
    </row>
    <row r="20" spans="1:17" s="306" customFormat="1" ht="176" x14ac:dyDescent="0.35">
      <c r="A20" s="920" t="s">
        <v>1606</v>
      </c>
      <c r="B20" s="921">
        <v>0</v>
      </c>
      <c r="C20" s="921">
        <v>0</v>
      </c>
      <c r="D20" s="921">
        <v>5</v>
      </c>
      <c r="E20" s="921">
        <v>0</v>
      </c>
      <c r="F20" s="921">
        <v>0</v>
      </c>
      <c r="G20" s="922">
        <v>5</v>
      </c>
      <c r="H20" s="921">
        <v>0</v>
      </c>
      <c r="I20" s="921">
        <v>0</v>
      </c>
      <c r="J20" s="921">
        <v>8</v>
      </c>
      <c r="K20" s="921">
        <v>0</v>
      </c>
      <c r="L20" s="921">
        <v>0</v>
      </c>
      <c r="M20" s="922">
        <v>8</v>
      </c>
      <c r="N20" s="923">
        <v>0.6</v>
      </c>
      <c r="O20" s="924" t="s">
        <v>1607</v>
      </c>
      <c r="P20" s="925" t="s">
        <v>1608</v>
      </c>
      <c r="Q20" s="926"/>
    </row>
    <row r="21" spans="1:17" customFormat="1" ht="16" x14ac:dyDescent="0.35">
      <c r="A21" s="490" t="s">
        <v>1609</v>
      </c>
      <c r="B21" s="288">
        <v>2.2999999999999998</v>
      </c>
      <c r="C21" s="288">
        <v>0</v>
      </c>
      <c r="D21" s="288">
        <v>5</v>
      </c>
      <c r="E21" s="288">
        <v>0</v>
      </c>
      <c r="F21" s="288">
        <v>0</v>
      </c>
      <c r="G21" s="288">
        <v>7.3</v>
      </c>
      <c r="H21" s="288">
        <v>3.65</v>
      </c>
      <c r="I21" s="288">
        <v>0</v>
      </c>
      <c r="J21" s="288">
        <v>8</v>
      </c>
      <c r="K21" s="288">
        <v>0</v>
      </c>
      <c r="L21" s="288">
        <v>0</v>
      </c>
      <c r="M21" s="288">
        <v>11.65</v>
      </c>
      <c r="N21" s="200">
        <v>0.59589041095890416</v>
      </c>
      <c r="O21" s="869"/>
      <c r="P21" s="875"/>
      <c r="Q21" s="126"/>
    </row>
    <row r="22" spans="1:17" ht="16" x14ac:dyDescent="0.35">
      <c r="A22" s="229"/>
      <c r="B22" s="230"/>
      <c r="C22" s="230"/>
      <c r="D22" s="230"/>
      <c r="E22" s="230"/>
      <c r="F22" s="230"/>
      <c r="G22" s="750"/>
      <c r="H22" s="230"/>
      <c r="I22" s="230"/>
      <c r="J22" s="230"/>
      <c r="K22" s="230"/>
      <c r="L22" s="230"/>
      <c r="M22" s="750"/>
      <c r="N22" s="231"/>
      <c r="O22" s="229"/>
      <c r="P22" s="229"/>
    </row>
    <row r="23" spans="1:17" ht="16" x14ac:dyDescent="0.35">
      <c r="A23" s="229"/>
      <c r="B23" s="230"/>
      <c r="C23" s="230"/>
      <c r="D23" s="230"/>
      <c r="E23" s="230"/>
      <c r="F23" s="230"/>
      <c r="G23" s="750"/>
      <c r="H23" s="230"/>
      <c r="I23" s="230"/>
      <c r="J23" s="230"/>
      <c r="K23" s="230"/>
      <c r="L23" s="230"/>
      <c r="M23" s="750"/>
      <c r="N23" s="231"/>
      <c r="O23" s="229"/>
      <c r="P23" s="229"/>
    </row>
    <row r="24" spans="1:17" customFormat="1" ht="16" x14ac:dyDescent="0.35">
      <c r="A24" s="857" t="s">
        <v>1610</v>
      </c>
      <c r="B24" s="680">
        <v>8.0219999999999985</v>
      </c>
      <c r="C24" s="680">
        <v>0</v>
      </c>
      <c r="D24" s="680">
        <v>40.125999999999998</v>
      </c>
      <c r="E24" s="680">
        <v>0</v>
      </c>
      <c r="F24" s="680">
        <v>0</v>
      </c>
      <c r="G24" s="680">
        <v>48.147999999999996</v>
      </c>
      <c r="H24" s="1033">
        <v>14.950000000000001</v>
      </c>
      <c r="I24" s="680">
        <v>0</v>
      </c>
      <c r="J24" s="1033">
        <v>64.835999999999999</v>
      </c>
      <c r="K24" s="680">
        <v>0</v>
      </c>
      <c r="L24" s="680">
        <v>0</v>
      </c>
      <c r="M24" s="1033">
        <v>79.786000000000001</v>
      </c>
      <c r="N24" s="1028">
        <v>0.65709894491983067</v>
      </c>
      <c r="O24" s="681"/>
      <c r="P24" s="682"/>
      <c r="Q24" s="126"/>
    </row>
    <row r="25" spans="1:17" ht="16" x14ac:dyDescent="0.35">
      <c r="A25" s="229"/>
      <c r="B25" s="230"/>
      <c r="C25" s="230"/>
      <c r="D25" s="230"/>
      <c r="E25" s="230"/>
      <c r="F25" s="230"/>
      <c r="G25" s="750"/>
      <c r="H25" s="230"/>
      <c r="I25" s="230"/>
      <c r="J25" s="230"/>
      <c r="K25" s="230"/>
      <c r="L25" s="230"/>
      <c r="M25" s="750"/>
      <c r="N25" s="231"/>
      <c r="O25" s="229"/>
      <c r="P25" s="229"/>
    </row>
    <row r="26" spans="1:17" customFormat="1" ht="16" x14ac:dyDescent="0.35">
      <c r="A26" s="659" t="s">
        <v>1611</v>
      </c>
      <c r="B26" s="639"/>
      <c r="C26" s="639"/>
      <c r="D26" s="639"/>
      <c r="E26" s="639"/>
      <c r="F26" s="639"/>
      <c r="G26" s="639"/>
      <c r="H26" s="639"/>
      <c r="I26" s="639"/>
      <c r="J26" s="639"/>
      <c r="K26" s="639"/>
      <c r="L26" s="639"/>
      <c r="M26" s="639"/>
      <c r="N26" s="660"/>
      <c r="O26" s="661"/>
      <c r="P26" s="661"/>
      <c r="Q26" s="126"/>
    </row>
    <row r="27" spans="1:17" customFormat="1" ht="64.25" customHeight="1" x14ac:dyDescent="0.35">
      <c r="A27" s="685" t="s">
        <v>1612</v>
      </c>
      <c r="B27" s="599">
        <v>0</v>
      </c>
      <c r="C27" s="599">
        <v>0</v>
      </c>
      <c r="D27" s="599">
        <v>0</v>
      </c>
      <c r="E27" s="599">
        <v>0</v>
      </c>
      <c r="F27" s="599">
        <v>0</v>
      </c>
      <c r="G27" s="600">
        <v>0</v>
      </c>
      <c r="H27" s="599">
        <v>0</v>
      </c>
      <c r="I27" s="599">
        <v>0</v>
      </c>
      <c r="J27" s="599">
        <v>0</v>
      </c>
      <c r="K27" s="599">
        <v>0</v>
      </c>
      <c r="L27" s="599">
        <v>0</v>
      </c>
      <c r="M27" s="600">
        <v>0</v>
      </c>
      <c r="N27" s="601" t="s">
        <v>50</v>
      </c>
      <c r="O27" s="913" t="s">
        <v>1613</v>
      </c>
      <c r="P27" s="686" t="s">
        <v>50</v>
      </c>
      <c r="Q27" s="126"/>
    </row>
    <row r="28" spans="1:17" customFormat="1" ht="16" x14ac:dyDescent="0.35">
      <c r="A28" s="687" t="s">
        <v>1614</v>
      </c>
      <c r="B28" s="621">
        <v>0</v>
      </c>
      <c r="C28" s="621">
        <v>0</v>
      </c>
      <c r="D28" s="621">
        <v>0</v>
      </c>
      <c r="E28" s="621">
        <v>0</v>
      </c>
      <c r="F28" s="621">
        <v>0</v>
      </c>
      <c r="G28" s="622">
        <v>0</v>
      </c>
      <c r="H28" s="599">
        <v>0</v>
      </c>
      <c r="I28" s="599">
        <v>0</v>
      </c>
      <c r="J28" s="599">
        <v>0</v>
      </c>
      <c r="K28" s="599">
        <v>0</v>
      </c>
      <c r="L28" s="599">
        <v>0</v>
      </c>
      <c r="M28" s="622">
        <v>0</v>
      </c>
      <c r="N28" s="601" t="s">
        <v>50</v>
      </c>
      <c r="O28" s="927" t="s">
        <v>1613</v>
      </c>
      <c r="P28" s="704" t="s">
        <v>50</v>
      </c>
      <c r="Q28" s="126"/>
    </row>
    <row r="29" spans="1:17" customFormat="1" ht="16" x14ac:dyDescent="0.35">
      <c r="A29" s="928" t="s">
        <v>1611</v>
      </c>
      <c r="B29" s="729">
        <v>0</v>
      </c>
      <c r="C29" s="729">
        <v>0</v>
      </c>
      <c r="D29" s="729">
        <v>0</v>
      </c>
      <c r="E29" s="729">
        <v>0</v>
      </c>
      <c r="F29" s="729">
        <v>0</v>
      </c>
      <c r="G29" s="729">
        <v>0</v>
      </c>
      <c r="H29" s="729">
        <v>0</v>
      </c>
      <c r="I29" s="729">
        <v>0</v>
      </c>
      <c r="J29" s="729">
        <v>0</v>
      </c>
      <c r="K29" s="729">
        <v>0</v>
      </c>
      <c r="L29" s="729">
        <v>0</v>
      </c>
      <c r="M29" s="729">
        <v>0</v>
      </c>
      <c r="N29" s="631" t="s">
        <v>50</v>
      </c>
      <c r="O29" s="929"/>
      <c r="P29" s="665"/>
      <c r="Q29" s="126"/>
    </row>
    <row r="30" spans="1:17" customFormat="1" ht="16" x14ac:dyDescent="0.35">
      <c r="A30" s="861"/>
      <c r="B30" s="855"/>
      <c r="C30" s="855"/>
      <c r="D30" s="855"/>
      <c r="E30" s="855"/>
      <c r="F30" s="855"/>
      <c r="G30" s="930"/>
      <c r="H30" s="931"/>
      <c r="I30" s="931"/>
      <c r="J30" s="931"/>
      <c r="K30" s="931"/>
      <c r="L30" s="931"/>
      <c r="M30" s="930"/>
      <c r="N30" s="932"/>
      <c r="O30" s="183"/>
      <c r="P30" s="183"/>
      <c r="Q30" s="236"/>
    </row>
    <row r="31" spans="1:17" customFormat="1" ht="32" x14ac:dyDescent="0.35">
      <c r="A31" s="840" t="s">
        <v>1615</v>
      </c>
      <c r="B31" s="143"/>
      <c r="C31" s="143"/>
      <c r="D31" s="143"/>
      <c r="E31" s="143"/>
      <c r="F31" s="143"/>
      <c r="G31" s="143"/>
      <c r="H31" s="143"/>
      <c r="I31" s="143"/>
      <c r="J31" s="143"/>
      <c r="K31" s="143"/>
      <c r="L31" s="143"/>
      <c r="M31" s="143"/>
      <c r="N31" s="673"/>
      <c r="O31" s="674"/>
      <c r="P31" s="674"/>
      <c r="Q31" s="126"/>
    </row>
    <row r="32" spans="1:17" customFormat="1" ht="16" x14ac:dyDescent="0.35">
      <c r="A32" s="861"/>
      <c r="B32" s="855"/>
      <c r="C32" s="855"/>
      <c r="D32" s="855"/>
      <c r="E32" s="855"/>
      <c r="F32" s="855"/>
      <c r="G32" s="930"/>
      <c r="H32" s="931"/>
      <c r="I32" s="931"/>
      <c r="J32" s="931"/>
      <c r="K32" s="931"/>
      <c r="L32" s="931"/>
      <c r="M32" s="930"/>
      <c r="N32" s="932"/>
      <c r="O32" s="183"/>
      <c r="P32" s="183"/>
      <c r="Q32" s="236"/>
    </row>
    <row r="33" spans="1:17" ht="32" x14ac:dyDescent="0.35">
      <c r="A33" s="184" t="s">
        <v>1615</v>
      </c>
      <c r="B33" s="185"/>
      <c r="C33" s="185"/>
      <c r="D33" s="185"/>
      <c r="E33" s="185"/>
      <c r="F33" s="185"/>
      <c r="G33" s="185"/>
      <c r="H33" s="185"/>
      <c r="I33" s="185"/>
      <c r="J33" s="185"/>
      <c r="K33" s="185"/>
      <c r="L33" s="185"/>
      <c r="M33" s="185"/>
      <c r="N33" s="186"/>
      <c r="O33" s="187"/>
      <c r="P33" s="187"/>
    </row>
    <row r="34" spans="1:17" customFormat="1" ht="56.75" customHeight="1" x14ac:dyDescent="0.35">
      <c r="A34" s="933" t="s">
        <v>1616</v>
      </c>
      <c r="B34" s="189">
        <v>15.238</v>
      </c>
      <c r="C34" s="189">
        <v>0</v>
      </c>
      <c r="D34" s="189">
        <v>0</v>
      </c>
      <c r="E34" s="189">
        <v>0</v>
      </c>
      <c r="F34" s="189">
        <v>0</v>
      </c>
      <c r="G34" s="191">
        <v>15.238</v>
      </c>
      <c r="H34" s="599">
        <v>15.957000000000001</v>
      </c>
      <c r="I34" s="599">
        <v>0</v>
      </c>
      <c r="J34" s="599">
        <v>0</v>
      </c>
      <c r="K34" s="599">
        <v>0</v>
      </c>
      <c r="L34" s="599">
        <v>0</v>
      </c>
      <c r="M34" s="191">
        <v>15.957000000000001</v>
      </c>
      <c r="N34" s="192">
        <v>4.7184669904186981E-2</v>
      </c>
      <c r="O34" s="803" t="s">
        <v>1617</v>
      </c>
      <c r="P34" s="804" t="s">
        <v>1618</v>
      </c>
      <c r="Q34" s="126"/>
    </row>
    <row r="35" spans="1:17" customFormat="1" ht="160" x14ac:dyDescent="0.35">
      <c r="A35" s="933" t="s">
        <v>1615</v>
      </c>
      <c r="B35" s="189">
        <v>37.103000000000002</v>
      </c>
      <c r="C35" s="189">
        <v>0</v>
      </c>
      <c r="D35" s="189">
        <v>264.85700000000003</v>
      </c>
      <c r="E35" s="189">
        <v>0</v>
      </c>
      <c r="F35" s="189">
        <v>0</v>
      </c>
      <c r="G35" s="191">
        <v>301.96000000000004</v>
      </c>
      <c r="H35" s="599">
        <v>33.159999999999997</v>
      </c>
      <c r="I35" s="599">
        <v>0</v>
      </c>
      <c r="J35" s="599">
        <v>302.5</v>
      </c>
      <c r="K35" s="599">
        <v>0</v>
      </c>
      <c r="L35" s="599">
        <v>0</v>
      </c>
      <c r="M35" s="191">
        <v>335.65999999999997</v>
      </c>
      <c r="N35" s="192">
        <v>0.11160418598489842</v>
      </c>
      <c r="O35" s="803" t="s">
        <v>1619</v>
      </c>
      <c r="P35" s="804" t="s">
        <v>1620</v>
      </c>
      <c r="Q35" s="126"/>
    </row>
    <row r="36" spans="1:17" customFormat="1" ht="48" x14ac:dyDescent="0.35">
      <c r="A36" s="933" t="s">
        <v>1621</v>
      </c>
      <c r="B36" s="189">
        <v>0</v>
      </c>
      <c r="C36" s="189">
        <v>0</v>
      </c>
      <c r="D36" s="189">
        <v>0</v>
      </c>
      <c r="E36" s="189">
        <v>0</v>
      </c>
      <c r="F36" s="189">
        <v>0</v>
      </c>
      <c r="G36" s="191">
        <v>0</v>
      </c>
      <c r="H36" s="599">
        <v>0</v>
      </c>
      <c r="I36" s="599">
        <v>0</v>
      </c>
      <c r="J36" s="599">
        <v>0</v>
      </c>
      <c r="K36" s="599">
        <v>14</v>
      </c>
      <c r="L36" s="599">
        <v>0</v>
      </c>
      <c r="M36" s="191">
        <v>14</v>
      </c>
      <c r="N36" s="192" t="s">
        <v>50</v>
      </c>
      <c r="O36" s="803" t="s">
        <v>1622</v>
      </c>
      <c r="P36" s="804" t="s">
        <v>1623</v>
      </c>
      <c r="Q36" s="126"/>
    </row>
    <row r="37" spans="1:17" customFormat="1" ht="48" x14ac:dyDescent="0.35">
      <c r="A37" s="933" t="s">
        <v>1624</v>
      </c>
      <c r="B37" s="189">
        <v>0</v>
      </c>
      <c r="C37" s="189">
        <v>0</v>
      </c>
      <c r="D37" s="189">
        <v>0</v>
      </c>
      <c r="E37" s="189">
        <v>-2.2000000000000002</v>
      </c>
      <c r="F37" s="189">
        <v>0</v>
      </c>
      <c r="G37" s="191">
        <v>-2.2000000000000002</v>
      </c>
      <c r="H37" s="599">
        <v>0</v>
      </c>
      <c r="I37" s="599">
        <v>0</v>
      </c>
      <c r="J37" s="599">
        <v>0</v>
      </c>
      <c r="K37" s="599">
        <v>-16.5</v>
      </c>
      <c r="L37" s="599">
        <v>0</v>
      </c>
      <c r="M37" s="191">
        <v>-16.5</v>
      </c>
      <c r="N37" s="192">
        <v>6.5</v>
      </c>
      <c r="O37" s="803" t="s">
        <v>1625</v>
      </c>
      <c r="P37" s="804" t="s">
        <v>1626</v>
      </c>
      <c r="Q37" s="126"/>
    </row>
    <row r="38" spans="1:17" ht="32" x14ac:dyDescent="0.35">
      <c r="A38" s="198" t="s">
        <v>1627</v>
      </c>
      <c r="B38" s="199">
        <v>52.341000000000001</v>
      </c>
      <c r="C38" s="199">
        <v>0</v>
      </c>
      <c r="D38" s="199">
        <v>264.85700000000003</v>
      </c>
      <c r="E38" s="199">
        <v>-2.2000000000000002</v>
      </c>
      <c r="F38" s="199">
        <v>0</v>
      </c>
      <c r="G38" s="199">
        <v>314.99800000000005</v>
      </c>
      <c r="H38" s="199">
        <v>49.116999999999997</v>
      </c>
      <c r="I38" s="199">
        <v>0</v>
      </c>
      <c r="J38" s="199">
        <v>302.5</v>
      </c>
      <c r="K38" s="199">
        <v>-2.5</v>
      </c>
      <c r="L38" s="199">
        <v>0</v>
      </c>
      <c r="M38" s="199">
        <v>349.11699999999996</v>
      </c>
      <c r="N38" s="200">
        <v>0.10831497342840243</v>
      </c>
      <c r="O38" s="201"/>
      <c r="P38" s="202"/>
    </row>
    <row r="39" spans="1:17" customFormat="1" ht="32" x14ac:dyDescent="0.35">
      <c r="A39" s="857" t="s">
        <v>1627</v>
      </c>
      <c r="B39" s="680">
        <v>52.341000000000001</v>
      </c>
      <c r="C39" s="680">
        <v>0</v>
      </c>
      <c r="D39" s="680">
        <v>264.85700000000003</v>
      </c>
      <c r="E39" s="680">
        <v>-2.2000000000000002</v>
      </c>
      <c r="F39" s="680">
        <v>0</v>
      </c>
      <c r="G39" s="680">
        <v>314.99800000000005</v>
      </c>
      <c r="H39" s="680">
        <v>49.116999999999997</v>
      </c>
      <c r="I39" s="680">
        <v>0</v>
      </c>
      <c r="J39" s="680">
        <v>302.5</v>
      </c>
      <c r="K39" s="680">
        <v>-2.5</v>
      </c>
      <c r="L39" s="680">
        <v>0</v>
      </c>
      <c r="M39" s="680">
        <v>349.11699999999996</v>
      </c>
      <c r="N39" s="631">
        <v>0.10831497342840243</v>
      </c>
      <c r="O39" s="681"/>
      <c r="P39" s="682"/>
      <c r="Q39" s="126"/>
    </row>
    <row r="40" spans="1:17" customFormat="1" ht="16" x14ac:dyDescent="0.35">
      <c r="A40" s="861"/>
      <c r="B40" s="855"/>
      <c r="C40" s="855"/>
      <c r="D40" s="855"/>
      <c r="E40" s="855"/>
      <c r="F40" s="855"/>
      <c r="G40" s="930"/>
      <c r="H40" s="931"/>
      <c r="I40" s="931"/>
      <c r="J40" s="931"/>
      <c r="K40" s="931"/>
      <c r="L40" s="931"/>
      <c r="M40" s="930"/>
      <c r="N40" s="932"/>
      <c r="O40" s="183"/>
      <c r="P40" s="183"/>
      <c r="Q40" s="236"/>
    </row>
    <row r="41" spans="1:17" customFormat="1" ht="16" x14ac:dyDescent="0.35">
      <c r="A41" s="659" t="s">
        <v>1628</v>
      </c>
      <c r="B41" s="639"/>
      <c r="C41" s="639"/>
      <c r="D41" s="639"/>
      <c r="E41" s="639"/>
      <c r="F41" s="639"/>
      <c r="G41" s="639"/>
      <c r="H41" s="639"/>
      <c r="I41" s="639"/>
      <c r="J41" s="639"/>
      <c r="K41" s="639"/>
      <c r="L41" s="639"/>
      <c r="M41" s="639"/>
      <c r="N41" s="660"/>
      <c r="O41" s="661"/>
      <c r="P41" s="661"/>
      <c r="Q41" s="126"/>
    </row>
    <row r="42" spans="1:17" customFormat="1" ht="16" x14ac:dyDescent="0.35">
      <c r="A42" s="934"/>
      <c r="B42" s="642"/>
      <c r="C42" s="642"/>
      <c r="D42" s="642"/>
      <c r="E42" s="642"/>
      <c r="F42" s="642"/>
      <c r="G42" s="642"/>
      <c r="H42" s="642"/>
      <c r="I42" s="642"/>
      <c r="J42" s="642"/>
      <c r="K42" s="642"/>
      <c r="L42" s="642"/>
      <c r="M42" s="642"/>
      <c r="N42" s="935"/>
      <c r="O42" s="936"/>
      <c r="P42" s="936"/>
      <c r="Q42" s="126"/>
    </row>
    <row r="43" spans="1:17" customFormat="1" ht="16" x14ac:dyDescent="0.35">
      <c r="A43" s="716"/>
      <c r="B43" s="643"/>
      <c r="C43" s="643"/>
      <c r="D43" s="643"/>
      <c r="E43" s="643"/>
      <c r="F43" s="643"/>
      <c r="G43" s="643"/>
      <c r="H43" s="643"/>
      <c r="I43" s="643"/>
      <c r="J43" s="643"/>
      <c r="K43" s="643"/>
      <c r="L43" s="643"/>
      <c r="M43" s="643"/>
      <c r="N43" s="717"/>
      <c r="O43" s="719"/>
      <c r="P43" s="719"/>
      <c r="Q43" s="126"/>
    </row>
    <row r="44" spans="1:17" customFormat="1" ht="16" x14ac:dyDescent="0.35">
      <c r="A44" s="488" t="s">
        <v>1629</v>
      </c>
      <c r="B44" s="166"/>
      <c r="C44" s="166"/>
      <c r="D44" s="166"/>
      <c r="E44" s="166"/>
      <c r="F44" s="166"/>
      <c r="G44" s="166"/>
      <c r="H44" s="166"/>
      <c r="I44" s="166"/>
      <c r="J44" s="166"/>
      <c r="K44" s="166"/>
      <c r="L44" s="166"/>
      <c r="M44" s="166"/>
      <c r="N44" s="714"/>
      <c r="O44" s="489"/>
      <c r="P44" s="489"/>
      <c r="Q44" s="126"/>
    </row>
    <row r="45" spans="1:17" customFormat="1" ht="64" x14ac:dyDescent="0.35">
      <c r="A45" s="687" t="s">
        <v>1630</v>
      </c>
      <c r="B45" s="621">
        <v>1.47</v>
      </c>
      <c r="C45" s="621">
        <v>0</v>
      </c>
      <c r="D45" s="621">
        <v>1</v>
      </c>
      <c r="E45" s="621">
        <v>0</v>
      </c>
      <c r="F45" s="621">
        <v>0</v>
      </c>
      <c r="G45" s="622">
        <v>2.4699999999999998</v>
      </c>
      <c r="H45" s="599">
        <v>1.6</v>
      </c>
      <c r="I45" s="599">
        <v>0</v>
      </c>
      <c r="J45" s="599">
        <v>1</v>
      </c>
      <c r="K45" s="599">
        <v>0</v>
      </c>
      <c r="L45" s="599">
        <v>0</v>
      </c>
      <c r="M45" s="622">
        <v>2.6</v>
      </c>
      <c r="N45" s="601">
        <v>5.2631578947368564E-2</v>
      </c>
      <c r="O45" s="687" t="s">
        <v>1631</v>
      </c>
      <c r="P45" s="686" t="s">
        <v>1632</v>
      </c>
      <c r="Q45" s="126"/>
    </row>
    <row r="46" spans="1:17" customFormat="1" ht="48" x14ac:dyDescent="0.35">
      <c r="A46" s="687" t="s">
        <v>1633</v>
      </c>
      <c r="B46" s="621">
        <v>2.512</v>
      </c>
      <c r="C46" s="621">
        <v>0</v>
      </c>
      <c r="D46" s="621">
        <v>0</v>
      </c>
      <c r="E46" s="621">
        <v>0</v>
      </c>
      <c r="F46" s="621">
        <v>0</v>
      </c>
      <c r="G46" s="622">
        <v>2.512</v>
      </c>
      <c r="H46" s="599">
        <v>4.5000000000000009</v>
      </c>
      <c r="I46" s="599">
        <v>0</v>
      </c>
      <c r="J46" s="599">
        <v>0</v>
      </c>
      <c r="K46" s="599">
        <v>0</v>
      </c>
      <c r="L46" s="599">
        <v>0</v>
      </c>
      <c r="M46" s="622">
        <v>4.5000000000000009</v>
      </c>
      <c r="N46" s="601">
        <v>0.79140127388535064</v>
      </c>
      <c r="O46" s="927" t="s">
        <v>1634</v>
      </c>
      <c r="P46" s="937" t="s">
        <v>1635</v>
      </c>
      <c r="Q46" s="126"/>
    </row>
    <row r="47" spans="1:17" customFormat="1" ht="64" x14ac:dyDescent="0.35">
      <c r="A47" s="687" t="s">
        <v>1636</v>
      </c>
      <c r="B47" s="621">
        <v>0.439</v>
      </c>
      <c r="C47" s="621">
        <v>0</v>
      </c>
      <c r="D47" s="621">
        <v>0</v>
      </c>
      <c r="E47" s="621">
        <v>0</v>
      </c>
      <c r="F47" s="621">
        <v>0</v>
      </c>
      <c r="G47" s="622">
        <v>0.439</v>
      </c>
      <c r="H47" s="599">
        <v>0.85</v>
      </c>
      <c r="I47" s="599">
        <v>0</v>
      </c>
      <c r="J47" s="599">
        <v>15</v>
      </c>
      <c r="K47" s="599">
        <v>0</v>
      </c>
      <c r="L47" s="599">
        <v>0</v>
      </c>
      <c r="M47" s="622">
        <v>15.85</v>
      </c>
      <c r="N47" s="601">
        <v>35.10478359908884</v>
      </c>
      <c r="O47" s="703" t="s">
        <v>1637</v>
      </c>
      <c r="P47" s="704" t="s">
        <v>1638</v>
      </c>
      <c r="Q47" s="126"/>
    </row>
    <row r="48" spans="1:17" customFormat="1" ht="16" x14ac:dyDescent="0.35">
      <c r="A48" s="705" t="s">
        <v>1639</v>
      </c>
      <c r="B48" s="288">
        <v>4.4210000000000003</v>
      </c>
      <c r="C48" s="288">
        <v>0</v>
      </c>
      <c r="D48" s="288">
        <v>1</v>
      </c>
      <c r="E48" s="288">
        <v>0</v>
      </c>
      <c r="F48" s="288">
        <v>0</v>
      </c>
      <c r="G48" s="288">
        <v>5.4209999999999994</v>
      </c>
      <c r="H48" s="288">
        <v>6.9500000000000011</v>
      </c>
      <c r="I48" s="288">
        <v>0</v>
      </c>
      <c r="J48" s="288">
        <v>16</v>
      </c>
      <c r="K48" s="288">
        <v>0</v>
      </c>
      <c r="L48" s="288">
        <v>0</v>
      </c>
      <c r="M48" s="288">
        <v>22.950000000000003</v>
      </c>
      <c r="N48" s="200">
        <v>3.233536247924738</v>
      </c>
      <c r="O48" s="706"/>
      <c r="P48" s="707"/>
      <c r="Q48" s="126"/>
    </row>
    <row r="49" spans="1:17" customFormat="1" ht="16" x14ac:dyDescent="0.35">
      <c r="A49" s="938"/>
      <c r="B49" s="643"/>
      <c r="C49" s="643"/>
      <c r="D49" s="643"/>
      <c r="E49" s="643"/>
      <c r="F49" s="643"/>
      <c r="G49" s="643"/>
      <c r="H49" s="643"/>
      <c r="I49" s="643"/>
      <c r="J49" s="643"/>
      <c r="K49" s="643"/>
      <c r="L49" s="643"/>
      <c r="M49" s="643"/>
      <c r="N49" s="717"/>
      <c r="O49" s="671"/>
      <c r="P49" s="671"/>
      <c r="Q49" s="126"/>
    </row>
    <row r="50" spans="1:17" customFormat="1" ht="16" x14ac:dyDescent="0.35">
      <c r="A50" s="700" t="s">
        <v>1640</v>
      </c>
      <c r="B50" s="701"/>
      <c r="C50" s="701"/>
      <c r="D50" s="701"/>
      <c r="E50" s="701"/>
      <c r="F50" s="701"/>
      <c r="G50" s="701"/>
      <c r="H50" s="701"/>
      <c r="I50" s="701"/>
      <c r="J50" s="701"/>
      <c r="K50" s="701"/>
      <c r="L50" s="701"/>
      <c r="M50" s="701"/>
      <c r="N50" s="701"/>
      <c r="O50" s="701"/>
      <c r="P50" s="701"/>
      <c r="Q50" s="126"/>
    </row>
    <row r="51" spans="1:17" customFormat="1" ht="120" customHeight="1" x14ac:dyDescent="0.35">
      <c r="A51" s="685" t="s">
        <v>1640</v>
      </c>
      <c r="B51" s="621">
        <v>5.181</v>
      </c>
      <c r="C51" s="621">
        <v>0</v>
      </c>
      <c r="D51" s="621">
        <v>17</v>
      </c>
      <c r="E51" s="621">
        <v>0</v>
      </c>
      <c r="F51" s="621">
        <v>0</v>
      </c>
      <c r="G51" s="600">
        <v>22.181000000000001</v>
      </c>
      <c r="H51" s="599">
        <v>11.999999999999998</v>
      </c>
      <c r="I51" s="599">
        <v>0</v>
      </c>
      <c r="J51" s="1036">
        <v>9</v>
      </c>
      <c r="K51" s="599">
        <v>0</v>
      </c>
      <c r="L51" s="599">
        <v>0</v>
      </c>
      <c r="M51" s="1038">
        <v>21</v>
      </c>
      <c r="N51" s="1029">
        <v>-5.3243767188134027E-2</v>
      </c>
      <c r="O51" s="702" t="s">
        <v>1641</v>
      </c>
      <c r="P51" s="686" t="s">
        <v>1642</v>
      </c>
      <c r="Q51" s="126"/>
    </row>
    <row r="52" spans="1:17" customFormat="1" ht="16" x14ac:dyDescent="0.35">
      <c r="A52" s="705" t="s">
        <v>1643</v>
      </c>
      <c r="B52" s="288">
        <v>5.181</v>
      </c>
      <c r="C52" s="288">
        <v>0</v>
      </c>
      <c r="D52" s="288">
        <v>17</v>
      </c>
      <c r="E52" s="288">
        <v>0</v>
      </c>
      <c r="F52" s="288">
        <v>0</v>
      </c>
      <c r="G52" s="288">
        <v>22.181000000000001</v>
      </c>
      <c r="H52" s="288">
        <v>11.999999999999998</v>
      </c>
      <c r="I52" s="288">
        <v>0</v>
      </c>
      <c r="J52" s="1019">
        <v>9</v>
      </c>
      <c r="K52" s="288">
        <v>0</v>
      </c>
      <c r="L52" s="288">
        <v>0</v>
      </c>
      <c r="M52" s="1019">
        <v>21</v>
      </c>
      <c r="N52" s="1020">
        <v>-5.3243767188134027E-2</v>
      </c>
      <c r="O52" s="706"/>
      <c r="P52" s="707"/>
      <c r="Q52" s="126"/>
    </row>
    <row r="53" spans="1:17" customFormat="1" ht="16" x14ac:dyDescent="0.35">
      <c r="A53" s="716"/>
      <c r="B53" s="643"/>
      <c r="C53" s="643"/>
      <c r="D53" s="643"/>
      <c r="E53" s="643"/>
      <c r="F53" s="643"/>
      <c r="G53" s="643"/>
      <c r="H53" s="643"/>
      <c r="I53" s="643"/>
      <c r="J53" s="643"/>
      <c r="K53" s="643"/>
      <c r="L53" s="643"/>
      <c r="M53" s="643"/>
      <c r="N53" s="717"/>
      <c r="O53" s="719"/>
      <c r="P53" s="719"/>
      <c r="Q53" s="126"/>
    </row>
    <row r="54" spans="1:17" customFormat="1" ht="32" x14ac:dyDescent="0.35">
      <c r="A54" s="700" t="s">
        <v>1644</v>
      </c>
      <c r="B54" s="701"/>
      <c r="C54" s="701"/>
      <c r="D54" s="701"/>
      <c r="E54" s="701"/>
      <c r="F54" s="701"/>
      <c r="G54" s="701"/>
      <c r="H54" s="701"/>
      <c r="I54" s="701"/>
      <c r="J54" s="701"/>
      <c r="K54" s="701"/>
      <c r="L54" s="701"/>
      <c r="M54" s="701"/>
      <c r="N54" s="701"/>
      <c r="O54" s="701"/>
      <c r="P54" s="701"/>
      <c r="Q54" s="126"/>
    </row>
    <row r="55" spans="1:17" customFormat="1" ht="32" x14ac:dyDescent="0.35">
      <c r="A55" s="685" t="s">
        <v>1645</v>
      </c>
      <c r="B55" s="599">
        <v>0</v>
      </c>
      <c r="C55" s="599">
        <v>0</v>
      </c>
      <c r="D55" s="599">
        <v>6.4</v>
      </c>
      <c r="E55" s="599">
        <v>0</v>
      </c>
      <c r="F55" s="599">
        <v>0</v>
      </c>
      <c r="G55" s="600">
        <v>6.4</v>
      </c>
      <c r="H55" s="599">
        <v>0</v>
      </c>
      <c r="I55" s="599">
        <v>0</v>
      </c>
      <c r="J55" s="599">
        <v>5.64</v>
      </c>
      <c r="K55" s="599">
        <v>0</v>
      </c>
      <c r="L55" s="599">
        <v>0</v>
      </c>
      <c r="M55" s="600">
        <v>5.64</v>
      </c>
      <c r="N55" s="601">
        <v>-0.11875000000000011</v>
      </c>
      <c r="O55" s="690" t="s">
        <v>1135</v>
      </c>
      <c r="P55" s="686" t="s">
        <v>1646</v>
      </c>
      <c r="Q55" s="126"/>
    </row>
    <row r="56" spans="1:17" customFormat="1" ht="96" x14ac:dyDescent="0.35">
      <c r="A56" s="687" t="s">
        <v>1647</v>
      </c>
      <c r="B56" s="621">
        <v>72.494</v>
      </c>
      <c r="C56" s="621">
        <v>0</v>
      </c>
      <c r="D56" s="621">
        <v>0</v>
      </c>
      <c r="E56" s="621">
        <v>0</v>
      </c>
      <c r="F56" s="621">
        <v>0</v>
      </c>
      <c r="G56" s="622">
        <v>72.494</v>
      </c>
      <c r="H56" s="599">
        <v>74.400000000000006</v>
      </c>
      <c r="I56" s="599">
        <v>0</v>
      </c>
      <c r="J56" s="599">
        <v>0</v>
      </c>
      <c r="K56" s="599">
        <v>0</v>
      </c>
      <c r="L56" s="599">
        <v>0</v>
      </c>
      <c r="M56" s="622">
        <v>74.400000000000006</v>
      </c>
      <c r="N56" s="601">
        <v>2.6291831048086821E-2</v>
      </c>
      <c r="O56" s="939" t="s">
        <v>1648</v>
      </c>
      <c r="P56" s="940" t="s">
        <v>1649</v>
      </c>
      <c r="Q56" s="126"/>
    </row>
    <row r="57" spans="1:17" customFormat="1" ht="16" x14ac:dyDescent="0.35">
      <c r="A57" s="687" t="s">
        <v>1650</v>
      </c>
      <c r="B57" s="621">
        <v>0</v>
      </c>
      <c r="C57" s="621">
        <v>6.28</v>
      </c>
      <c r="D57" s="621">
        <v>0</v>
      </c>
      <c r="E57" s="621">
        <v>0</v>
      </c>
      <c r="F57" s="621">
        <v>0</v>
      </c>
      <c r="G57" s="622">
        <v>6.28</v>
      </c>
      <c r="H57" s="599">
        <v>0</v>
      </c>
      <c r="I57" s="599">
        <v>7.3770000000000007</v>
      </c>
      <c r="J57" s="599">
        <v>0</v>
      </c>
      <c r="K57" s="599">
        <v>0</v>
      </c>
      <c r="L57" s="599">
        <v>0</v>
      </c>
      <c r="M57" s="622">
        <v>7.3770000000000007</v>
      </c>
      <c r="N57" s="601">
        <v>0.17468152866242045</v>
      </c>
      <c r="O57" s="939" t="s">
        <v>1141</v>
      </c>
      <c r="P57" s="704" t="s">
        <v>1011</v>
      </c>
      <c r="Q57" s="126"/>
    </row>
    <row r="58" spans="1:17" customFormat="1" ht="16" x14ac:dyDescent="0.35">
      <c r="A58" s="687" t="s">
        <v>1651</v>
      </c>
      <c r="B58" s="621">
        <v>23.922000000000001</v>
      </c>
      <c r="C58" s="621">
        <v>0</v>
      </c>
      <c r="D58" s="621">
        <v>0</v>
      </c>
      <c r="E58" s="621">
        <v>0</v>
      </c>
      <c r="F58" s="621">
        <v>0</v>
      </c>
      <c r="G58" s="622">
        <v>23.922000000000001</v>
      </c>
      <c r="H58" s="599">
        <v>24</v>
      </c>
      <c r="I58" s="599">
        <v>0</v>
      </c>
      <c r="J58" s="599">
        <v>0</v>
      </c>
      <c r="K58" s="599">
        <v>0</v>
      </c>
      <c r="L58" s="599">
        <v>0</v>
      </c>
      <c r="M58" s="622">
        <v>24</v>
      </c>
      <c r="N58" s="601">
        <v>3.2605969400551541E-3</v>
      </c>
      <c r="O58" s="939" t="s">
        <v>1652</v>
      </c>
      <c r="P58" s="941" t="s">
        <v>1653</v>
      </c>
      <c r="Q58" s="126"/>
    </row>
    <row r="59" spans="1:17" customFormat="1" ht="16" x14ac:dyDescent="0.35">
      <c r="A59" s="687" t="s">
        <v>1654</v>
      </c>
      <c r="B59" s="621">
        <v>-55.286999999999999</v>
      </c>
      <c r="C59" s="621">
        <v>0</v>
      </c>
      <c r="D59" s="621">
        <v>0</v>
      </c>
      <c r="E59" s="621">
        <v>0</v>
      </c>
      <c r="F59" s="621">
        <v>0</v>
      </c>
      <c r="G59" s="622">
        <v>-55.286999999999999</v>
      </c>
      <c r="H59" s="599">
        <v>-56</v>
      </c>
      <c r="I59" s="599">
        <v>0</v>
      </c>
      <c r="J59" s="599">
        <v>0</v>
      </c>
      <c r="K59" s="599">
        <v>0</v>
      </c>
      <c r="L59" s="599">
        <v>0</v>
      </c>
      <c r="M59" s="622">
        <v>-56</v>
      </c>
      <c r="N59" s="601">
        <v>1.2896340911968474E-2</v>
      </c>
      <c r="O59" s="939" t="s">
        <v>1655</v>
      </c>
      <c r="P59" s="941" t="s">
        <v>1653</v>
      </c>
      <c r="Q59" s="126"/>
    </row>
    <row r="60" spans="1:17" customFormat="1" ht="32" x14ac:dyDescent="0.35">
      <c r="A60" s="705" t="s">
        <v>1656</v>
      </c>
      <c r="B60" s="288">
        <v>41.128999999999998</v>
      </c>
      <c r="C60" s="288">
        <v>6.28</v>
      </c>
      <c r="D60" s="288">
        <v>6.4</v>
      </c>
      <c r="E60" s="288">
        <v>0</v>
      </c>
      <c r="F60" s="288">
        <v>0</v>
      </c>
      <c r="G60" s="288">
        <v>53.809000000000005</v>
      </c>
      <c r="H60" s="288">
        <v>42.400000000000006</v>
      </c>
      <c r="I60" s="288">
        <v>7.3770000000000007</v>
      </c>
      <c r="J60" s="288">
        <v>5.64</v>
      </c>
      <c r="K60" s="288">
        <v>0</v>
      </c>
      <c r="L60" s="288">
        <v>0</v>
      </c>
      <c r="M60" s="288">
        <v>55.417000000000002</v>
      </c>
      <c r="N60" s="200">
        <v>2.9883476741808933E-2</v>
      </c>
      <c r="O60" s="706"/>
      <c r="P60" s="707"/>
      <c r="Q60" s="126"/>
    </row>
    <row r="61" spans="1:17" customFormat="1" ht="16" x14ac:dyDescent="0.35">
      <c r="A61" s="716"/>
      <c r="B61" s="643"/>
      <c r="C61" s="643"/>
      <c r="D61" s="643"/>
      <c r="E61" s="643"/>
      <c r="F61" s="643"/>
      <c r="G61" s="643"/>
      <c r="H61" s="643"/>
      <c r="I61" s="643"/>
      <c r="J61" s="643"/>
      <c r="K61" s="643"/>
      <c r="L61" s="643"/>
      <c r="M61" s="643"/>
      <c r="N61" s="717"/>
      <c r="O61" s="719"/>
      <c r="P61" s="719"/>
      <c r="Q61" s="126"/>
    </row>
    <row r="62" spans="1:17" customFormat="1" ht="16" x14ac:dyDescent="0.35">
      <c r="A62" s="488" t="s">
        <v>1657</v>
      </c>
      <c r="B62" s="166"/>
      <c r="C62" s="166"/>
      <c r="D62" s="166"/>
      <c r="E62" s="166"/>
      <c r="F62" s="166"/>
      <c r="G62" s="166"/>
      <c r="H62" s="166"/>
      <c r="I62" s="166"/>
      <c r="J62" s="166"/>
      <c r="K62" s="166"/>
      <c r="L62" s="166"/>
      <c r="M62" s="166"/>
      <c r="N62" s="714"/>
      <c r="O62" s="166"/>
      <c r="P62" s="166"/>
      <c r="Q62" s="126"/>
    </row>
    <row r="63" spans="1:17" customFormat="1" ht="96" x14ac:dyDescent="0.35">
      <c r="A63" s="685" t="s">
        <v>1658</v>
      </c>
      <c r="B63" s="599">
        <v>39.659999999999997</v>
      </c>
      <c r="C63" s="599">
        <v>0</v>
      </c>
      <c r="D63" s="599">
        <v>0</v>
      </c>
      <c r="E63" s="599">
        <v>0</v>
      </c>
      <c r="F63" s="599">
        <v>0</v>
      </c>
      <c r="G63" s="600">
        <v>39.659999999999997</v>
      </c>
      <c r="H63" s="599">
        <v>39</v>
      </c>
      <c r="I63" s="599">
        <v>0</v>
      </c>
      <c r="J63" s="599">
        <v>0</v>
      </c>
      <c r="K63" s="599">
        <v>0</v>
      </c>
      <c r="L63" s="599">
        <v>0</v>
      </c>
      <c r="M63" s="600">
        <v>39</v>
      </c>
      <c r="N63" s="601">
        <v>-1.6641452344931838E-2</v>
      </c>
      <c r="O63" s="690" t="s">
        <v>1659</v>
      </c>
      <c r="P63" s="942" t="s">
        <v>1660</v>
      </c>
      <c r="Q63" s="126"/>
    </row>
    <row r="64" spans="1:17" customFormat="1" ht="32" x14ac:dyDescent="0.35">
      <c r="A64" s="687" t="s">
        <v>1661</v>
      </c>
      <c r="B64" s="621">
        <v>0</v>
      </c>
      <c r="C64" s="621">
        <v>2.363</v>
      </c>
      <c r="D64" s="621">
        <v>0</v>
      </c>
      <c r="E64" s="621">
        <v>0</v>
      </c>
      <c r="F64" s="621">
        <v>0</v>
      </c>
      <c r="G64" s="622">
        <v>2.363</v>
      </c>
      <c r="H64" s="599">
        <v>0</v>
      </c>
      <c r="I64" s="599">
        <v>2.15</v>
      </c>
      <c r="J64" s="599">
        <v>0</v>
      </c>
      <c r="K64" s="599">
        <v>0</v>
      </c>
      <c r="L64" s="599">
        <v>4.4999999999999998E-2</v>
      </c>
      <c r="M64" s="622">
        <v>2.1949999999999998</v>
      </c>
      <c r="N64" s="601">
        <v>-7.1096064325010644E-2</v>
      </c>
      <c r="O64" s="939" t="s">
        <v>1141</v>
      </c>
      <c r="P64" s="940" t="s">
        <v>1011</v>
      </c>
      <c r="Q64" s="126"/>
    </row>
    <row r="65" spans="1:17" customFormat="1" ht="49.5" customHeight="1" x14ac:dyDescent="0.35">
      <c r="A65" s="687" t="s">
        <v>1662</v>
      </c>
      <c r="B65" s="621">
        <v>21.393999999999998</v>
      </c>
      <c r="C65" s="621">
        <v>0</v>
      </c>
      <c r="D65" s="621">
        <v>0</v>
      </c>
      <c r="E65" s="621">
        <v>0</v>
      </c>
      <c r="F65" s="621">
        <v>0</v>
      </c>
      <c r="G65" s="622">
        <v>21.393999999999998</v>
      </c>
      <c r="H65" s="599">
        <v>19</v>
      </c>
      <c r="I65" s="599">
        <v>0</v>
      </c>
      <c r="J65" s="599">
        <v>0</v>
      </c>
      <c r="K65" s="599">
        <v>0</v>
      </c>
      <c r="L65" s="599">
        <v>0</v>
      </c>
      <c r="M65" s="622">
        <v>19</v>
      </c>
      <c r="N65" s="601">
        <v>-0.11190053285968021</v>
      </c>
      <c r="O65" s="939" t="s">
        <v>1663</v>
      </c>
      <c r="P65" s="940" t="s">
        <v>1664</v>
      </c>
      <c r="Q65" s="126"/>
    </row>
    <row r="66" spans="1:17" customFormat="1" ht="48" x14ac:dyDescent="0.35">
      <c r="A66" s="687" t="s">
        <v>1665</v>
      </c>
      <c r="B66" s="621">
        <v>0</v>
      </c>
      <c r="C66" s="621">
        <v>0</v>
      </c>
      <c r="D66" s="621">
        <v>14.696</v>
      </c>
      <c r="E66" s="621">
        <v>0</v>
      </c>
      <c r="F66" s="621">
        <v>0</v>
      </c>
      <c r="G66" s="622">
        <v>14.696</v>
      </c>
      <c r="H66" s="599">
        <v>0</v>
      </c>
      <c r="I66" s="599">
        <v>0</v>
      </c>
      <c r="J66" s="599">
        <v>7.9580000000000002</v>
      </c>
      <c r="K66" s="599">
        <v>0</v>
      </c>
      <c r="L66" s="599">
        <v>0</v>
      </c>
      <c r="M66" s="622">
        <v>7.9580000000000002</v>
      </c>
      <c r="N66" s="601">
        <v>-0.45849210669569951</v>
      </c>
      <c r="O66" s="939" t="s">
        <v>1666</v>
      </c>
      <c r="P66" s="686" t="s">
        <v>1664</v>
      </c>
      <c r="Q66" s="126"/>
    </row>
    <row r="67" spans="1:17" customFormat="1" ht="16" x14ac:dyDescent="0.35">
      <c r="A67" s="705" t="s">
        <v>1667</v>
      </c>
      <c r="B67" s="288">
        <v>61.053999999999995</v>
      </c>
      <c r="C67" s="288">
        <v>2.363</v>
      </c>
      <c r="D67" s="288">
        <v>14.696</v>
      </c>
      <c r="E67" s="288">
        <v>0</v>
      </c>
      <c r="F67" s="288">
        <v>0</v>
      </c>
      <c r="G67" s="288">
        <v>78.113</v>
      </c>
      <c r="H67" s="288">
        <v>58</v>
      </c>
      <c r="I67" s="288">
        <v>2.15</v>
      </c>
      <c r="J67" s="288">
        <v>7.9580000000000002</v>
      </c>
      <c r="K67" s="288">
        <v>0</v>
      </c>
      <c r="L67" s="288">
        <v>4.4999999999999998E-2</v>
      </c>
      <c r="M67" s="288">
        <v>68.153000000000006</v>
      </c>
      <c r="N67" s="200">
        <v>-0.12750758516508129</v>
      </c>
      <c r="O67" s="706"/>
      <c r="P67" s="707"/>
      <c r="Q67" s="126"/>
    </row>
    <row r="68" spans="1:17" customFormat="1" ht="16" x14ac:dyDescent="0.35">
      <c r="A68" s="716"/>
      <c r="B68" s="643"/>
      <c r="C68" s="643"/>
      <c r="D68" s="643"/>
      <c r="E68" s="643"/>
      <c r="F68" s="643"/>
      <c r="G68" s="643"/>
      <c r="H68" s="643"/>
      <c r="I68" s="643"/>
      <c r="J68" s="643"/>
      <c r="K68" s="643"/>
      <c r="L68" s="643"/>
      <c r="M68" s="643"/>
      <c r="N68" s="717"/>
      <c r="O68" s="719"/>
      <c r="P68" s="719"/>
      <c r="Q68" s="126"/>
    </row>
    <row r="69" spans="1:17" customFormat="1" ht="16" x14ac:dyDescent="0.35">
      <c r="A69" s="488" t="s">
        <v>1668</v>
      </c>
      <c r="B69" s="166"/>
      <c r="C69" s="166"/>
      <c r="D69" s="166"/>
      <c r="E69" s="166"/>
      <c r="F69" s="166"/>
      <c r="G69" s="166"/>
      <c r="H69" s="166"/>
      <c r="I69" s="166"/>
      <c r="J69" s="166"/>
      <c r="K69" s="166"/>
      <c r="L69" s="166"/>
      <c r="M69" s="166"/>
      <c r="N69" s="714"/>
      <c r="O69" s="489"/>
      <c r="P69" s="489"/>
      <c r="Q69" s="126"/>
    </row>
    <row r="70" spans="1:17" customFormat="1" ht="90" customHeight="1" x14ac:dyDescent="0.35">
      <c r="A70" s="685" t="s">
        <v>1668</v>
      </c>
      <c r="B70" s="599">
        <v>22.585000000000001</v>
      </c>
      <c r="C70" s="599">
        <v>0</v>
      </c>
      <c r="D70" s="599">
        <v>22.332000000000001</v>
      </c>
      <c r="E70" s="599">
        <v>0</v>
      </c>
      <c r="F70" s="599">
        <v>0</v>
      </c>
      <c r="G70" s="600">
        <v>44.917000000000002</v>
      </c>
      <c r="H70" s="599">
        <v>7.1999999999999993</v>
      </c>
      <c r="I70" s="599">
        <v>0</v>
      </c>
      <c r="J70" s="599">
        <v>16</v>
      </c>
      <c r="K70" s="599">
        <v>0</v>
      </c>
      <c r="L70" s="599">
        <v>0</v>
      </c>
      <c r="M70" s="600">
        <v>23.2</v>
      </c>
      <c r="N70" s="601">
        <v>-0.48349177371596502</v>
      </c>
      <c r="O70" s="690" t="s">
        <v>1669</v>
      </c>
      <c r="P70" s="925" t="s">
        <v>1670</v>
      </c>
      <c r="Q70" s="126"/>
    </row>
    <row r="71" spans="1:17" customFormat="1" ht="16" x14ac:dyDescent="0.35">
      <c r="A71" s="705" t="s">
        <v>1671</v>
      </c>
      <c r="B71" s="288">
        <v>22.585000000000001</v>
      </c>
      <c r="C71" s="288">
        <v>0</v>
      </c>
      <c r="D71" s="288">
        <v>22.332000000000001</v>
      </c>
      <c r="E71" s="288">
        <v>0</v>
      </c>
      <c r="F71" s="288">
        <v>0</v>
      </c>
      <c r="G71" s="288">
        <v>44.917000000000002</v>
      </c>
      <c r="H71" s="288">
        <v>7.1999999999999993</v>
      </c>
      <c r="I71" s="288">
        <v>0</v>
      </c>
      <c r="J71" s="288">
        <v>16</v>
      </c>
      <c r="K71" s="288">
        <v>0</v>
      </c>
      <c r="L71" s="288">
        <v>0</v>
      </c>
      <c r="M71" s="288">
        <v>23.2</v>
      </c>
      <c r="N71" s="200">
        <v>-0.48349177371596502</v>
      </c>
      <c r="O71" s="706"/>
      <c r="P71" s="707"/>
      <c r="Q71" s="126"/>
    </row>
    <row r="72" spans="1:17" customFormat="1" ht="16" x14ac:dyDescent="0.35">
      <c r="A72" s="943"/>
      <c r="B72" s="724"/>
      <c r="C72" s="724"/>
      <c r="D72" s="724"/>
      <c r="E72" s="724"/>
      <c r="F72" s="724"/>
      <c r="G72" s="724"/>
      <c r="H72" s="724"/>
      <c r="I72" s="724"/>
      <c r="J72" s="724"/>
      <c r="K72" s="724"/>
      <c r="L72" s="724"/>
      <c r="M72" s="724"/>
      <c r="N72" s="944"/>
      <c r="O72" s="945"/>
      <c r="P72" s="945"/>
      <c r="Q72" s="126"/>
    </row>
    <row r="73" spans="1:17" customFormat="1" ht="16" x14ac:dyDescent="0.35">
      <c r="A73" s="488" t="s">
        <v>1672</v>
      </c>
      <c r="B73" s="166"/>
      <c r="C73" s="166"/>
      <c r="D73" s="166"/>
      <c r="E73" s="166"/>
      <c r="F73" s="166"/>
      <c r="G73" s="166"/>
      <c r="H73" s="166"/>
      <c r="I73" s="166"/>
      <c r="J73" s="166"/>
      <c r="K73" s="166"/>
      <c r="L73" s="166"/>
      <c r="M73" s="166"/>
      <c r="N73" s="714"/>
      <c r="O73" s="166"/>
      <c r="P73" s="166"/>
      <c r="Q73" s="126"/>
    </row>
    <row r="74" spans="1:17" customFormat="1" ht="96" x14ac:dyDescent="0.35">
      <c r="A74" s="685" t="s">
        <v>1673</v>
      </c>
      <c r="B74" s="599">
        <v>0</v>
      </c>
      <c r="C74" s="599">
        <v>0</v>
      </c>
      <c r="D74" s="599">
        <v>0</v>
      </c>
      <c r="E74" s="599">
        <v>0</v>
      </c>
      <c r="F74" s="599">
        <v>0</v>
      </c>
      <c r="G74" s="600">
        <v>0</v>
      </c>
      <c r="H74" s="599">
        <v>10.3</v>
      </c>
      <c r="I74" s="599">
        <v>0</v>
      </c>
      <c r="J74" s="599">
        <v>0</v>
      </c>
      <c r="K74" s="599">
        <v>0</v>
      </c>
      <c r="L74" s="599">
        <v>0</v>
      </c>
      <c r="M74" s="600">
        <v>10.3</v>
      </c>
      <c r="N74" s="601" t="s">
        <v>50</v>
      </c>
      <c r="O74" s="690" t="s">
        <v>1674</v>
      </c>
      <c r="P74" s="942" t="s">
        <v>1675</v>
      </c>
      <c r="Q74" s="126"/>
    </row>
    <row r="75" spans="1:17" customFormat="1" ht="16" x14ac:dyDescent="0.35">
      <c r="A75" s="687" t="s">
        <v>1676</v>
      </c>
      <c r="B75" s="621">
        <v>0</v>
      </c>
      <c r="C75" s="621">
        <v>0</v>
      </c>
      <c r="D75" s="621">
        <v>0</v>
      </c>
      <c r="E75" s="621">
        <v>0</v>
      </c>
      <c r="F75" s="621">
        <v>0</v>
      </c>
      <c r="G75" s="622">
        <v>0</v>
      </c>
      <c r="H75" s="599">
        <v>0</v>
      </c>
      <c r="I75" s="599">
        <v>0</v>
      </c>
      <c r="J75" s="599">
        <v>0</v>
      </c>
      <c r="K75" s="599">
        <v>0</v>
      </c>
      <c r="L75" s="599">
        <v>0</v>
      </c>
      <c r="M75" s="622">
        <v>0</v>
      </c>
      <c r="N75" s="601" t="s">
        <v>50</v>
      </c>
      <c r="O75" s="939" t="s">
        <v>237</v>
      </c>
      <c r="P75" s="940" t="s">
        <v>237</v>
      </c>
      <c r="Q75" s="126"/>
    </row>
    <row r="76" spans="1:17" customFormat="1" ht="80" x14ac:dyDescent="0.35">
      <c r="A76" s="687" t="s">
        <v>1677</v>
      </c>
      <c r="B76" s="621">
        <v>0</v>
      </c>
      <c r="C76" s="621">
        <v>0</v>
      </c>
      <c r="D76" s="621">
        <v>0</v>
      </c>
      <c r="E76" s="621">
        <v>0</v>
      </c>
      <c r="F76" s="621">
        <v>0</v>
      </c>
      <c r="G76" s="622">
        <v>0</v>
      </c>
      <c r="H76" s="599">
        <v>6.1</v>
      </c>
      <c r="I76" s="599">
        <v>0</v>
      </c>
      <c r="J76" s="599">
        <v>0</v>
      </c>
      <c r="K76" s="599">
        <v>0</v>
      </c>
      <c r="L76" s="599">
        <v>0</v>
      </c>
      <c r="M76" s="622">
        <v>6.1</v>
      </c>
      <c r="N76" s="601" t="s">
        <v>50</v>
      </c>
      <c r="O76" s="939" t="s">
        <v>1678</v>
      </c>
      <c r="P76" s="940" t="s">
        <v>1679</v>
      </c>
      <c r="Q76" s="126"/>
    </row>
    <row r="77" spans="1:17" customFormat="1" ht="16" x14ac:dyDescent="0.35">
      <c r="A77" s="687" t="s">
        <v>1680</v>
      </c>
      <c r="B77" s="621">
        <v>0</v>
      </c>
      <c r="C77" s="621">
        <v>0</v>
      </c>
      <c r="D77" s="621">
        <v>0</v>
      </c>
      <c r="E77" s="621">
        <v>0</v>
      </c>
      <c r="F77" s="621">
        <v>0</v>
      </c>
      <c r="G77" s="622">
        <v>0</v>
      </c>
      <c r="H77" s="599">
        <v>0</v>
      </c>
      <c r="I77" s="599">
        <v>0</v>
      </c>
      <c r="J77" s="599">
        <v>0</v>
      </c>
      <c r="K77" s="599">
        <v>0</v>
      </c>
      <c r="L77" s="599">
        <v>0</v>
      </c>
      <c r="M77" s="622">
        <v>0</v>
      </c>
      <c r="N77" s="601" t="s">
        <v>50</v>
      </c>
      <c r="O77" s="939" t="s">
        <v>237</v>
      </c>
      <c r="P77" s="686" t="s">
        <v>237</v>
      </c>
      <c r="Q77" s="126"/>
    </row>
    <row r="78" spans="1:17" customFormat="1" ht="16" x14ac:dyDescent="0.35">
      <c r="A78" s="705" t="s">
        <v>1681</v>
      </c>
      <c r="B78" s="288">
        <v>0</v>
      </c>
      <c r="C78" s="288">
        <v>0</v>
      </c>
      <c r="D78" s="288">
        <v>0</v>
      </c>
      <c r="E78" s="288">
        <v>0</v>
      </c>
      <c r="F78" s="288">
        <v>0</v>
      </c>
      <c r="G78" s="288">
        <v>0</v>
      </c>
      <c r="H78" s="288">
        <v>16.399999999999999</v>
      </c>
      <c r="I78" s="288">
        <v>0</v>
      </c>
      <c r="J78" s="288">
        <v>0</v>
      </c>
      <c r="K78" s="288">
        <v>0</v>
      </c>
      <c r="L78" s="288">
        <v>0</v>
      </c>
      <c r="M78" s="288">
        <v>16.399999999999999</v>
      </c>
      <c r="N78" s="200" t="s">
        <v>50</v>
      </c>
      <c r="O78" s="706"/>
      <c r="P78" s="707"/>
      <c r="Q78" s="126"/>
    </row>
    <row r="79" spans="1:17" customFormat="1" x14ac:dyDescent="0.35">
      <c r="A79" s="1"/>
      <c r="Q79" s="126"/>
    </row>
    <row r="80" spans="1:17" customFormat="1" ht="16" x14ac:dyDescent="0.35">
      <c r="A80" s="688" t="s">
        <v>1682</v>
      </c>
      <c r="B80" s="630">
        <v>134.37</v>
      </c>
      <c r="C80" s="630">
        <v>8.6430000000000007</v>
      </c>
      <c r="D80" s="630">
        <v>61.427999999999997</v>
      </c>
      <c r="E80" s="630">
        <v>0</v>
      </c>
      <c r="F80" s="630">
        <v>0</v>
      </c>
      <c r="G80" s="630">
        <v>204.441</v>
      </c>
      <c r="H80" s="630">
        <v>142.95000000000002</v>
      </c>
      <c r="I80" s="630">
        <v>9.527000000000001</v>
      </c>
      <c r="J80" s="1039">
        <v>54.597999999999999</v>
      </c>
      <c r="K80" s="630">
        <v>0</v>
      </c>
      <c r="L80" s="630">
        <v>4.4999999999999998E-2</v>
      </c>
      <c r="M80" s="1039">
        <v>207.12</v>
      </c>
      <c r="N80" s="1028">
        <v>1.3104025122162395E-2</v>
      </c>
      <c r="O80" s="664"/>
      <c r="P80" s="665"/>
      <c r="Q80" s="126"/>
    </row>
    <row r="81" spans="1:17" customFormat="1" ht="16" x14ac:dyDescent="0.35">
      <c r="A81" s="716"/>
      <c r="B81" s="609"/>
      <c r="C81" s="609"/>
      <c r="D81" s="609"/>
      <c r="E81" s="609"/>
      <c r="F81" s="609"/>
      <c r="G81" s="609"/>
      <c r="H81" s="609"/>
      <c r="I81" s="609"/>
      <c r="J81" s="609"/>
      <c r="K81" s="609"/>
      <c r="L81" s="609"/>
      <c r="M81" s="609"/>
      <c r="N81" s="935"/>
      <c r="O81" s="719"/>
      <c r="P81" s="719"/>
      <c r="Q81" s="126"/>
    </row>
    <row r="82" spans="1:17" customFormat="1" ht="32" x14ac:dyDescent="0.35">
      <c r="A82" s="638" t="s">
        <v>1683</v>
      </c>
      <c r="B82" s="639"/>
      <c r="C82" s="639"/>
      <c r="D82" s="639"/>
      <c r="E82" s="639"/>
      <c r="F82" s="639"/>
      <c r="G82" s="639"/>
      <c r="H82" s="639"/>
      <c r="I82" s="639"/>
      <c r="J82" s="639"/>
      <c r="K82" s="639"/>
      <c r="L82" s="639"/>
      <c r="M82" s="639"/>
      <c r="N82" s="272"/>
      <c r="O82" s="640"/>
      <c r="P82" s="640"/>
      <c r="Q82" s="126"/>
    </row>
    <row r="83" spans="1:17" customFormat="1" ht="48" x14ac:dyDescent="0.35">
      <c r="A83" s="946" t="s">
        <v>1683</v>
      </c>
      <c r="B83" s="621">
        <v>2.92</v>
      </c>
      <c r="C83" s="621">
        <v>0</v>
      </c>
      <c r="D83" s="621">
        <v>0</v>
      </c>
      <c r="E83" s="621">
        <v>0</v>
      </c>
      <c r="F83" s="621">
        <v>0</v>
      </c>
      <c r="G83" s="622">
        <v>2.92</v>
      </c>
      <c r="H83" s="599">
        <v>3.1</v>
      </c>
      <c r="I83" s="599">
        <v>7.1999999999999995E-2</v>
      </c>
      <c r="J83" s="599">
        <v>0.61599999999999999</v>
      </c>
      <c r="K83" s="599">
        <v>0</v>
      </c>
      <c r="L83" s="599">
        <v>0</v>
      </c>
      <c r="M83" s="622">
        <v>3.7880000000000003</v>
      </c>
      <c r="N83" s="601">
        <v>0.29726027397260285</v>
      </c>
      <c r="O83" s="687" t="s">
        <v>1684</v>
      </c>
      <c r="P83" s="704" t="s">
        <v>1685</v>
      </c>
      <c r="Q83" s="126"/>
    </row>
    <row r="84" spans="1:17" customFormat="1" ht="32" x14ac:dyDescent="0.35">
      <c r="A84" s="947" t="s">
        <v>1686</v>
      </c>
      <c r="B84" s="729">
        <v>2.92</v>
      </c>
      <c r="C84" s="729">
        <v>0</v>
      </c>
      <c r="D84" s="729">
        <v>0</v>
      </c>
      <c r="E84" s="729">
        <v>0</v>
      </c>
      <c r="F84" s="729">
        <v>0</v>
      </c>
      <c r="G84" s="729">
        <v>2.92</v>
      </c>
      <c r="H84" s="729">
        <v>3.1</v>
      </c>
      <c r="I84" s="729">
        <v>7.1999999999999995E-2</v>
      </c>
      <c r="J84" s="729">
        <v>0.61599999999999999</v>
      </c>
      <c r="K84" s="729">
        <v>0</v>
      </c>
      <c r="L84" s="729">
        <v>0</v>
      </c>
      <c r="M84" s="729">
        <v>3.7880000000000003</v>
      </c>
      <c r="N84" s="631">
        <v>0.29726027397260285</v>
      </c>
      <c r="O84" s="632"/>
      <c r="P84" s="633"/>
      <c r="Q84" s="126"/>
    </row>
    <row r="85" spans="1:17" customFormat="1" ht="16" x14ac:dyDescent="0.35">
      <c r="A85" s="711"/>
      <c r="B85" s="282"/>
      <c r="C85" s="282"/>
      <c r="D85" s="282"/>
      <c r="E85" s="282"/>
      <c r="F85" s="282"/>
      <c r="G85" s="898"/>
      <c r="H85" s="282"/>
      <c r="I85" s="282"/>
      <c r="J85" s="282"/>
      <c r="K85" s="282"/>
      <c r="L85" s="282"/>
      <c r="M85" s="898"/>
      <c r="N85" s="899"/>
      <c r="O85" s="711"/>
      <c r="P85" s="711"/>
      <c r="Q85" s="126"/>
    </row>
    <row r="86" spans="1:17" customFormat="1" ht="16" x14ac:dyDescent="0.35">
      <c r="A86" s="659" t="s">
        <v>1687</v>
      </c>
      <c r="B86" s="639"/>
      <c r="C86" s="639"/>
      <c r="D86" s="639"/>
      <c r="E86" s="639"/>
      <c r="F86" s="639"/>
      <c r="G86" s="639"/>
      <c r="H86" s="639"/>
      <c r="I86" s="639"/>
      <c r="J86" s="639"/>
      <c r="K86" s="639"/>
      <c r="L86" s="639"/>
      <c r="M86" s="639"/>
      <c r="N86" s="660"/>
      <c r="O86" s="661"/>
      <c r="P86" s="661"/>
      <c r="Q86" s="126"/>
    </row>
    <row r="87" spans="1:17" s="306" customFormat="1" ht="64.25" customHeight="1" x14ac:dyDescent="0.35">
      <c r="A87" s="920" t="s">
        <v>1688</v>
      </c>
      <c r="B87" s="921">
        <v>28.344999999999999</v>
      </c>
      <c r="C87" s="921">
        <v>0</v>
      </c>
      <c r="D87" s="921">
        <v>0</v>
      </c>
      <c r="E87" s="921">
        <v>0</v>
      </c>
      <c r="F87" s="921">
        <v>0</v>
      </c>
      <c r="G87" s="922">
        <v>28.344999999999999</v>
      </c>
      <c r="H87" s="921">
        <v>36.768999999999998</v>
      </c>
      <c r="I87" s="921">
        <v>0</v>
      </c>
      <c r="J87" s="921">
        <v>20.25</v>
      </c>
      <c r="K87" s="921">
        <v>0</v>
      </c>
      <c r="L87" s="921">
        <v>0</v>
      </c>
      <c r="M87" s="922">
        <v>57.018999999999998</v>
      </c>
      <c r="N87" s="923">
        <v>1.0116069853589698</v>
      </c>
      <c r="O87" s="924" t="s">
        <v>1689</v>
      </c>
      <c r="P87" s="925" t="s">
        <v>1690</v>
      </c>
      <c r="Q87" s="926"/>
    </row>
    <row r="88" spans="1:17" s="306" customFormat="1" ht="160.25" customHeight="1" x14ac:dyDescent="0.35">
      <c r="A88" s="948" t="s">
        <v>1691</v>
      </c>
      <c r="B88" s="949">
        <v>0</v>
      </c>
      <c r="C88" s="949">
        <v>0</v>
      </c>
      <c r="D88" s="949">
        <v>12.172000000000001</v>
      </c>
      <c r="E88" s="949">
        <v>0</v>
      </c>
      <c r="F88" s="949">
        <v>0</v>
      </c>
      <c r="G88" s="950">
        <v>12.172000000000001</v>
      </c>
      <c r="H88" s="921">
        <v>0</v>
      </c>
      <c r="I88" s="921">
        <v>0</v>
      </c>
      <c r="J88" s="921">
        <v>15.899999999999999</v>
      </c>
      <c r="K88" s="921">
        <v>0</v>
      </c>
      <c r="L88" s="921">
        <v>0</v>
      </c>
      <c r="M88" s="950">
        <v>15.899999999999999</v>
      </c>
      <c r="N88" s="923">
        <v>0.30627670062438367</v>
      </c>
      <c r="O88" s="951" t="s">
        <v>1692</v>
      </c>
      <c r="P88" s="937" t="s">
        <v>1693</v>
      </c>
      <c r="Q88" s="926"/>
    </row>
    <row r="89" spans="1:17" customFormat="1" ht="16" x14ac:dyDescent="0.35">
      <c r="A89" s="928" t="s">
        <v>1694</v>
      </c>
      <c r="B89" s="729">
        <v>28.344999999999999</v>
      </c>
      <c r="C89" s="729">
        <v>0</v>
      </c>
      <c r="D89" s="729">
        <v>12.172000000000001</v>
      </c>
      <c r="E89" s="729">
        <v>0</v>
      </c>
      <c r="F89" s="729">
        <v>0</v>
      </c>
      <c r="G89" s="729">
        <v>40.516999999999996</v>
      </c>
      <c r="H89" s="729">
        <v>36.768999999999998</v>
      </c>
      <c r="I89" s="729">
        <v>0</v>
      </c>
      <c r="J89" s="729">
        <v>36.15</v>
      </c>
      <c r="K89" s="729">
        <v>0</v>
      </c>
      <c r="L89" s="729">
        <v>0</v>
      </c>
      <c r="M89" s="729">
        <v>72.918999999999997</v>
      </c>
      <c r="N89" s="631">
        <v>0.79971370042204515</v>
      </c>
      <c r="O89" s="929"/>
      <c r="P89" s="665"/>
      <c r="Q89" s="126"/>
    </row>
    <row r="90" spans="1:17" customFormat="1" x14ac:dyDescent="0.35">
      <c r="A90" s="1"/>
      <c r="Q90" s="126"/>
    </row>
    <row r="91" spans="1:17" customFormat="1" ht="16" x14ac:dyDescent="0.35">
      <c r="A91" s="952"/>
      <c r="B91" s="635"/>
      <c r="C91" s="635"/>
      <c r="D91" s="635"/>
      <c r="E91" s="635"/>
      <c r="F91" s="635"/>
      <c r="G91" s="635"/>
      <c r="H91" s="635"/>
      <c r="I91" s="635"/>
      <c r="J91" s="635"/>
      <c r="K91" s="635"/>
      <c r="L91" s="635"/>
      <c r="M91" s="635"/>
      <c r="N91" s="717"/>
      <c r="O91" s="953"/>
      <c r="P91" s="953"/>
      <c r="Q91" s="126"/>
    </row>
    <row r="92" spans="1:17" customFormat="1" ht="16" x14ac:dyDescent="0.35">
      <c r="A92" s="954" t="s">
        <v>1695</v>
      </c>
      <c r="B92" s="462"/>
      <c r="C92" s="462"/>
      <c r="D92" s="462"/>
      <c r="E92" s="462"/>
      <c r="F92" s="462"/>
      <c r="G92" s="462"/>
      <c r="H92" s="462"/>
      <c r="I92" s="462"/>
      <c r="J92" s="462"/>
      <c r="K92" s="462"/>
      <c r="L92" s="462"/>
      <c r="M92" s="462"/>
      <c r="N92" s="955"/>
      <c r="O92" s="956"/>
      <c r="P92" s="956"/>
      <c r="Q92" s="126"/>
    </row>
    <row r="93" spans="1:17" customFormat="1" ht="32" x14ac:dyDescent="0.35">
      <c r="A93" s="685" t="s">
        <v>1696</v>
      </c>
      <c r="B93" s="599">
        <v>-121.5</v>
      </c>
      <c r="C93" s="599">
        <v>0</v>
      </c>
      <c r="D93" s="599">
        <v>0</v>
      </c>
      <c r="E93" s="599">
        <v>0</v>
      </c>
      <c r="F93" s="599">
        <v>0</v>
      </c>
      <c r="G93" s="600">
        <v>-121.5</v>
      </c>
      <c r="H93" s="599">
        <v>-129</v>
      </c>
      <c r="I93" s="599">
        <v>0</v>
      </c>
      <c r="J93" s="599">
        <v>0</v>
      </c>
      <c r="K93" s="599">
        <v>0</v>
      </c>
      <c r="L93" s="599">
        <v>0</v>
      </c>
      <c r="M93" s="600">
        <v>-129</v>
      </c>
      <c r="N93" s="601">
        <v>6.1728395061728392E-2</v>
      </c>
      <c r="O93" s="920" t="s">
        <v>1697</v>
      </c>
      <c r="P93" s="686" t="s">
        <v>1698</v>
      </c>
      <c r="Q93" s="126"/>
    </row>
    <row r="94" spans="1:17" customFormat="1" ht="32" x14ac:dyDescent="0.35">
      <c r="A94" s="687" t="s">
        <v>1699</v>
      </c>
      <c r="B94" s="621">
        <v>0</v>
      </c>
      <c r="C94" s="621">
        <v>0</v>
      </c>
      <c r="D94" s="621">
        <v>170</v>
      </c>
      <c r="E94" s="621">
        <v>0</v>
      </c>
      <c r="F94" s="621">
        <v>0</v>
      </c>
      <c r="G94" s="622">
        <v>170</v>
      </c>
      <c r="H94" s="599">
        <v>0</v>
      </c>
      <c r="I94" s="599">
        <v>0</v>
      </c>
      <c r="J94" s="599">
        <v>170</v>
      </c>
      <c r="K94" s="599">
        <v>0</v>
      </c>
      <c r="L94" s="599">
        <v>0</v>
      </c>
      <c r="M94" s="622">
        <v>170</v>
      </c>
      <c r="N94" s="601">
        <v>0</v>
      </c>
      <c r="O94" s="957" t="s">
        <v>1700</v>
      </c>
      <c r="P94" s="686" t="s">
        <v>60</v>
      </c>
      <c r="Q94" s="126"/>
    </row>
    <row r="95" spans="1:17" customFormat="1" ht="32" x14ac:dyDescent="0.35">
      <c r="A95" s="687" t="s">
        <v>1701</v>
      </c>
      <c r="B95" s="621">
        <v>2.0369999999999999</v>
      </c>
      <c r="C95" s="621">
        <v>0</v>
      </c>
      <c r="D95" s="621">
        <v>0</v>
      </c>
      <c r="E95" s="621">
        <v>0</v>
      </c>
      <c r="F95" s="621">
        <v>0</v>
      </c>
      <c r="G95" s="622">
        <v>2.0369999999999999</v>
      </c>
      <c r="H95" s="599">
        <v>4.0720000000000001</v>
      </c>
      <c r="I95" s="599">
        <v>0</v>
      </c>
      <c r="J95" s="599">
        <v>0</v>
      </c>
      <c r="K95" s="599">
        <v>0</v>
      </c>
      <c r="L95" s="599">
        <v>0</v>
      </c>
      <c r="M95" s="622">
        <v>4.0720000000000001</v>
      </c>
      <c r="N95" s="601">
        <v>0.99901816396661769</v>
      </c>
      <c r="O95" s="957" t="s">
        <v>1702</v>
      </c>
      <c r="P95" s="958" t="s">
        <v>1703</v>
      </c>
      <c r="Q95" s="126"/>
    </row>
    <row r="96" spans="1:17" customFormat="1" ht="48" x14ac:dyDescent="0.35">
      <c r="A96" s="687" t="s">
        <v>1704</v>
      </c>
      <c r="B96" s="621">
        <v>0.41499999999999998</v>
      </c>
      <c r="C96" s="621">
        <v>0</v>
      </c>
      <c r="D96" s="621">
        <v>0</v>
      </c>
      <c r="E96" s="621">
        <v>0</v>
      </c>
      <c r="F96" s="621">
        <v>0</v>
      </c>
      <c r="G96" s="622">
        <v>0.41499999999999998</v>
      </c>
      <c r="H96" s="599">
        <v>0.5</v>
      </c>
      <c r="I96" s="599">
        <v>0</v>
      </c>
      <c r="J96" s="599">
        <v>0</v>
      </c>
      <c r="K96" s="599">
        <v>0</v>
      </c>
      <c r="L96" s="599">
        <v>0</v>
      </c>
      <c r="M96" s="622">
        <v>0.5</v>
      </c>
      <c r="N96" s="601">
        <v>0.20481927710843378</v>
      </c>
      <c r="O96" s="957" t="s">
        <v>1705</v>
      </c>
      <c r="P96" s="958" t="s">
        <v>1618</v>
      </c>
      <c r="Q96" s="126"/>
    </row>
    <row r="97" spans="1:17" customFormat="1" ht="48" x14ac:dyDescent="0.35">
      <c r="A97" s="687" t="s">
        <v>1706</v>
      </c>
      <c r="B97" s="621">
        <v>1.8420000000000001</v>
      </c>
      <c r="C97" s="621">
        <v>0</v>
      </c>
      <c r="D97" s="621">
        <v>5</v>
      </c>
      <c r="E97" s="621">
        <v>0</v>
      </c>
      <c r="F97" s="621">
        <v>0</v>
      </c>
      <c r="G97" s="622">
        <v>6.8420000000000005</v>
      </c>
      <c r="H97" s="599">
        <v>1.8420000000000001</v>
      </c>
      <c r="I97" s="599">
        <v>0</v>
      </c>
      <c r="J97" s="599">
        <v>5</v>
      </c>
      <c r="K97" s="599">
        <v>0</v>
      </c>
      <c r="L97" s="599">
        <v>0</v>
      </c>
      <c r="M97" s="622">
        <v>6.8420000000000005</v>
      </c>
      <c r="N97" s="601">
        <v>0</v>
      </c>
      <c r="O97" s="959" t="s">
        <v>1707</v>
      </c>
      <c r="P97" s="686" t="s">
        <v>60</v>
      </c>
      <c r="Q97" s="126"/>
    </row>
    <row r="98" spans="1:17" customFormat="1" ht="16" x14ac:dyDescent="0.35">
      <c r="A98" s="960" t="s">
        <v>1708</v>
      </c>
      <c r="B98" s="961">
        <v>-117.20599999999999</v>
      </c>
      <c r="C98" s="961">
        <v>0</v>
      </c>
      <c r="D98" s="961">
        <v>175</v>
      </c>
      <c r="E98" s="961">
        <v>0</v>
      </c>
      <c r="F98" s="961">
        <v>0</v>
      </c>
      <c r="G98" s="961">
        <v>57.793999999999997</v>
      </c>
      <c r="H98" s="961">
        <v>-122.586</v>
      </c>
      <c r="I98" s="961">
        <v>0</v>
      </c>
      <c r="J98" s="961">
        <v>175</v>
      </c>
      <c r="K98" s="961">
        <v>0</v>
      </c>
      <c r="L98" s="961">
        <v>0</v>
      </c>
      <c r="M98" s="961">
        <v>52.414000000000001</v>
      </c>
      <c r="N98" s="631">
        <v>-9.3089248018825413E-2</v>
      </c>
      <c r="O98" s="962"/>
      <c r="P98" s="963"/>
      <c r="Q98" s="126"/>
    </row>
    <row r="99" spans="1:17" customFormat="1" x14ac:dyDescent="0.35">
      <c r="A99" s="1"/>
      <c r="Q99" s="126"/>
    </row>
    <row r="100" spans="1:17" customFormat="1" ht="16" hidden="1" x14ac:dyDescent="0.35">
      <c r="A100" s="840"/>
      <c r="B100" s="143"/>
      <c r="C100" s="143"/>
      <c r="D100" s="143"/>
      <c r="E100" s="143"/>
      <c r="F100" s="143"/>
      <c r="G100" s="143"/>
      <c r="H100" s="143"/>
      <c r="I100" s="143"/>
      <c r="J100" s="143"/>
      <c r="K100" s="143"/>
      <c r="L100" s="143"/>
      <c r="M100" s="143"/>
      <c r="N100" s="673"/>
      <c r="O100" s="674"/>
      <c r="P100" s="674"/>
      <c r="Q100" s="126"/>
    </row>
    <row r="101" spans="1:17" ht="16" hidden="1" x14ac:dyDescent="0.35">
      <c r="A101" s="184"/>
      <c r="B101" s="185"/>
      <c r="C101" s="185"/>
      <c r="D101" s="185"/>
      <c r="E101" s="185"/>
      <c r="F101" s="185"/>
      <c r="G101" s="185"/>
      <c r="H101" s="185"/>
      <c r="I101" s="185"/>
      <c r="J101" s="185"/>
      <c r="K101" s="185"/>
      <c r="L101" s="185"/>
      <c r="M101" s="185"/>
      <c r="N101" s="186"/>
      <c r="O101" s="187"/>
      <c r="P101" s="187"/>
    </row>
    <row r="102" spans="1:17" ht="16" hidden="1" x14ac:dyDescent="0.35">
      <c r="A102" s="188"/>
      <c r="B102" s="189">
        <v>0</v>
      </c>
      <c r="C102" s="189">
        <v>0</v>
      </c>
      <c r="D102" s="189">
        <v>0</v>
      </c>
      <c r="E102" s="189">
        <v>0</v>
      </c>
      <c r="F102" s="189">
        <v>0</v>
      </c>
      <c r="G102" s="191">
        <v>0</v>
      </c>
      <c r="H102" s="246" t="e">
        <v>#REF!</v>
      </c>
      <c r="I102" s="246">
        <v>0</v>
      </c>
      <c r="J102" s="246">
        <v>0</v>
      </c>
      <c r="K102" s="246">
        <v>0</v>
      </c>
      <c r="L102" s="246">
        <v>0</v>
      </c>
      <c r="M102" s="191" t="e">
        <v>#REF!</v>
      </c>
      <c r="N102" s="192" t="s">
        <v>50</v>
      </c>
      <c r="O102" s="770" t="s">
        <v>237</v>
      </c>
      <c r="P102" s="761" t="s">
        <v>237</v>
      </c>
    </row>
    <row r="103" spans="1:17" ht="16" hidden="1" x14ac:dyDescent="0.35">
      <c r="A103" s="193"/>
      <c r="B103" s="194">
        <v>0</v>
      </c>
      <c r="C103" s="194">
        <v>0</v>
      </c>
      <c r="D103" s="194">
        <v>0</v>
      </c>
      <c r="E103" s="194">
        <v>0</v>
      </c>
      <c r="F103" s="194">
        <v>0</v>
      </c>
      <c r="G103" s="196">
        <v>0</v>
      </c>
      <c r="H103" s="246" t="e">
        <v>#REF!</v>
      </c>
      <c r="I103" s="246">
        <v>0</v>
      </c>
      <c r="J103" s="246">
        <v>0</v>
      </c>
      <c r="K103" s="246">
        <v>0</v>
      </c>
      <c r="L103" s="246">
        <v>0</v>
      </c>
      <c r="M103" s="196" t="e">
        <v>#REF!</v>
      </c>
      <c r="N103" s="197" t="s">
        <v>50</v>
      </c>
      <c r="O103" s="841" t="s">
        <v>237</v>
      </c>
      <c r="P103" s="842" t="s">
        <v>237</v>
      </c>
    </row>
    <row r="104" spans="1:17" ht="16" hidden="1" x14ac:dyDescent="0.35">
      <c r="A104" s="193"/>
      <c r="B104" s="194"/>
      <c r="C104" s="194"/>
      <c r="D104" s="194"/>
      <c r="E104" s="194"/>
      <c r="F104" s="194"/>
      <c r="G104" s="196"/>
      <c r="H104" s="246"/>
      <c r="I104" s="246"/>
      <c r="J104" s="246"/>
      <c r="K104" s="246"/>
      <c r="L104" s="246"/>
      <c r="M104" s="196"/>
      <c r="N104" s="197"/>
      <c r="O104" s="841"/>
      <c r="P104" s="842"/>
    </row>
    <row r="105" spans="1:17" ht="16" hidden="1" x14ac:dyDescent="0.35">
      <c r="A105" s="198"/>
      <c r="B105" s="199">
        <v>0</v>
      </c>
      <c r="C105" s="199">
        <v>0</v>
      </c>
      <c r="D105" s="199">
        <v>0</v>
      </c>
      <c r="E105" s="199">
        <v>0</v>
      </c>
      <c r="F105" s="199">
        <v>0</v>
      </c>
      <c r="G105" s="199">
        <v>0</v>
      </c>
      <c r="H105" s="199" t="e">
        <v>#REF!</v>
      </c>
      <c r="I105" s="199">
        <v>0</v>
      </c>
      <c r="J105" s="199">
        <v>0</v>
      </c>
      <c r="K105" s="199">
        <v>0</v>
      </c>
      <c r="L105" s="199">
        <v>0</v>
      </c>
      <c r="M105" s="199" t="e">
        <v>#REF!</v>
      </c>
      <c r="N105" s="200" t="s">
        <v>50</v>
      </c>
      <c r="O105" s="201"/>
      <c r="P105" s="202"/>
    </row>
    <row r="106" spans="1:17" ht="16" hidden="1" x14ac:dyDescent="0.35">
      <c r="A106" s="216"/>
      <c r="B106" s="267">
        <v>0</v>
      </c>
      <c r="C106" s="267">
        <v>0</v>
      </c>
      <c r="D106" s="267">
        <v>0</v>
      </c>
      <c r="E106" s="267">
        <v>0</v>
      </c>
      <c r="F106" s="267">
        <v>0</v>
      </c>
      <c r="G106" s="267">
        <v>0</v>
      </c>
      <c r="H106" s="267" t="e">
        <v>#REF!</v>
      </c>
      <c r="I106" s="267">
        <v>0</v>
      </c>
      <c r="J106" s="267">
        <v>0</v>
      </c>
      <c r="K106" s="267">
        <v>0</v>
      </c>
      <c r="L106" s="267">
        <v>0</v>
      </c>
      <c r="M106" s="267" t="e">
        <v>#REF!</v>
      </c>
      <c r="N106" s="631" t="s">
        <v>50</v>
      </c>
      <c r="O106" s="222"/>
      <c r="P106" s="218"/>
    </row>
    <row r="107" spans="1:17" ht="16" x14ac:dyDescent="0.35">
      <c r="A107" s="229"/>
      <c r="B107" s="230"/>
      <c r="C107" s="230"/>
      <c r="D107" s="230"/>
      <c r="E107" s="230"/>
      <c r="F107" s="230"/>
      <c r="G107" s="750"/>
      <c r="H107" s="230"/>
      <c r="I107" s="230"/>
      <c r="J107" s="230"/>
      <c r="K107" s="230"/>
      <c r="L107" s="230"/>
      <c r="M107" s="750"/>
      <c r="N107" s="231"/>
      <c r="O107" s="229"/>
      <c r="P107" s="229"/>
    </row>
    <row r="108" spans="1:17" ht="16" x14ac:dyDescent="0.35">
      <c r="A108" s="843" t="s">
        <v>338</v>
      </c>
      <c r="B108" s="844"/>
      <c r="C108" s="844"/>
      <c r="D108" s="844"/>
      <c r="E108" s="844"/>
      <c r="F108" s="844"/>
      <c r="G108" s="199"/>
      <c r="H108" s="844"/>
      <c r="I108" s="844"/>
      <c r="J108" s="844"/>
      <c r="K108" s="844"/>
      <c r="L108" s="844"/>
      <c r="M108" s="199"/>
      <c r="N108" s="231"/>
      <c r="O108" s="229"/>
      <c r="P108" s="229"/>
    </row>
    <row r="109" spans="1:17" s="850" customFormat="1" ht="19" x14ac:dyDescent="0.45">
      <c r="A109" s="845"/>
      <c r="B109" s="846"/>
      <c r="C109" s="846"/>
      <c r="D109" s="846"/>
      <c r="E109" s="846"/>
      <c r="F109" s="846"/>
      <c r="G109" s="847"/>
      <c r="H109" s="846"/>
      <c r="I109" s="846"/>
      <c r="J109" s="846"/>
      <c r="K109" s="846"/>
      <c r="L109" s="846"/>
      <c r="M109" s="847"/>
      <c r="N109" s="848"/>
      <c r="O109" s="845"/>
      <c r="P109" s="845"/>
      <c r="Q109" s="849"/>
    </row>
    <row r="110" spans="1:17" ht="16" x14ac:dyDescent="0.35">
      <c r="A110" s="216" t="s">
        <v>1709</v>
      </c>
      <c r="B110" s="267">
        <v>118.446</v>
      </c>
      <c r="C110" s="267">
        <v>8.6430000000000007</v>
      </c>
      <c r="D110" s="267">
        <v>553.58299999999997</v>
      </c>
      <c r="E110" s="267">
        <v>-2.2000000000000002</v>
      </c>
      <c r="F110" s="267">
        <v>0</v>
      </c>
      <c r="G110" s="267">
        <v>678.47200000000009</v>
      </c>
      <c r="H110" s="1040">
        <v>136.9</v>
      </c>
      <c r="I110" s="267">
        <v>9.5990000000000002</v>
      </c>
      <c r="J110" s="1040">
        <v>783.6</v>
      </c>
      <c r="K110" s="267">
        <v>-2.5</v>
      </c>
      <c r="L110" s="267">
        <v>4.4999999999999998E-2</v>
      </c>
      <c r="M110" s="1040">
        <v>927.64400000000001</v>
      </c>
      <c r="N110" s="1041">
        <v>0.36725465457675466</v>
      </c>
      <c r="O110" s="831"/>
      <c r="P110" s="831"/>
    </row>
    <row r="111" spans="1:17" ht="16" x14ac:dyDescent="0.35">
      <c r="A111" s="229"/>
      <c r="B111" s="230"/>
      <c r="C111" s="230"/>
      <c r="D111" s="230"/>
      <c r="E111" s="230"/>
      <c r="F111" s="230"/>
      <c r="G111" s="750"/>
      <c r="H111" s="230"/>
      <c r="I111" s="230"/>
      <c r="J111" s="230"/>
      <c r="K111" s="230"/>
      <c r="L111" s="230"/>
      <c r="M111" s="750"/>
      <c r="N111" s="231"/>
      <c r="O111" s="831"/>
      <c r="P111" s="83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313D7-FFB8-4161-95A6-BAFB323CF38E}">
  <dimension ref="A1:Q105"/>
  <sheetViews>
    <sheetView showGridLines="0" topLeftCell="H1" workbookViewId="0">
      <selection activeCell="A2" sqref="A2"/>
    </sheetView>
  </sheetViews>
  <sheetFormatPr defaultColWidth="9.36328125" defaultRowHeight="14.5" outlineLevelCol="1" x14ac:dyDescent="0.35"/>
  <cols>
    <col min="1" max="1" width="40.6328125" style="1" customWidth="1"/>
    <col min="2" max="14" width="17.6328125" customWidth="1" outlineLevel="1"/>
    <col min="15" max="16" width="75.6328125" customWidth="1" outlineLevel="1"/>
    <col min="17" max="17" width="2.54296875" style="126" customWidth="1"/>
    <col min="18" max="85" width="15.6328125" customWidth="1"/>
  </cols>
  <sheetData>
    <row r="1" spans="1:16" ht="15" thickBot="1" x14ac:dyDescent="0.4"/>
    <row r="2" spans="1:16" ht="21.5" x14ac:dyDescent="0.35">
      <c r="A2" s="127"/>
      <c r="B2" s="128"/>
      <c r="C2" s="129"/>
      <c r="D2" s="129"/>
      <c r="E2" s="129"/>
      <c r="F2" s="129"/>
      <c r="G2" s="130"/>
      <c r="H2" s="128"/>
      <c r="I2" s="129"/>
      <c r="J2" s="129"/>
      <c r="K2" s="129"/>
      <c r="L2" s="129"/>
      <c r="M2" s="130"/>
      <c r="N2" s="131"/>
      <c r="O2" s="132"/>
      <c r="P2" s="133"/>
    </row>
    <row r="3" spans="1:16" ht="100.25" customHeight="1" x14ac:dyDescent="0.35">
      <c r="A3" s="8" t="s">
        <v>1712</v>
      </c>
      <c r="B3" s="9" t="s">
        <v>6</v>
      </c>
      <c r="C3" s="9" t="s">
        <v>7</v>
      </c>
      <c r="D3" s="9" t="s">
        <v>8</v>
      </c>
      <c r="E3" s="9" t="s">
        <v>9</v>
      </c>
      <c r="F3" s="9" t="s">
        <v>10</v>
      </c>
      <c r="G3" s="9" t="s">
        <v>11</v>
      </c>
      <c r="H3" s="9" t="s">
        <v>12</v>
      </c>
      <c r="I3" s="9" t="s">
        <v>13</v>
      </c>
      <c r="J3" s="9" t="s">
        <v>14</v>
      </c>
      <c r="K3" s="9" t="s">
        <v>15</v>
      </c>
      <c r="L3" s="9" t="s">
        <v>16</v>
      </c>
      <c r="M3" s="9" t="s">
        <v>17</v>
      </c>
      <c r="N3" s="10" t="s">
        <v>18</v>
      </c>
      <c r="O3" s="11" t="s">
        <v>3</v>
      </c>
      <c r="P3" s="135" t="s">
        <v>4</v>
      </c>
    </row>
    <row r="4" spans="1:16" ht="22" thickBot="1" x14ac:dyDescent="0.4">
      <c r="A4" s="136"/>
      <c r="B4" s="137"/>
      <c r="C4" s="137"/>
      <c r="D4" s="137"/>
      <c r="E4" s="137"/>
      <c r="F4" s="137"/>
      <c r="G4" s="137"/>
      <c r="H4" s="137"/>
      <c r="I4" s="137"/>
      <c r="J4" s="137"/>
      <c r="K4" s="137"/>
      <c r="L4" s="137"/>
      <c r="M4" s="589"/>
      <c r="N4" s="138"/>
      <c r="O4" s="139"/>
      <c r="P4" s="139"/>
    </row>
    <row r="5" spans="1:16" ht="16" x14ac:dyDescent="0.35">
      <c r="A5" s="140"/>
      <c r="B5" s="141"/>
      <c r="C5" s="141"/>
      <c r="D5" s="141"/>
      <c r="E5" s="141"/>
      <c r="F5" s="141"/>
      <c r="G5" s="141"/>
      <c r="H5" s="141"/>
      <c r="I5" s="141"/>
      <c r="J5" s="141"/>
      <c r="K5" s="141"/>
      <c r="L5" s="141"/>
      <c r="M5" s="141"/>
      <c r="N5" s="141"/>
      <c r="O5" s="141"/>
      <c r="P5" s="141"/>
    </row>
    <row r="6" spans="1:16" ht="16" x14ac:dyDescent="0.35">
      <c r="A6" s="964" t="s">
        <v>1713</v>
      </c>
      <c r="B6" s="965"/>
      <c r="C6" s="965"/>
      <c r="D6" s="965"/>
      <c r="E6" s="965"/>
      <c r="F6" s="965"/>
      <c r="G6" s="965"/>
      <c r="H6" s="965"/>
      <c r="I6" s="965"/>
      <c r="J6" s="965"/>
      <c r="K6" s="965"/>
      <c r="L6" s="965"/>
      <c r="M6" s="965"/>
      <c r="N6" s="965"/>
      <c r="O6" s="965"/>
      <c r="P6" s="965"/>
    </row>
    <row r="7" spans="1:16" ht="15" x14ac:dyDescent="0.35">
      <c r="A7" s="966"/>
      <c r="B7" s="235"/>
      <c r="C7" s="235"/>
      <c r="D7" s="235"/>
      <c r="E7" s="235"/>
      <c r="F7" s="235"/>
      <c r="G7" s="235"/>
      <c r="H7" s="235"/>
      <c r="I7" s="235"/>
      <c r="J7" s="235"/>
      <c r="K7" s="235"/>
      <c r="L7" s="235"/>
      <c r="M7" s="235"/>
      <c r="N7" s="235"/>
      <c r="O7" s="235"/>
      <c r="P7" s="235"/>
    </row>
    <row r="8" spans="1:16" ht="16" x14ac:dyDescent="0.35">
      <c r="A8" s="624" t="s">
        <v>1714</v>
      </c>
      <c r="B8" s="612"/>
      <c r="C8" s="612"/>
      <c r="D8" s="612"/>
      <c r="E8" s="612"/>
      <c r="F8" s="612"/>
      <c r="G8" s="612"/>
      <c r="H8" s="612"/>
      <c r="I8" s="612"/>
      <c r="J8" s="612"/>
      <c r="K8" s="612"/>
      <c r="L8" s="612"/>
      <c r="M8" s="612"/>
      <c r="N8" s="612"/>
      <c r="O8" s="612"/>
      <c r="P8" s="612"/>
    </row>
    <row r="9" spans="1:16" ht="48" x14ac:dyDescent="0.35">
      <c r="A9" s="329" t="s">
        <v>1715</v>
      </c>
      <c r="B9" s="299">
        <v>27.26</v>
      </c>
      <c r="C9" s="299">
        <v>0</v>
      </c>
      <c r="D9" s="299">
        <v>0</v>
      </c>
      <c r="E9" s="299">
        <v>0</v>
      </c>
      <c r="F9" s="299">
        <v>0</v>
      </c>
      <c r="G9" s="448">
        <v>27.26</v>
      </c>
      <c r="H9" s="789">
        <v>53.862000000000002</v>
      </c>
      <c r="I9" s="789">
        <v>0</v>
      </c>
      <c r="J9" s="789">
        <v>0</v>
      </c>
      <c r="K9" s="789">
        <v>0</v>
      </c>
      <c r="L9" s="789">
        <v>0</v>
      </c>
      <c r="M9" s="449">
        <v>53.862000000000002</v>
      </c>
      <c r="N9" s="450">
        <v>0.97586206896551719</v>
      </c>
      <c r="O9" s="328" t="s">
        <v>1716</v>
      </c>
      <c r="P9" s="451" t="s">
        <v>1717</v>
      </c>
    </row>
    <row r="10" spans="1:16" ht="16" x14ac:dyDescent="0.35">
      <c r="A10" s="329" t="s">
        <v>1718</v>
      </c>
      <c r="B10" s="299">
        <v>9.5</v>
      </c>
      <c r="C10" s="299">
        <v>0</v>
      </c>
      <c r="D10" s="299">
        <v>0</v>
      </c>
      <c r="E10" s="299">
        <v>0</v>
      </c>
      <c r="F10" s="299">
        <v>0</v>
      </c>
      <c r="G10" s="448">
        <v>9.5</v>
      </c>
      <c r="H10" s="789">
        <v>9.7850000000000001</v>
      </c>
      <c r="I10" s="789">
        <v>0</v>
      </c>
      <c r="J10" s="789">
        <v>0</v>
      </c>
      <c r="K10" s="789">
        <v>0</v>
      </c>
      <c r="L10" s="789">
        <v>0</v>
      </c>
      <c r="M10" s="449">
        <v>9.7850000000000001</v>
      </c>
      <c r="N10" s="450">
        <v>3.0000000000000016E-2</v>
      </c>
      <c r="O10" s="328" t="s">
        <v>1719</v>
      </c>
      <c r="P10" s="451" t="s">
        <v>1720</v>
      </c>
    </row>
    <row r="11" spans="1:16" ht="32" x14ac:dyDescent="0.35">
      <c r="A11" s="329" t="s">
        <v>1721</v>
      </c>
      <c r="B11" s="299">
        <v>9.25</v>
      </c>
      <c r="C11" s="299">
        <v>0</v>
      </c>
      <c r="D11" s="299">
        <v>0</v>
      </c>
      <c r="E11" s="299">
        <v>0</v>
      </c>
      <c r="F11" s="299">
        <v>0</v>
      </c>
      <c r="G11" s="448">
        <v>9.25</v>
      </c>
      <c r="H11" s="789">
        <v>11.25</v>
      </c>
      <c r="I11" s="789">
        <v>0</v>
      </c>
      <c r="J11" s="789">
        <v>0</v>
      </c>
      <c r="K11" s="789">
        <v>0</v>
      </c>
      <c r="L11" s="789">
        <v>0</v>
      </c>
      <c r="M11" s="449">
        <v>11.25</v>
      </c>
      <c r="N11" s="450">
        <v>0.21621621621621623</v>
      </c>
      <c r="O11" s="328" t="s">
        <v>1722</v>
      </c>
      <c r="P11" s="451" t="s">
        <v>1723</v>
      </c>
    </row>
    <row r="12" spans="1:16" ht="32" x14ac:dyDescent="0.35">
      <c r="A12" s="329" t="s">
        <v>1724</v>
      </c>
      <c r="B12" s="299">
        <v>4.7699999999999996</v>
      </c>
      <c r="C12" s="299">
        <v>0</v>
      </c>
      <c r="D12" s="299">
        <v>0</v>
      </c>
      <c r="E12" s="299">
        <v>0</v>
      </c>
      <c r="F12" s="299">
        <v>0</v>
      </c>
      <c r="G12" s="448">
        <v>4.7699999999999996</v>
      </c>
      <c r="H12" s="789">
        <v>4.7699999999999996</v>
      </c>
      <c r="I12" s="789">
        <v>0</v>
      </c>
      <c r="J12" s="789">
        <v>0</v>
      </c>
      <c r="K12" s="789">
        <v>0</v>
      </c>
      <c r="L12" s="789">
        <v>0</v>
      </c>
      <c r="M12" s="449">
        <v>4.7699999999999996</v>
      </c>
      <c r="N12" s="450">
        <v>0</v>
      </c>
      <c r="O12" s="328" t="s">
        <v>1725</v>
      </c>
      <c r="P12" s="451" t="s">
        <v>1726</v>
      </c>
    </row>
    <row r="13" spans="1:16" ht="32" x14ac:dyDescent="0.35">
      <c r="A13" s="329" t="s">
        <v>1727</v>
      </c>
      <c r="B13" s="299">
        <v>0</v>
      </c>
      <c r="C13" s="299">
        <v>0.57399999999999995</v>
      </c>
      <c r="D13" s="299">
        <v>0</v>
      </c>
      <c r="E13" s="299">
        <v>0</v>
      </c>
      <c r="F13" s="299">
        <v>0</v>
      </c>
      <c r="G13" s="448">
        <v>0.57399999999999995</v>
      </c>
      <c r="H13" s="789">
        <v>0</v>
      </c>
      <c r="I13" s="789">
        <v>0.36299999999999999</v>
      </c>
      <c r="J13" s="789">
        <v>0</v>
      </c>
      <c r="K13" s="789">
        <v>0</v>
      </c>
      <c r="L13" s="789">
        <v>0</v>
      </c>
      <c r="M13" s="449">
        <v>0.36299999999999999</v>
      </c>
      <c r="N13" s="450">
        <v>-0.36759581881533099</v>
      </c>
      <c r="O13" s="328" t="s">
        <v>1728</v>
      </c>
      <c r="P13" s="451" t="s">
        <v>237</v>
      </c>
    </row>
    <row r="14" spans="1:16" ht="16" x14ac:dyDescent="0.35">
      <c r="A14" s="967" t="s">
        <v>1729</v>
      </c>
      <c r="B14" s="170">
        <v>50.78</v>
      </c>
      <c r="C14" s="170">
        <v>0.57399999999999995</v>
      </c>
      <c r="D14" s="170">
        <v>0</v>
      </c>
      <c r="E14" s="170">
        <v>0</v>
      </c>
      <c r="F14" s="170">
        <v>0</v>
      </c>
      <c r="G14" s="170">
        <v>51.353999999999999</v>
      </c>
      <c r="H14" s="170">
        <v>79.667000000000002</v>
      </c>
      <c r="I14" s="170">
        <v>0.36299999999999999</v>
      </c>
      <c r="J14" s="170">
        <v>0</v>
      </c>
      <c r="K14" s="170">
        <v>0</v>
      </c>
      <c r="L14" s="170">
        <v>0</v>
      </c>
      <c r="M14" s="170">
        <v>80.03</v>
      </c>
      <c r="N14" s="968">
        <v>0.5583985668107645</v>
      </c>
      <c r="O14" s="969"/>
      <c r="P14" s="970"/>
    </row>
    <row r="15" spans="1:16" ht="16" x14ac:dyDescent="0.35">
      <c r="A15" s="232"/>
      <c r="B15" s="233"/>
      <c r="C15" s="233"/>
      <c r="D15" s="233"/>
      <c r="E15" s="233"/>
      <c r="F15" s="233"/>
      <c r="G15" s="233"/>
      <c r="H15" s="233"/>
      <c r="I15" s="233"/>
      <c r="J15" s="233"/>
      <c r="K15" s="233"/>
      <c r="L15" s="233"/>
      <c r="M15" s="233"/>
      <c r="N15" s="971"/>
      <c r="O15" s="235"/>
      <c r="P15" s="235"/>
    </row>
    <row r="16" spans="1:16" ht="16" x14ac:dyDescent="0.35">
      <c r="A16" s="624" t="s">
        <v>1730</v>
      </c>
      <c r="B16" s="612"/>
      <c r="C16" s="612"/>
      <c r="D16" s="612"/>
      <c r="E16" s="612"/>
      <c r="F16" s="612"/>
      <c r="G16" s="612"/>
      <c r="H16" s="612"/>
      <c r="I16" s="612"/>
      <c r="J16" s="612"/>
      <c r="K16" s="612"/>
      <c r="L16" s="612"/>
      <c r="M16" s="612"/>
      <c r="N16" s="612"/>
      <c r="O16" s="612"/>
      <c r="P16" s="612"/>
    </row>
    <row r="17" spans="1:17" ht="32" x14ac:dyDescent="0.35">
      <c r="A17" s="329" t="s">
        <v>1731</v>
      </c>
      <c r="B17" s="299">
        <v>27.12</v>
      </c>
      <c r="C17" s="299">
        <v>0</v>
      </c>
      <c r="D17" s="299">
        <v>0</v>
      </c>
      <c r="E17" s="299">
        <v>0</v>
      </c>
      <c r="F17" s="299">
        <v>0</v>
      </c>
      <c r="G17" s="448">
        <v>27.12</v>
      </c>
      <c r="H17" s="789">
        <v>28.716000000000001</v>
      </c>
      <c r="I17" s="789">
        <v>0</v>
      </c>
      <c r="J17" s="789">
        <v>0</v>
      </c>
      <c r="K17" s="789">
        <v>0</v>
      </c>
      <c r="L17" s="789">
        <v>0</v>
      </c>
      <c r="M17" s="449">
        <v>28.716000000000001</v>
      </c>
      <c r="N17" s="450">
        <v>5.8849557522123896E-2</v>
      </c>
      <c r="O17" s="328" t="s">
        <v>1732</v>
      </c>
      <c r="P17" s="451" t="s">
        <v>1733</v>
      </c>
    </row>
    <row r="18" spans="1:17" ht="32" x14ac:dyDescent="0.35">
      <c r="A18" s="329" t="s">
        <v>1734</v>
      </c>
      <c r="B18" s="299">
        <v>0</v>
      </c>
      <c r="C18" s="299">
        <v>0</v>
      </c>
      <c r="D18" s="299">
        <v>2.7</v>
      </c>
      <c r="E18" s="299">
        <v>0</v>
      </c>
      <c r="F18" s="299">
        <v>0</v>
      </c>
      <c r="G18" s="448">
        <v>2.7</v>
      </c>
      <c r="H18" s="789">
        <v>0</v>
      </c>
      <c r="I18" s="789">
        <v>0</v>
      </c>
      <c r="J18" s="789">
        <v>1.85</v>
      </c>
      <c r="K18" s="789">
        <v>0</v>
      </c>
      <c r="L18" s="789">
        <v>0</v>
      </c>
      <c r="M18" s="449">
        <v>1.85</v>
      </c>
      <c r="N18" s="450">
        <v>-0.31481481481481483</v>
      </c>
      <c r="O18" s="328" t="s">
        <v>1735</v>
      </c>
      <c r="P18" s="451" t="s">
        <v>1736</v>
      </c>
    </row>
    <row r="19" spans="1:17" ht="16" x14ac:dyDescent="0.35">
      <c r="A19" s="329" t="s">
        <v>1737</v>
      </c>
      <c r="B19" s="299">
        <v>0</v>
      </c>
      <c r="C19" s="299">
        <v>3.919</v>
      </c>
      <c r="D19" s="299">
        <v>0</v>
      </c>
      <c r="E19" s="299">
        <v>0</v>
      </c>
      <c r="F19" s="299">
        <v>0</v>
      </c>
      <c r="G19" s="448">
        <v>3.919</v>
      </c>
      <c r="H19" s="789">
        <v>0</v>
      </c>
      <c r="I19" s="789">
        <v>3.8279999999999998</v>
      </c>
      <c r="J19" s="789">
        <v>0</v>
      </c>
      <c r="K19" s="789">
        <v>0</v>
      </c>
      <c r="L19" s="789">
        <v>0</v>
      </c>
      <c r="M19" s="449">
        <v>3.8279999999999998</v>
      </c>
      <c r="N19" s="450">
        <v>-2.3220209237050315E-2</v>
      </c>
      <c r="O19" s="328" t="s">
        <v>1738</v>
      </c>
      <c r="P19" s="451" t="s">
        <v>237</v>
      </c>
    </row>
    <row r="20" spans="1:17" ht="32" x14ac:dyDescent="0.35">
      <c r="A20" s="329" t="s">
        <v>1739</v>
      </c>
      <c r="B20" s="299">
        <v>19.45</v>
      </c>
      <c r="C20" s="299">
        <v>0</v>
      </c>
      <c r="D20" s="299">
        <v>0</v>
      </c>
      <c r="E20" s="299">
        <v>0</v>
      </c>
      <c r="F20" s="299">
        <v>0</v>
      </c>
      <c r="G20" s="448">
        <v>19.45</v>
      </c>
      <c r="H20" s="789">
        <v>21.207000000000001</v>
      </c>
      <c r="I20" s="789">
        <v>0</v>
      </c>
      <c r="J20" s="789">
        <v>0</v>
      </c>
      <c r="K20" s="789">
        <v>0</v>
      </c>
      <c r="L20" s="789">
        <v>0</v>
      </c>
      <c r="M20" s="449">
        <v>21.207000000000001</v>
      </c>
      <c r="N20" s="450">
        <v>9.0334190231362549E-2</v>
      </c>
      <c r="O20" s="328" t="s">
        <v>1740</v>
      </c>
      <c r="P20" s="451" t="s">
        <v>1733</v>
      </c>
    </row>
    <row r="21" spans="1:17" ht="32" x14ac:dyDescent="0.35">
      <c r="A21" s="329" t="s">
        <v>1741</v>
      </c>
      <c r="B21" s="299">
        <v>0</v>
      </c>
      <c r="C21" s="299">
        <v>0</v>
      </c>
      <c r="D21" s="299">
        <v>4.1500000000000004</v>
      </c>
      <c r="E21" s="299">
        <v>0</v>
      </c>
      <c r="F21" s="299">
        <v>0</v>
      </c>
      <c r="G21" s="448">
        <v>4.1500000000000004</v>
      </c>
      <c r="H21" s="789">
        <v>0</v>
      </c>
      <c r="I21" s="789">
        <v>0</v>
      </c>
      <c r="J21" s="789">
        <v>6.2</v>
      </c>
      <c r="K21" s="789">
        <v>0</v>
      </c>
      <c r="L21" s="789">
        <v>0</v>
      </c>
      <c r="M21" s="449">
        <v>6.2</v>
      </c>
      <c r="N21" s="450">
        <v>0.49397590361445776</v>
      </c>
      <c r="O21" s="328" t="s">
        <v>1735</v>
      </c>
      <c r="P21" s="451" t="s">
        <v>1742</v>
      </c>
    </row>
    <row r="22" spans="1:17" ht="16" x14ac:dyDescent="0.35">
      <c r="A22" s="329" t="s">
        <v>1743</v>
      </c>
      <c r="B22" s="299">
        <v>0</v>
      </c>
      <c r="C22" s="299">
        <v>2.5</v>
      </c>
      <c r="D22" s="299">
        <v>0</v>
      </c>
      <c r="E22" s="299">
        <v>0</v>
      </c>
      <c r="F22" s="299">
        <v>0</v>
      </c>
      <c r="G22" s="448">
        <v>2.5</v>
      </c>
      <c r="H22" s="789">
        <v>0</v>
      </c>
      <c r="I22" s="789">
        <v>3.6</v>
      </c>
      <c r="J22" s="789">
        <v>0</v>
      </c>
      <c r="K22" s="789">
        <v>0</v>
      </c>
      <c r="L22" s="789">
        <v>0</v>
      </c>
      <c r="M22" s="449">
        <v>3.6</v>
      </c>
      <c r="N22" s="450">
        <v>0.44000000000000006</v>
      </c>
      <c r="O22" s="328" t="s">
        <v>1744</v>
      </c>
      <c r="P22" s="451" t="s">
        <v>237</v>
      </c>
    </row>
    <row r="23" spans="1:17" ht="16" x14ac:dyDescent="0.35">
      <c r="A23" s="329" t="s">
        <v>1745</v>
      </c>
      <c r="B23" s="299">
        <v>16.77</v>
      </c>
      <c r="C23" s="299">
        <v>0</v>
      </c>
      <c r="D23" s="299">
        <v>0</v>
      </c>
      <c r="E23" s="299">
        <v>0</v>
      </c>
      <c r="F23" s="299">
        <v>0</v>
      </c>
      <c r="G23" s="448">
        <v>16.77</v>
      </c>
      <c r="H23" s="789">
        <v>17.766999999999999</v>
      </c>
      <c r="I23" s="789">
        <v>0</v>
      </c>
      <c r="J23" s="789">
        <v>0</v>
      </c>
      <c r="K23" s="789">
        <v>0</v>
      </c>
      <c r="L23" s="789">
        <v>0</v>
      </c>
      <c r="M23" s="449">
        <v>17.766999999999999</v>
      </c>
      <c r="N23" s="450">
        <v>5.9451401311866423E-2</v>
      </c>
      <c r="O23" s="328" t="s">
        <v>1746</v>
      </c>
      <c r="P23" s="451" t="s">
        <v>1733</v>
      </c>
    </row>
    <row r="24" spans="1:17" ht="48" x14ac:dyDescent="0.35">
      <c r="A24" s="329" t="s">
        <v>1747</v>
      </c>
      <c r="B24" s="299">
        <v>0</v>
      </c>
      <c r="C24" s="299">
        <v>0</v>
      </c>
      <c r="D24" s="299">
        <v>5.4</v>
      </c>
      <c r="E24" s="299">
        <v>0</v>
      </c>
      <c r="F24" s="299">
        <v>0</v>
      </c>
      <c r="G24" s="448">
        <v>5.4</v>
      </c>
      <c r="H24" s="789">
        <v>0</v>
      </c>
      <c r="I24" s="789">
        <v>0</v>
      </c>
      <c r="J24" s="789">
        <v>2.7</v>
      </c>
      <c r="K24" s="789">
        <v>0</v>
      </c>
      <c r="L24" s="789">
        <v>0</v>
      </c>
      <c r="M24" s="449">
        <v>2.7</v>
      </c>
      <c r="N24" s="450">
        <v>-0.5</v>
      </c>
      <c r="O24" s="328" t="s">
        <v>1748</v>
      </c>
      <c r="P24" s="451" t="s">
        <v>1749</v>
      </c>
    </row>
    <row r="25" spans="1:17" ht="16" x14ac:dyDescent="0.35">
      <c r="A25" s="329" t="s">
        <v>1750</v>
      </c>
      <c r="B25" s="299">
        <v>0</v>
      </c>
      <c r="C25" s="299">
        <v>4.3</v>
      </c>
      <c r="D25" s="299">
        <v>0</v>
      </c>
      <c r="E25" s="299">
        <v>0</v>
      </c>
      <c r="F25" s="299">
        <v>0</v>
      </c>
      <c r="G25" s="448">
        <v>4.3</v>
      </c>
      <c r="H25" s="789">
        <v>0</v>
      </c>
      <c r="I25" s="789">
        <v>4.5</v>
      </c>
      <c r="J25" s="789">
        <v>0</v>
      </c>
      <c r="K25" s="789">
        <v>0</v>
      </c>
      <c r="L25" s="789">
        <v>0</v>
      </c>
      <c r="M25" s="449">
        <v>4.5</v>
      </c>
      <c r="N25" s="450">
        <v>4.6511627906976785E-2</v>
      </c>
      <c r="O25" s="328" t="s">
        <v>1751</v>
      </c>
      <c r="P25" s="451" t="s">
        <v>237</v>
      </c>
    </row>
    <row r="26" spans="1:17" ht="48" x14ac:dyDescent="0.35">
      <c r="A26" s="329" t="s">
        <v>1752</v>
      </c>
      <c r="B26" s="299">
        <v>3.645</v>
      </c>
      <c r="C26" s="299">
        <v>0</v>
      </c>
      <c r="D26" s="299">
        <v>0.3</v>
      </c>
      <c r="E26" s="299">
        <v>0</v>
      </c>
      <c r="F26" s="299">
        <v>0</v>
      </c>
      <c r="G26" s="448">
        <v>3.9449999999999998</v>
      </c>
      <c r="H26" s="789">
        <v>3.7450000000000001</v>
      </c>
      <c r="I26" s="789">
        <v>0</v>
      </c>
      <c r="J26" s="789">
        <v>1.75</v>
      </c>
      <c r="K26" s="789">
        <v>0</v>
      </c>
      <c r="L26" s="789">
        <v>0</v>
      </c>
      <c r="M26" s="449">
        <v>5.4950000000000001</v>
      </c>
      <c r="N26" s="450">
        <v>0.39290240811153365</v>
      </c>
      <c r="O26" s="328" t="s">
        <v>1753</v>
      </c>
      <c r="P26" s="451" t="s">
        <v>1754</v>
      </c>
    </row>
    <row r="27" spans="1:17" ht="32" x14ac:dyDescent="0.35">
      <c r="A27" s="329" t="s">
        <v>1755</v>
      </c>
      <c r="B27" s="299">
        <v>0.66500000000000004</v>
      </c>
      <c r="C27" s="299">
        <v>0</v>
      </c>
      <c r="D27" s="299">
        <v>0</v>
      </c>
      <c r="E27" s="299">
        <v>0</v>
      </c>
      <c r="F27" s="299">
        <v>0</v>
      </c>
      <c r="G27" s="448">
        <v>0.66500000000000004</v>
      </c>
      <c r="H27" s="789">
        <v>0.93500000000000005</v>
      </c>
      <c r="I27" s="789">
        <v>0</v>
      </c>
      <c r="J27" s="789">
        <v>0</v>
      </c>
      <c r="K27" s="789">
        <v>0</v>
      </c>
      <c r="L27" s="789">
        <v>0</v>
      </c>
      <c r="M27" s="449">
        <v>0.93500000000000005</v>
      </c>
      <c r="N27" s="450">
        <v>0.40601503759398494</v>
      </c>
      <c r="O27" s="328" t="s">
        <v>1756</v>
      </c>
      <c r="P27" s="451" t="s">
        <v>1757</v>
      </c>
    </row>
    <row r="28" spans="1:17" ht="32" x14ac:dyDescent="0.35">
      <c r="A28" s="329" t="s">
        <v>1758</v>
      </c>
      <c r="B28" s="299">
        <v>0</v>
      </c>
      <c r="C28" s="299">
        <v>0</v>
      </c>
      <c r="D28" s="299">
        <v>1.1000000000000001</v>
      </c>
      <c r="E28" s="299">
        <v>0</v>
      </c>
      <c r="F28" s="299">
        <v>0</v>
      </c>
      <c r="G28" s="448">
        <v>1.1000000000000001</v>
      </c>
      <c r="H28" s="789">
        <v>0</v>
      </c>
      <c r="I28" s="789">
        <v>0</v>
      </c>
      <c r="J28" s="789">
        <v>8</v>
      </c>
      <c r="K28" s="789">
        <v>0</v>
      </c>
      <c r="L28" s="789">
        <v>0</v>
      </c>
      <c r="M28" s="449">
        <v>8</v>
      </c>
      <c r="N28" s="450">
        <v>6.2727272727272725</v>
      </c>
      <c r="O28" s="328" t="s">
        <v>1759</v>
      </c>
      <c r="P28" s="451" t="s">
        <v>1760</v>
      </c>
    </row>
    <row r="29" spans="1:17" ht="36" customHeight="1" x14ac:dyDescent="0.35">
      <c r="A29" s="967" t="s">
        <v>1761</v>
      </c>
      <c r="B29" s="170">
        <v>67.650000000000006</v>
      </c>
      <c r="C29" s="170">
        <v>10.719000000000001</v>
      </c>
      <c r="D29" s="170">
        <v>13.65</v>
      </c>
      <c r="E29" s="170">
        <v>0</v>
      </c>
      <c r="F29" s="170">
        <v>0</v>
      </c>
      <c r="G29" s="170">
        <v>92.018999999999991</v>
      </c>
      <c r="H29" s="170">
        <v>72.37</v>
      </c>
      <c r="I29" s="170">
        <v>11.928000000000001</v>
      </c>
      <c r="J29" s="170">
        <v>20.5</v>
      </c>
      <c r="K29" s="170">
        <v>0</v>
      </c>
      <c r="L29" s="170">
        <v>0</v>
      </c>
      <c r="M29" s="170">
        <v>104.79800000000002</v>
      </c>
      <c r="N29" s="968">
        <v>0.13887349351764339</v>
      </c>
      <c r="O29" s="969"/>
      <c r="P29" s="970"/>
    </row>
    <row r="30" spans="1:17" ht="16" x14ac:dyDescent="0.35">
      <c r="A30" s="232"/>
      <c r="B30" s="233"/>
      <c r="C30" s="233"/>
      <c r="D30" s="233"/>
      <c r="E30" s="233"/>
      <c r="F30" s="233"/>
      <c r="G30" s="233"/>
      <c r="H30" s="233"/>
      <c r="I30" s="233"/>
      <c r="J30" s="233"/>
      <c r="K30" s="233"/>
      <c r="L30" s="233"/>
      <c r="M30" s="233"/>
      <c r="N30" s="971"/>
      <c r="O30" s="235"/>
      <c r="P30" s="235"/>
    </row>
    <row r="31" spans="1:17" s="377" customFormat="1" ht="16" x14ac:dyDescent="0.35">
      <c r="A31" s="624" t="s">
        <v>1762</v>
      </c>
      <c r="B31" s="625"/>
      <c r="C31" s="625"/>
      <c r="D31" s="625"/>
      <c r="E31" s="625"/>
      <c r="F31" s="625"/>
      <c r="G31" s="625"/>
      <c r="H31" s="625"/>
      <c r="I31" s="625"/>
      <c r="J31" s="625"/>
      <c r="K31" s="625"/>
      <c r="L31" s="625"/>
      <c r="M31" s="625"/>
      <c r="N31" s="625"/>
      <c r="O31" s="625"/>
      <c r="P31" s="625"/>
      <c r="Q31" s="372"/>
    </row>
    <row r="32" spans="1:17" s="377" customFormat="1" ht="64" x14ac:dyDescent="0.35">
      <c r="A32" s="329" t="s">
        <v>1763</v>
      </c>
      <c r="B32" s="299">
        <v>3.621</v>
      </c>
      <c r="C32" s="299">
        <v>0</v>
      </c>
      <c r="D32" s="299">
        <v>0</v>
      </c>
      <c r="E32" s="299">
        <v>0</v>
      </c>
      <c r="F32" s="299">
        <v>0</v>
      </c>
      <c r="G32" s="448">
        <v>3.621</v>
      </c>
      <c r="H32" s="789">
        <v>4.5199999999999996</v>
      </c>
      <c r="I32" s="789">
        <v>0</v>
      </c>
      <c r="J32" s="789">
        <v>0</v>
      </c>
      <c r="K32" s="789">
        <v>0</v>
      </c>
      <c r="L32" s="789">
        <v>0</v>
      </c>
      <c r="M32" s="449">
        <v>4.5199999999999996</v>
      </c>
      <c r="N32" s="450">
        <v>0.24827395747031195</v>
      </c>
      <c r="O32" s="328" t="s">
        <v>1764</v>
      </c>
      <c r="P32" s="451" t="s">
        <v>1765</v>
      </c>
      <c r="Q32" s="372"/>
    </row>
    <row r="33" spans="1:17" ht="64" x14ac:dyDescent="0.35">
      <c r="A33" s="329" t="s">
        <v>1762</v>
      </c>
      <c r="B33" s="299">
        <v>18.260000000000002</v>
      </c>
      <c r="C33" s="299">
        <v>0</v>
      </c>
      <c r="D33" s="299">
        <v>0</v>
      </c>
      <c r="E33" s="299">
        <v>0</v>
      </c>
      <c r="F33" s="299">
        <v>0</v>
      </c>
      <c r="G33" s="448">
        <v>18.260000000000002</v>
      </c>
      <c r="H33" s="789">
        <v>17.649000000000001</v>
      </c>
      <c r="I33" s="789">
        <v>0</v>
      </c>
      <c r="J33" s="789">
        <v>0</v>
      </c>
      <c r="K33" s="789">
        <v>0</v>
      </c>
      <c r="L33" s="789">
        <v>0</v>
      </c>
      <c r="M33" s="449">
        <v>17.649000000000001</v>
      </c>
      <c r="N33" s="450">
        <v>-3.3461117196056989E-2</v>
      </c>
      <c r="O33" s="328" t="s">
        <v>1766</v>
      </c>
      <c r="P33" s="451" t="s">
        <v>1767</v>
      </c>
    </row>
    <row r="34" spans="1:17" ht="16" x14ac:dyDescent="0.35">
      <c r="A34" s="329" t="s">
        <v>1768</v>
      </c>
      <c r="B34" s="299">
        <v>2.6</v>
      </c>
      <c r="C34" s="299">
        <v>0</v>
      </c>
      <c r="D34" s="299">
        <v>0</v>
      </c>
      <c r="E34" s="299">
        <v>0</v>
      </c>
      <c r="F34" s="299">
        <v>0</v>
      </c>
      <c r="G34" s="448">
        <v>2.6</v>
      </c>
      <c r="H34" s="789">
        <v>2.6779999999999999</v>
      </c>
      <c r="I34" s="789">
        <v>0</v>
      </c>
      <c r="J34" s="789">
        <v>0</v>
      </c>
      <c r="K34" s="789">
        <v>0</v>
      </c>
      <c r="L34" s="789">
        <v>0</v>
      </c>
      <c r="M34" s="449">
        <v>2.6779999999999999</v>
      </c>
      <c r="N34" s="450">
        <v>2.999999999999994E-2</v>
      </c>
      <c r="O34" s="328" t="s">
        <v>1769</v>
      </c>
      <c r="P34" s="451" t="s">
        <v>1770</v>
      </c>
    </row>
    <row r="35" spans="1:17" ht="16" x14ac:dyDescent="0.35">
      <c r="A35" s="329" t="s">
        <v>1771</v>
      </c>
      <c r="B35" s="299">
        <v>3.8</v>
      </c>
      <c r="C35" s="299">
        <v>0</v>
      </c>
      <c r="D35" s="299">
        <v>0</v>
      </c>
      <c r="E35" s="299">
        <v>0</v>
      </c>
      <c r="F35" s="299">
        <v>0</v>
      </c>
      <c r="G35" s="448">
        <v>3.8</v>
      </c>
      <c r="H35" s="789">
        <v>3.8</v>
      </c>
      <c r="I35" s="789">
        <v>0</v>
      </c>
      <c r="J35" s="789">
        <v>0</v>
      </c>
      <c r="K35" s="789">
        <v>0</v>
      </c>
      <c r="L35" s="789">
        <v>0</v>
      </c>
      <c r="M35" s="449">
        <v>3.8</v>
      </c>
      <c r="N35" s="450">
        <v>0</v>
      </c>
      <c r="O35" s="328" t="s">
        <v>1772</v>
      </c>
      <c r="P35" s="451" t="s">
        <v>1773</v>
      </c>
    </row>
    <row r="36" spans="1:17" s="377" customFormat="1" ht="16" x14ac:dyDescent="0.35">
      <c r="A36" s="967" t="s">
        <v>1774</v>
      </c>
      <c r="B36" s="170">
        <v>28.281000000000002</v>
      </c>
      <c r="C36" s="170">
        <v>0</v>
      </c>
      <c r="D36" s="170">
        <v>0</v>
      </c>
      <c r="E36" s="170">
        <v>0</v>
      </c>
      <c r="F36" s="170">
        <v>0</v>
      </c>
      <c r="G36" s="170">
        <v>28.281000000000002</v>
      </c>
      <c r="H36" s="170">
        <v>28.647000000000002</v>
      </c>
      <c r="I36" s="170">
        <v>0</v>
      </c>
      <c r="J36" s="170">
        <v>0</v>
      </c>
      <c r="K36" s="170">
        <v>0</v>
      </c>
      <c r="L36" s="170">
        <v>0</v>
      </c>
      <c r="M36" s="170">
        <v>28.647000000000002</v>
      </c>
      <c r="N36" s="968">
        <v>1.2941550864538015E-2</v>
      </c>
      <c r="O36" s="972"/>
      <c r="P36" s="973"/>
      <c r="Q36" s="372"/>
    </row>
    <row r="37" spans="1:17" ht="16" x14ac:dyDescent="0.35">
      <c r="A37" s="232"/>
      <c r="B37" s="233"/>
      <c r="C37" s="233"/>
      <c r="D37" s="233"/>
      <c r="E37" s="233"/>
      <c r="F37" s="233"/>
      <c r="G37" s="233"/>
      <c r="H37" s="233"/>
      <c r="I37" s="233"/>
      <c r="J37" s="233"/>
      <c r="K37" s="233"/>
      <c r="L37" s="233"/>
      <c r="M37" s="233"/>
      <c r="N37" s="971"/>
      <c r="O37" s="235"/>
      <c r="P37" s="235"/>
    </row>
    <row r="38" spans="1:17" ht="16" x14ac:dyDescent="0.35">
      <c r="A38" s="624" t="s">
        <v>1775</v>
      </c>
      <c r="B38" s="625"/>
      <c r="C38" s="625"/>
      <c r="D38" s="625"/>
      <c r="E38" s="625"/>
      <c r="F38" s="625"/>
      <c r="G38" s="625"/>
      <c r="H38" s="625"/>
      <c r="I38" s="625"/>
      <c r="J38" s="625"/>
      <c r="K38" s="625"/>
      <c r="L38" s="625"/>
      <c r="M38" s="625"/>
      <c r="N38" s="625"/>
      <c r="O38" s="625"/>
      <c r="P38" s="625"/>
    </row>
    <row r="39" spans="1:17" ht="32" x14ac:dyDescent="0.35">
      <c r="A39" s="329" t="s">
        <v>1776</v>
      </c>
      <c r="B39" s="299">
        <v>8.2520000000000007</v>
      </c>
      <c r="C39" s="299">
        <v>0</v>
      </c>
      <c r="D39" s="299">
        <v>0</v>
      </c>
      <c r="E39" s="299">
        <v>0</v>
      </c>
      <c r="F39" s="299">
        <v>0</v>
      </c>
      <c r="G39" s="448">
        <v>8.2520000000000007</v>
      </c>
      <c r="H39" s="789">
        <v>8.6530000000000005</v>
      </c>
      <c r="I39" s="789">
        <v>0</v>
      </c>
      <c r="J39" s="789">
        <v>0</v>
      </c>
      <c r="K39" s="789">
        <v>0</v>
      </c>
      <c r="L39" s="789">
        <v>0</v>
      </c>
      <c r="M39" s="449">
        <v>8.6530000000000005</v>
      </c>
      <c r="N39" s="450">
        <v>4.8594280174503124E-2</v>
      </c>
      <c r="O39" s="328" t="s">
        <v>1777</v>
      </c>
      <c r="P39" s="451" t="s">
        <v>1757</v>
      </c>
    </row>
    <row r="40" spans="1:17" ht="49.5" customHeight="1" x14ac:dyDescent="0.35">
      <c r="A40" s="329" t="s">
        <v>1778</v>
      </c>
      <c r="B40" s="299">
        <v>4.343</v>
      </c>
      <c r="C40" s="299">
        <v>0</v>
      </c>
      <c r="D40" s="299">
        <v>0</v>
      </c>
      <c r="E40" s="299">
        <v>0</v>
      </c>
      <c r="F40" s="299">
        <v>0</v>
      </c>
      <c r="G40" s="448">
        <v>4.343</v>
      </c>
      <c r="H40" s="789">
        <v>4.53</v>
      </c>
      <c r="I40" s="789">
        <v>0</v>
      </c>
      <c r="J40" s="789">
        <v>0</v>
      </c>
      <c r="K40" s="789">
        <v>0</v>
      </c>
      <c r="L40" s="789">
        <v>0</v>
      </c>
      <c r="M40" s="449">
        <v>4.53</v>
      </c>
      <c r="N40" s="450">
        <v>4.305779415150824E-2</v>
      </c>
      <c r="O40" s="328" t="s">
        <v>1777</v>
      </c>
      <c r="P40" s="451" t="s">
        <v>1757</v>
      </c>
    </row>
    <row r="41" spans="1:17" ht="49.5" customHeight="1" x14ac:dyDescent="0.35">
      <c r="A41" s="329" t="s">
        <v>1779</v>
      </c>
      <c r="B41" s="299">
        <v>4.1909999999999998</v>
      </c>
      <c r="C41" s="299">
        <v>0</v>
      </c>
      <c r="D41" s="299">
        <v>0</v>
      </c>
      <c r="E41" s="299">
        <v>0</v>
      </c>
      <c r="F41" s="299">
        <v>0</v>
      </c>
      <c r="G41" s="448">
        <v>4.1909999999999998</v>
      </c>
      <c r="H41" s="789">
        <v>4.4029999999999996</v>
      </c>
      <c r="I41" s="789">
        <v>0</v>
      </c>
      <c r="J41" s="789">
        <v>0</v>
      </c>
      <c r="K41" s="789">
        <v>0</v>
      </c>
      <c r="L41" s="789">
        <v>0</v>
      </c>
      <c r="M41" s="449">
        <v>4.4029999999999996</v>
      </c>
      <c r="N41" s="450">
        <v>5.0584586017656821E-2</v>
      </c>
      <c r="O41" s="328" t="s">
        <v>1777</v>
      </c>
      <c r="P41" s="451" t="s">
        <v>1757</v>
      </c>
    </row>
    <row r="42" spans="1:17" ht="49.5" customHeight="1" x14ac:dyDescent="0.35">
      <c r="A42" s="329" t="s">
        <v>1780</v>
      </c>
      <c r="B42" s="299">
        <v>2.1779999999999999</v>
      </c>
      <c r="C42" s="299">
        <v>0</v>
      </c>
      <c r="D42" s="299">
        <v>0</v>
      </c>
      <c r="E42" s="299">
        <v>0</v>
      </c>
      <c r="F42" s="299">
        <v>0</v>
      </c>
      <c r="G42" s="448">
        <v>2.1779999999999999</v>
      </c>
      <c r="H42" s="789">
        <v>2.2970000000000002</v>
      </c>
      <c r="I42" s="789">
        <v>0</v>
      </c>
      <c r="J42" s="789">
        <v>0</v>
      </c>
      <c r="K42" s="789">
        <v>0</v>
      </c>
      <c r="L42" s="789">
        <v>0</v>
      </c>
      <c r="M42" s="449">
        <v>2.2970000000000002</v>
      </c>
      <c r="N42" s="450">
        <v>5.4637281910009286E-2</v>
      </c>
      <c r="O42" s="328" t="s">
        <v>1777</v>
      </c>
      <c r="P42" s="451" t="s">
        <v>1757</v>
      </c>
    </row>
    <row r="43" spans="1:17" ht="49.5" customHeight="1" x14ac:dyDescent="0.35">
      <c r="A43" s="329" t="s">
        <v>1781</v>
      </c>
      <c r="B43" s="299">
        <v>4.6230000000000002</v>
      </c>
      <c r="C43" s="299">
        <v>0</v>
      </c>
      <c r="D43" s="299">
        <v>0</v>
      </c>
      <c r="E43" s="299">
        <v>0</v>
      </c>
      <c r="F43" s="299">
        <v>0</v>
      </c>
      <c r="G43" s="448">
        <v>4.6230000000000002</v>
      </c>
      <c r="H43" s="789">
        <v>4.7240000000000002</v>
      </c>
      <c r="I43" s="789">
        <v>0</v>
      </c>
      <c r="J43" s="789">
        <v>0</v>
      </c>
      <c r="K43" s="789">
        <v>0</v>
      </c>
      <c r="L43" s="789">
        <v>0</v>
      </c>
      <c r="M43" s="449">
        <v>4.7240000000000002</v>
      </c>
      <c r="N43" s="450">
        <v>2.1847285312567591E-2</v>
      </c>
      <c r="O43" s="328" t="s">
        <v>1777</v>
      </c>
      <c r="P43" s="451" t="s">
        <v>1757</v>
      </c>
    </row>
    <row r="44" spans="1:17" ht="32" x14ac:dyDescent="0.35">
      <c r="A44" s="967" t="s">
        <v>1782</v>
      </c>
      <c r="B44" s="170">
        <v>23.587000000000003</v>
      </c>
      <c r="C44" s="170">
        <v>0</v>
      </c>
      <c r="D44" s="170">
        <v>0</v>
      </c>
      <c r="E44" s="170">
        <v>0</v>
      </c>
      <c r="F44" s="170">
        <v>0</v>
      </c>
      <c r="G44" s="170">
        <v>23.587000000000003</v>
      </c>
      <c r="H44" s="170">
        <v>24.606999999999999</v>
      </c>
      <c r="I44" s="170">
        <v>0</v>
      </c>
      <c r="J44" s="170">
        <v>0</v>
      </c>
      <c r="K44" s="170">
        <v>0</v>
      </c>
      <c r="L44" s="170">
        <v>0</v>
      </c>
      <c r="M44" s="170">
        <v>24.606999999999999</v>
      </c>
      <c r="N44" s="968">
        <v>4.3244159918599055E-2</v>
      </c>
      <c r="O44" s="969"/>
      <c r="P44" s="970"/>
    </row>
    <row r="45" spans="1:17" ht="16" x14ac:dyDescent="0.35">
      <c r="A45" s="232"/>
      <c r="B45" s="233"/>
      <c r="C45" s="233"/>
      <c r="D45" s="233"/>
      <c r="E45" s="233"/>
      <c r="F45" s="233"/>
      <c r="G45" s="233"/>
      <c r="H45" s="233"/>
      <c r="I45" s="233"/>
      <c r="J45" s="233"/>
      <c r="K45" s="233"/>
      <c r="L45" s="233"/>
      <c r="M45" s="233"/>
      <c r="N45" s="971"/>
      <c r="O45" s="235"/>
      <c r="P45" s="235"/>
    </row>
    <row r="46" spans="1:17" ht="16" x14ac:dyDescent="0.35">
      <c r="A46" s="361" t="s">
        <v>1783</v>
      </c>
      <c r="B46" s="333">
        <v>170.298</v>
      </c>
      <c r="C46" s="333">
        <v>11.293000000000001</v>
      </c>
      <c r="D46" s="333">
        <v>13.65</v>
      </c>
      <c r="E46" s="333">
        <v>0</v>
      </c>
      <c r="F46" s="333">
        <v>0</v>
      </c>
      <c r="G46" s="333">
        <v>195.24099999999999</v>
      </c>
      <c r="H46" s="333">
        <v>205.291</v>
      </c>
      <c r="I46" s="333">
        <v>12.291</v>
      </c>
      <c r="J46" s="333">
        <v>20.5</v>
      </c>
      <c r="K46" s="333">
        <v>0</v>
      </c>
      <c r="L46" s="333">
        <v>0</v>
      </c>
      <c r="M46" s="333">
        <v>238.08200000000002</v>
      </c>
      <c r="N46" s="221">
        <v>0.21942624756070722</v>
      </c>
      <c r="O46" s="974"/>
      <c r="P46" s="975"/>
    </row>
    <row r="47" spans="1:17" ht="16" x14ac:dyDescent="0.35">
      <c r="A47" s="232"/>
      <c r="B47" s="233"/>
      <c r="C47" s="233"/>
      <c r="D47" s="233"/>
      <c r="E47" s="233"/>
      <c r="F47" s="233"/>
      <c r="G47" s="233"/>
      <c r="H47" s="233"/>
      <c r="I47" s="233"/>
      <c r="J47" s="233"/>
      <c r="K47" s="233"/>
      <c r="L47" s="233"/>
      <c r="M47" s="233"/>
      <c r="N47" s="234"/>
      <c r="O47" s="235"/>
      <c r="P47" s="235"/>
    </row>
    <row r="48" spans="1:17" ht="32" x14ac:dyDescent="0.35">
      <c r="A48" s="976" t="s">
        <v>1784</v>
      </c>
      <c r="B48" s="977"/>
      <c r="C48" s="977"/>
      <c r="D48" s="977"/>
      <c r="E48" s="977"/>
      <c r="F48" s="977"/>
      <c r="G48" s="977"/>
      <c r="H48" s="977"/>
      <c r="I48" s="977"/>
      <c r="J48" s="977"/>
      <c r="K48" s="977"/>
      <c r="L48" s="977"/>
      <c r="M48" s="977"/>
      <c r="N48" s="977"/>
      <c r="O48" s="977"/>
      <c r="P48" s="977"/>
    </row>
    <row r="49" spans="1:16" ht="44.25" customHeight="1" x14ac:dyDescent="0.35">
      <c r="A49" s="624" t="s">
        <v>1785</v>
      </c>
      <c r="B49" s="625"/>
      <c r="C49" s="625"/>
      <c r="D49" s="625"/>
      <c r="E49" s="625"/>
      <c r="F49" s="625"/>
      <c r="G49" s="625"/>
      <c r="H49" s="625"/>
      <c r="I49" s="625"/>
      <c r="J49" s="625"/>
      <c r="K49" s="625"/>
      <c r="L49" s="625"/>
      <c r="M49" s="625"/>
      <c r="N49" s="625"/>
      <c r="O49" s="625"/>
      <c r="P49" s="625"/>
    </row>
    <row r="50" spans="1:16" ht="144" x14ac:dyDescent="0.35">
      <c r="A50" s="329" t="s">
        <v>1786</v>
      </c>
      <c r="B50" s="299">
        <v>124.822</v>
      </c>
      <c r="C50" s="299">
        <v>0</v>
      </c>
      <c r="D50" s="299">
        <v>0</v>
      </c>
      <c r="E50" s="299">
        <v>0</v>
      </c>
      <c r="F50" s="299">
        <v>0</v>
      </c>
      <c r="G50" s="448">
        <v>124.822</v>
      </c>
      <c r="H50" s="789">
        <v>131.30000000000001</v>
      </c>
      <c r="I50" s="789">
        <v>0</v>
      </c>
      <c r="J50" s="789">
        <v>0</v>
      </c>
      <c r="K50" s="789">
        <v>0</v>
      </c>
      <c r="L50" s="789">
        <v>0</v>
      </c>
      <c r="M50" s="449">
        <v>131.30000000000001</v>
      </c>
      <c r="N50" s="450">
        <v>5.1897902613321438E-2</v>
      </c>
      <c r="O50" s="328" t="s">
        <v>1787</v>
      </c>
      <c r="P50" s="451" t="s">
        <v>1788</v>
      </c>
    </row>
    <row r="51" spans="1:16" ht="16" x14ac:dyDescent="0.35">
      <c r="A51" s="329" t="s">
        <v>1789</v>
      </c>
      <c r="B51" s="299">
        <v>0</v>
      </c>
      <c r="C51" s="299">
        <v>5</v>
      </c>
      <c r="D51" s="299">
        <v>0</v>
      </c>
      <c r="E51" s="299">
        <v>0</v>
      </c>
      <c r="F51" s="299">
        <v>0</v>
      </c>
      <c r="G51" s="448">
        <v>5</v>
      </c>
      <c r="H51" s="789">
        <v>0</v>
      </c>
      <c r="I51" s="789">
        <v>5</v>
      </c>
      <c r="J51" s="789">
        <v>0</v>
      </c>
      <c r="K51" s="789">
        <v>0</v>
      </c>
      <c r="L51" s="789">
        <v>0</v>
      </c>
      <c r="M51" s="449">
        <v>5</v>
      </c>
      <c r="N51" s="450">
        <v>0</v>
      </c>
      <c r="O51" s="328" t="s">
        <v>1790</v>
      </c>
      <c r="P51" s="451" t="s">
        <v>237</v>
      </c>
    </row>
    <row r="52" spans="1:16" ht="16" x14ac:dyDescent="0.35">
      <c r="A52" s="82" t="s">
        <v>1791</v>
      </c>
      <c r="B52" s="978">
        <v>124.822</v>
      </c>
      <c r="C52" s="978">
        <v>5</v>
      </c>
      <c r="D52" s="978">
        <v>0</v>
      </c>
      <c r="E52" s="978">
        <v>0</v>
      </c>
      <c r="F52" s="978">
        <v>0</v>
      </c>
      <c r="G52" s="448">
        <v>129.822</v>
      </c>
      <c r="H52" s="978">
        <v>131.30000000000001</v>
      </c>
      <c r="I52" s="978">
        <v>5</v>
      </c>
      <c r="J52" s="978">
        <v>0</v>
      </c>
      <c r="K52" s="978">
        <v>0</v>
      </c>
      <c r="L52" s="978">
        <v>0</v>
      </c>
      <c r="M52" s="448">
        <v>136.30000000000001</v>
      </c>
      <c r="N52" s="450">
        <v>4.9899092603719004E-2</v>
      </c>
      <c r="O52" s="979" t="s">
        <v>237</v>
      </c>
      <c r="P52" s="980" t="s">
        <v>237</v>
      </c>
    </row>
    <row r="53" spans="1:16" ht="48" x14ac:dyDescent="0.35">
      <c r="A53" s="329" t="s">
        <v>1792</v>
      </c>
      <c r="B53" s="299">
        <v>0</v>
      </c>
      <c r="C53" s="299">
        <v>0</v>
      </c>
      <c r="D53" s="299">
        <v>8</v>
      </c>
      <c r="E53" s="299">
        <v>0</v>
      </c>
      <c r="F53" s="299">
        <v>0</v>
      </c>
      <c r="G53" s="448">
        <v>8</v>
      </c>
      <c r="H53" s="789">
        <v>0</v>
      </c>
      <c r="I53" s="789">
        <v>0</v>
      </c>
      <c r="J53" s="789">
        <v>10</v>
      </c>
      <c r="K53" s="789">
        <v>0</v>
      </c>
      <c r="L53" s="789">
        <v>0</v>
      </c>
      <c r="M53" s="449">
        <v>10</v>
      </c>
      <c r="N53" s="450">
        <v>0.25</v>
      </c>
      <c r="O53" s="328" t="s">
        <v>1793</v>
      </c>
      <c r="P53" s="451" t="s">
        <v>1794</v>
      </c>
    </row>
    <row r="54" spans="1:16" ht="16" x14ac:dyDescent="0.35">
      <c r="A54" s="82" t="s">
        <v>1795</v>
      </c>
      <c r="B54" s="299">
        <v>-63.5</v>
      </c>
      <c r="C54" s="299">
        <v>0</v>
      </c>
      <c r="D54" s="299">
        <v>0</v>
      </c>
      <c r="E54" s="299">
        <v>0</v>
      </c>
      <c r="F54" s="299">
        <v>0</v>
      </c>
      <c r="G54" s="448">
        <v>-63.5</v>
      </c>
      <c r="H54" s="789">
        <v>-72.099999999999994</v>
      </c>
      <c r="I54" s="789">
        <v>0</v>
      </c>
      <c r="J54" s="789">
        <v>0</v>
      </c>
      <c r="K54" s="789">
        <v>0</v>
      </c>
      <c r="L54" s="789">
        <v>0</v>
      </c>
      <c r="M54" s="449">
        <v>-72.099999999999994</v>
      </c>
      <c r="N54" s="450">
        <v>0.13543307086614165</v>
      </c>
      <c r="O54" s="328" t="s">
        <v>1796</v>
      </c>
      <c r="P54" s="451" t="s">
        <v>237</v>
      </c>
    </row>
    <row r="55" spans="1:16" ht="32" x14ac:dyDescent="0.35">
      <c r="A55" s="967" t="s">
        <v>1797</v>
      </c>
      <c r="B55" s="170">
        <v>61.322000000000003</v>
      </c>
      <c r="C55" s="170">
        <v>5</v>
      </c>
      <c r="D55" s="170">
        <v>8</v>
      </c>
      <c r="E55" s="170">
        <v>0</v>
      </c>
      <c r="F55" s="170">
        <v>0</v>
      </c>
      <c r="G55" s="170">
        <v>74.322000000000003</v>
      </c>
      <c r="H55" s="170">
        <v>59.200000000000017</v>
      </c>
      <c r="I55" s="170">
        <v>5</v>
      </c>
      <c r="J55" s="170">
        <v>10</v>
      </c>
      <c r="K55" s="170">
        <v>0</v>
      </c>
      <c r="L55" s="170">
        <v>0</v>
      </c>
      <c r="M55" s="170">
        <v>74.200000000000017</v>
      </c>
      <c r="N55" s="968">
        <v>-1.6415058798200488E-3</v>
      </c>
      <c r="O55" s="969"/>
      <c r="P55" s="970"/>
    </row>
    <row r="57" spans="1:16" ht="32" x14ac:dyDescent="0.35">
      <c r="A57" s="624" t="s">
        <v>1798</v>
      </c>
      <c r="B57" s="612"/>
      <c r="C57" s="612"/>
      <c r="D57" s="612"/>
      <c r="E57" s="612"/>
      <c r="F57" s="612"/>
      <c r="G57" s="612"/>
      <c r="H57" s="612"/>
      <c r="I57" s="612"/>
      <c r="J57" s="612"/>
      <c r="K57" s="612"/>
      <c r="L57" s="612"/>
      <c r="M57" s="612"/>
      <c r="N57" s="612"/>
      <c r="O57" s="612"/>
      <c r="P57" s="612"/>
    </row>
    <row r="58" spans="1:16" ht="64" x14ac:dyDescent="0.35">
      <c r="A58" s="163" t="s">
        <v>1798</v>
      </c>
      <c r="B58" s="441">
        <v>1.665</v>
      </c>
      <c r="C58" s="441">
        <v>0</v>
      </c>
      <c r="D58" s="441">
        <v>0</v>
      </c>
      <c r="E58" s="441">
        <v>0</v>
      </c>
      <c r="F58" s="441">
        <v>0</v>
      </c>
      <c r="G58" s="442">
        <v>1.665</v>
      </c>
      <c r="H58" s="789">
        <v>1.474</v>
      </c>
      <c r="I58" s="789">
        <v>0</v>
      </c>
      <c r="J58" s="789">
        <v>0</v>
      </c>
      <c r="K58" s="789">
        <v>0</v>
      </c>
      <c r="L58" s="789">
        <v>0</v>
      </c>
      <c r="M58" s="449">
        <v>1.474</v>
      </c>
      <c r="N58" s="450">
        <v>-0.11471471471471474</v>
      </c>
      <c r="O58" s="163" t="s">
        <v>1799</v>
      </c>
      <c r="P58" s="444" t="s">
        <v>1800</v>
      </c>
    </row>
    <row r="59" spans="1:16" ht="32" x14ac:dyDescent="0.35">
      <c r="A59" s="967" t="s">
        <v>1801</v>
      </c>
      <c r="B59" s="170">
        <v>1.665</v>
      </c>
      <c r="C59" s="170">
        <v>0</v>
      </c>
      <c r="D59" s="170">
        <v>0</v>
      </c>
      <c r="E59" s="170">
        <v>0</v>
      </c>
      <c r="F59" s="170">
        <v>0</v>
      </c>
      <c r="G59" s="170">
        <v>1.665</v>
      </c>
      <c r="H59" s="170">
        <v>1.474</v>
      </c>
      <c r="I59" s="170">
        <v>0</v>
      </c>
      <c r="J59" s="170">
        <v>0</v>
      </c>
      <c r="K59" s="170">
        <v>0</v>
      </c>
      <c r="L59" s="170">
        <v>0</v>
      </c>
      <c r="M59" s="170">
        <v>1.474</v>
      </c>
      <c r="N59" s="968">
        <v>-0.11471471471471474</v>
      </c>
      <c r="O59" s="969"/>
      <c r="P59" s="970"/>
    </row>
    <row r="61" spans="1:16" ht="32" x14ac:dyDescent="0.35">
      <c r="A61" s="361" t="s">
        <v>1802</v>
      </c>
      <c r="B61" s="333">
        <v>62.987000000000002</v>
      </c>
      <c r="C61" s="333">
        <v>5</v>
      </c>
      <c r="D61" s="333">
        <v>8</v>
      </c>
      <c r="E61" s="333">
        <v>0</v>
      </c>
      <c r="F61" s="333">
        <v>0</v>
      </c>
      <c r="G61" s="333">
        <v>75.987000000000009</v>
      </c>
      <c r="H61" s="333">
        <v>60.674000000000014</v>
      </c>
      <c r="I61" s="333">
        <v>5</v>
      </c>
      <c r="J61" s="333">
        <v>10</v>
      </c>
      <c r="K61" s="333">
        <v>0</v>
      </c>
      <c r="L61" s="333">
        <v>0</v>
      </c>
      <c r="M61" s="333">
        <v>75.674000000000021</v>
      </c>
      <c r="N61" s="221">
        <v>-4.1191256399119337E-3</v>
      </c>
      <c r="O61" s="974"/>
      <c r="P61" s="975"/>
    </row>
    <row r="63" spans="1:16" ht="16" x14ac:dyDescent="0.35">
      <c r="A63" s="976" t="s">
        <v>1803</v>
      </c>
      <c r="B63" s="977"/>
      <c r="C63" s="977"/>
      <c r="D63" s="977"/>
      <c r="E63" s="977"/>
      <c r="F63" s="977"/>
      <c r="G63" s="977"/>
      <c r="H63" s="977"/>
      <c r="I63" s="977"/>
      <c r="J63" s="977"/>
      <c r="K63" s="977"/>
      <c r="L63" s="977"/>
      <c r="M63" s="977"/>
      <c r="N63" s="977"/>
      <c r="O63" s="977"/>
      <c r="P63" s="977"/>
    </row>
    <row r="64" spans="1:16" ht="16" x14ac:dyDescent="0.35">
      <c r="A64" s="82" t="s">
        <v>1804</v>
      </c>
      <c r="B64" s="981"/>
      <c r="C64" s="981"/>
      <c r="D64" s="981"/>
      <c r="E64" s="981"/>
      <c r="F64" s="981"/>
      <c r="G64" s="981"/>
      <c r="H64" s="981"/>
      <c r="I64" s="981"/>
      <c r="J64" s="981"/>
      <c r="K64" s="981"/>
      <c r="L64" s="981"/>
      <c r="M64" s="981"/>
      <c r="N64" s="982"/>
      <c r="O64" s="983" t="s">
        <v>237</v>
      </c>
      <c r="P64" s="984" t="s">
        <v>237</v>
      </c>
    </row>
    <row r="65" spans="1:16" ht="32" x14ac:dyDescent="0.35">
      <c r="A65" s="329" t="s">
        <v>1805</v>
      </c>
      <c r="B65" s="299">
        <v>34.912999999999997</v>
      </c>
      <c r="C65" s="299">
        <v>0</v>
      </c>
      <c r="D65" s="299">
        <v>0</v>
      </c>
      <c r="E65" s="299">
        <v>0</v>
      </c>
      <c r="F65" s="299">
        <v>0</v>
      </c>
      <c r="G65" s="448">
        <v>34.912999999999997</v>
      </c>
      <c r="H65" s="789">
        <v>34</v>
      </c>
      <c r="I65" s="789">
        <v>0</v>
      </c>
      <c r="J65" s="789">
        <v>0</v>
      </c>
      <c r="K65" s="789">
        <v>0</v>
      </c>
      <c r="L65" s="789">
        <v>0</v>
      </c>
      <c r="M65" s="449">
        <v>34</v>
      </c>
      <c r="N65" s="450">
        <v>-2.6150717497780106E-2</v>
      </c>
      <c r="O65" s="328" t="s">
        <v>1807</v>
      </c>
      <c r="P65" s="451" t="s">
        <v>1808</v>
      </c>
    </row>
    <row r="66" spans="1:16" ht="32" x14ac:dyDescent="0.35">
      <c r="A66" s="329" t="s">
        <v>1809</v>
      </c>
      <c r="B66" s="299">
        <v>0</v>
      </c>
      <c r="C66" s="299">
        <v>2.5</v>
      </c>
      <c r="D66" s="299">
        <v>0</v>
      </c>
      <c r="E66" s="299">
        <v>0</v>
      </c>
      <c r="F66" s="299">
        <v>0</v>
      </c>
      <c r="G66" s="448">
        <v>2.5</v>
      </c>
      <c r="H66" s="789">
        <v>0</v>
      </c>
      <c r="I66" s="789">
        <v>2.2000000000000002</v>
      </c>
      <c r="J66" s="789">
        <v>0</v>
      </c>
      <c r="K66" s="789">
        <v>0</v>
      </c>
      <c r="L66" s="789">
        <v>0</v>
      </c>
      <c r="M66" s="449">
        <v>2.2000000000000002</v>
      </c>
      <c r="N66" s="450">
        <v>-0.11999999999999993</v>
      </c>
      <c r="O66" s="328" t="s">
        <v>1810</v>
      </c>
      <c r="P66" s="451" t="s">
        <v>1811</v>
      </c>
    </row>
    <row r="67" spans="1:16" ht="16" x14ac:dyDescent="0.35">
      <c r="A67" s="82" t="s">
        <v>1791</v>
      </c>
      <c r="B67" s="343">
        <v>34.912999999999997</v>
      </c>
      <c r="C67" s="343">
        <v>2.5</v>
      </c>
      <c r="D67" s="343">
        <v>0</v>
      </c>
      <c r="E67" s="343">
        <v>0</v>
      </c>
      <c r="F67" s="343">
        <v>0</v>
      </c>
      <c r="G67" s="343">
        <v>37.412999999999997</v>
      </c>
      <c r="H67" s="343">
        <v>34</v>
      </c>
      <c r="I67" s="343">
        <v>2.2000000000000002</v>
      </c>
      <c r="J67" s="343">
        <v>0</v>
      </c>
      <c r="K67" s="343">
        <v>0</v>
      </c>
      <c r="L67" s="343">
        <v>0</v>
      </c>
      <c r="M67" s="343">
        <v>36.200000000000003</v>
      </c>
      <c r="N67" s="450">
        <v>-3.2421885440889371E-2</v>
      </c>
      <c r="O67" s="979" t="s">
        <v>237</v>
      </c>
      <c r="P67" s="980" t="s">
        <v>237</v>
      </c>
    </row>
    <row r="68" spans="1:16" ht="32" x14ac:dyDescent="0.35">
      <c r="A68" s="82" t="s">
        <v>1812</v>
      </c>
      <c r="B68" s="299">
        <v>0</v>
      </c>
      <c r="C68" s="299">
        <v>0</v>
      </c>
      <c r="D68" s="299">
        <v>3.5</v>
      </c>
      <c r="E68" s="299">
        <v>0</v>
      </c>
      <c r="F68" s="299">
        <v>0</v>
      </c>
      <c r="G68" s="448">
        <v>3.5</v>
      </c>
      <c r="H68" s="789">
        <v>0</v>
      </c>
      <c r="I68" s="789">
        <v>0</v>
      </c>
      <c r="J68" s="789">
        <v>4</v>
      </c>
      <c r="K68" s="789">
        <v>0</v>
      </c>
      <c r="L68" s="789">
        <v>0</v>
      </c>
      <c r="M68" s="449">
        <v>4</v>
      </c>
      <c r="N68" s="450">
        <v>0.14285714285714285</v>
      </c>
      <c r="O68" s="328" t="s">
        <v>1813</v>
      </c>
      <c r="P68" s="451" t="s">
        <v>1814</v>
      </c>
    </row>
    <row r="69" spans="1:16" ht="32" x14ac:dyDescent="0.35">
      <c r="A69" s="82" t="s">
        <v>1795</v>
      </c>
      <c r="B69" s="299">
        <v>-5.8</v>
      </c>
      <c r="C69" s="299">
        <v>0</v>
      </c>
      <c r="D69" s="299">
        <v>0</v>
      </c>
      <c r="E69" s="299">
        <v>0</v>
      </c>
      <c r="F69" s="299">
        <v>0</v>
      </c>
      <c r="G69" s="448">
        <v>-5.8</v>
      </c>
      <c r="H69" s="789">
        <v>-5.8</v>
      </c>
      <c r="I69" s="789">
        <v>0</v>
      </c>
      <c r="J69" s="789">
        <v>0</v>
      </c>
      <c r="K69" s="789">
        <v>0</v>
      </c>
      <c r="L69" s="789">
        <v>0</v>
      </c>
      <c r="M69" s="449">
        <v>-5.8</v>
      </c>
      <c r="N69" s="450">
        <v>0</v>
      </c>
      <c r="O69" s="328" t="s">
        <v>1815</v>
      </c>
      <c r="P69" s="451" t="s">
        <v>74</v>
      </c>
    </row>
    <row r="70" spans="1:16" ht="32" x14ac:dyDescent="0.35">
      <c r="A70" s="332" t="s">
        <v>1816</v>
      </c>
      <c r="B70" s="333">
        <v>29.112999999999996</v>
      </c>
      <c r="C70" s="333">
        <v>2.5</v>
      </c>
      <c r="D70" s="333">
        <v>3.5</v>
      </c>
      <c r="E70" s="333">
        <v>0</v>
      </c>
      <c r="F70" s="333">
        <v>0</v>
      </c>
      <c r="G70" s="333">
        <v>35.113</v>
      </c>
      <c r="H70" s="333">
        <v>28.2</v>
      </c>
      <c r="I70" s="333">
        <v>2.2000000000000002</v>
      </c>
      <c r="J70" s="333">
        <v>4</v>
      </c>
      <c r="K70" s="333">
        <v>0</v>
      </c>
      <c r="L70" s="333">
        <v>0</v>
      </c>
      <c r="M70" s="333">
        <v>34.400000000000006</v>
      </c>
      <c r="N70" s="221">
        <v>-2.0305869620937941E-2</v>
      </c>
      <c r="O70" s="235"/>
      <c r="P70" s="235"/>
    </row>
    <row r="71" spans="1:16" ht="16" x14ac:dyDescent="0.35">
      <c r="A71" s="985"/>
      <c r="B71" s="986"/>
      <c r="C71" s="986"/>
      <c r="D71" s="986"/>
      <c r="E71" s="986"/>
      <c r="F71" s="986"/>
      <c r="G71" s="233"/>
      <c r="H71" s="986"/>
      <c r="I71" s="986"/>
      <c r="J71" s="986"/>
      <c r="K71" s="986"/>
      <c r="L71" s="986"/>
      <c r="M71" s="233"/>
      <c r="N71" s="234"/>
      <c r="O71" s="235"/>
      <c r="P71" s="235"/>
    </row>
    <row r="72" spans="1:16" ht="16" x14ac:dyDescent="0.35">
      <c r="A72" s="594" t="s">
        <v>530</v>
      </c>
      <c r="B72" s="595"/>
      <c r="C72" s="595"/>
      <c r="D72" s="595"/>
      <c r="E72" s="595"/>
      <c r="F72" s="595"/>
      <c r="G72" s="595"/>
      <c r="H72" s="595"/>
      <c r="I72" s="595"/>
      <c r="J72" s="595"/>
      <c r="K72" s="595"/>
      <c r="L72" s="595"/>
      <c r="M72" s="595"/>
      <c r="N72" s="595"/>
      <c r="O72" s="595"/>
      <c r="P72" s="595"/>
    </row>
    <row r="73" spans="1:16" ht="16" x14ac:dyDescent="0.35">
      <c r="A73" s="506"/>
      <c r="B73" s="507"/>
      <c r="C73" s="507"/>
      <c r="D73" s="507"/>
      <c r="E73" s="507"/>
      <c r="F73" s="507"/>
      <c r="G73" s="507"/>
      <c r="H73" s="507"/>
      <c r="I73" s="507"/>
      <c r="J73" s="507"/>
      <c r="K73" s="507"/>
      <c r="L73" s="507"/>
      <c r="M73" s="507"/>
      <c r="N73" s="906"/>
      <c r="O73" s="906"/>
      <c r="P73" s="906"/>
    </row>
    <row r="74" spans="1:16" ht="32" x14ac:dyDescent="0.35">
      <c r="A74" s="624" t="s">
        <v>531</v>
      </c>
      <c r="B74" s="612"/>
      <c r="C74" s="612"/>
      <c r="D74" s="612"/>
      <c r="E74" s="612"/>
      <c r="F74" s="612"/>
      <c r="G74" s="612"/>
      <c r="H74" s="612"/>
      <c r="I74" s="612"/>
      <c r="J74" s="612"/>
      <c r="K74" s="612"/>
      <c r="L74" s="612"/>
      <c r="M74" s="612"/>
      <c r="N74" s="612"/>
      <c r="O74" s="612"/>
      <c r="P74" s="612"/>
    </row>
    <row r="75" spans="1:16" ht="32" x14ac:dyDescent="0.35">
      <c r="A75" s="447" t="s">
        <v>1817</v>
      </c>
      <c r="B75" s="299">
        <v>5.6319999999999997</v>
      </c>
      <c r="C75" s="299">
        <v>0</v>
      </c>
      <c r="D75" s="299">
        <v>0</v>
      </c>
      <c r="E75" s="299">
        <v>0</v>
      </c>
      <c r="F75" s="299">
        <v>0</v>
      </c>
      <c r="G75" s="448">
        <v>5.6319999999999997</v>
      </c>
      <c r="H75" s="789">
        <v>5.44</v>
      </c>
      <c r="I75" s="789">
        <v>0</v>
      </c>
      <c r="J75" s="789">
        <v>0</v>
      </c>
      <c r="K75" s="789">
        <v>0</v>
      </c>
      <c r="L75" s="789">
        <v>0</v>
      </c>
      <c r="M75" s="449">
        <v>5.44</v>
      </c>
      <c r="N75" s="450">
        <v>-3.4090909090908963E-2</v>
      </c>
      <c r="O75" s="328" t="s">
        <v>1818</v>
      </c>
      <c r="P75" s="451" t="s">
        <v>1819</v>
      </c>
    </row>
    <row r="76" spans="1:16" ht="32" x14ac:dyDescent="0.35">
      <c r="A76" s="447" t="s">
        <v>1820</v>
      </c>
      <c r="B76" s="299">
        <v>0</v>
      </c>
      <c r="C76" s="299">
        <v>0</v>
      </c>
      <c r="D76" s="299">
        <v>0</v>
      </c>
      <c r="E76" s="299">
        <v>0</v>
      </c>
      <c r="F76" s="299">
        <v>0</v>
      </c>
      <c r="G76" s="448">
        <v>0</v>
      </c>
      <c r="H76" s="789">
        <v>0</v>
      </c>
      <c r="I76" s="789">
        <v>0</v>
      </c>
      <c r="J76" s="789">
        <v>0</v>
      </c>
      <c r="K76" s="789">
        <v>0</v>
      </c>
      <c r="L76" s="789">
        <v>0</v>
      </c>
      <c r="M76" s="449">
        <v>0</v>
      </c>
      <c r="N76" s="450" t="s">
        <v>50</v>
      </c>
      <c r="O76" s="328" t="s">
        <v>1821</v>
      </c>
      <c r="P76" s="451" t="s">
        <v>1822</v>
      </c>
    </row>
    <row r="77" spans="1:16" ht="48" x14ac:dyDescent="0.35">
      <c r="A77" s="447" t="s">
        <v>1823</v>
      </c>
      <c r="B77" s="299">
        <v>0.38300000000000001</v>
      </c>
      <c r="C77" s="299">
        <v>0</v>
      </c>
      <c r="D77" s="299">
        <v>0</v>
      </c>
      <c r="E77" s="299">
        <v>0</v>
      </c>
      <c r="F77" s="299">
        <v>0</v>
      </c>
      <c r="G77" s="448">
        <v>0.38300000000000001</v>
      </c>
      <c r="H77" s="789">
        <v>0.41131451000000002</v>
      </c>
      <c r="I77" s="789">
        <v>0</v>
      </c>
      <c r="J77" s="789">
        <v>0</v>
      </c>
      <c r="K77" s="789">
        <v>0</v>
      </c>
      <c r="L77" s="789">
        <v>0</v>
      </c>
      <c r="M77" s="449">
        <v>0.41131451000000002</v>
      </c>
      <c r="N77" s="450">
        <v>7.3928224543080984E-2</v>
      </c>
      <c r="O77" s="328" t="s">
        <v>1824</v>
      </c>
      <c r="P77" s="451" t="s">
        <v>1819</v>
      </c>
    </row>
    <row r="78" spans="1:16" ht="48" x14ac:dyDescent="0.35">
      <c r="A78" s="447" t="s">
        <v>1825</v>
      </c>
      <c r="B78" s="299">
        <v>0.64700000000000002</v>
      </c>
      <c r="C78" s="299">
        <v>0</v>
      </c>
      <c r="D78" s="299">
        <v>0</v>
      </c>
      <c r="E78" s="299">
        <v>0</v>
      </c>
      <c r="F78" s="299">
        <v>0</v>
      </c>
      <c r="G78" s="448">
        <v>0.64700000000000002</v>
      </c>
      <c r="H78" s="789">
        <v>0.67697242999999996</v>
      </c>
      <c r="I78" s="789">
        <v>0</v>
      </c>
      <c r="J78" s="789">
        <v>0</v>
      </c>
      <c r="K78" s="789">
        <v>0</v>
      </c>
      <c r="L78" s="789">
        <v>0</v>
      </c>
      <c r="M78" s="449">
        <v>0.67697242999999996</v>
      </c>
      <c r="N78" s="450">
        <v>4.6325239567233292E-2</v>
      </c>
      <c r="O78" s="328" t="s">
        <v>1826</v>
      </c>
      <c r="P78" s="451" t="s">
        <v>1819</v>
      </c>
    </row>
    <row r="79" spans="1:16" ht="48" x14ac:dyDescent="0.35">
      <c r="A79" s="447" t="s">
        <v>1827</v>
      </c>
      <c r="B79" s="299">
        <v>0.48399999999999999</v>
      </c>
      <c r="C79" s="299">
        <v>0</v>
      </c>
      <c r="D79" s="299">
        <v>0</v>
      </c>
      <c r="E79" s="299">
        <v>0</v>
      </c>
      <c r="F79" s="299">
        <v>0</v>
      </c>
      <c r="G79" s="448">
        <v>0.48399999999999999</v>
      </c>
      <c r="H79" s="789">
        <v>0.48089453000000004</v>
      </c>
      <c r="I79" s="789">
        <v>0</v>
      </c>
      <c r="J79" s="789">
        <v>0</v>
      </c>
      <c r="K79" s="789">
        <v>0</v>
      </c>
      <c r="L79" s="789">
        <v>0</v>
      </c>
      <c r="M79" s="449">
        <v>0.48089453000000004</v>
      </c>
      <c r="N79" s="450">
        <v>-6.4162603305783963E-3</v>
      </c>
      <c r="O79" s="328" t="s">
        <v>1828</v>
      </c>
      <c r="P79" s="451" t="s">
        <v>1819</v>
      </c>
    </row>
    <row r="80" spans="1:16" ht="80" x14ac:dyDescent="0.35">
      <c r="A80" s="447" t="s">
        <v>1829</v>
      </c>
      <c r="B80" s="299">
        <v>11.475</v>
      </c>
      <c r="C80" s="299">
        <v>0</v>
      </c>
      <c r="D80" s="299">
        <v>0</v>
      </c>
      <c r="E80" s="299">
        <v>0</v>
      </c>
      <c r="F80" s="299">
        <v>0</v>
      </c>
      <c r="G80" s="448">
        <v>11.475</v>
      </c>
      <c r="H80" s="789">
        <v>12.8</v>
      </c>
      <c r="I80" s="789">
        <v>0</v>
      </c>
      <c r="J80" s="789">
        <v>0</v>
      </c>
      <c r="K80" s="789">
        <v>0</v>
      </c>
      <c r="L80" s="789">
        <v>0</v>
      </c>
      <c r="M80" s="449">
        <v>12.8</v>
      </c>
      <c r="N80" s="450">
        <v>0.11546840958605674</v>
      </c>
      <c r="O80" s="328" t="s">
        <v>1830</v>
      </c>
      <c r="P80" s="451" t="s">
        <v>1831</v>
      </c>
    </row>
    <row r="81" spans="1:16" ht="32" x14ac:dyDescent="0.35">
      <c r="A81" s="447" t="s">
        <v>1832</v>
      </c>
      <c r="B81" s="299">
        <v>0.23499999999999999</v>
      </c>
      <c r="C81" s="299">
        <v>0</v>
      </c>
      <c r="D81" s="299">
        <v>0</v>
      </c>
      <c r="E81" s="299">
        <v>0</v>
      </c>
      <c r="F81" s="299">
        <v>0</v>
      </c>
      <c r="G81" s="448">
        <v>0.23499999999999999</v>
      </c>
      <c r="H81" s="789">
        <v>0.26</v>
      </c>
      <c r="I81" s="789">
        <v>0</v>
      </c>
      <c r="J81" s="789">
        <v>0</v>
      </c>
      <c r="K81" s="789">
        <v>0</v>
      </c>
      <c r="L81" s="789">
        <v>0</v>
      </c>
      <c r="M81" s="449">
        <v>0.26</v>
      </c>
      <c r="N81" s="450">
        <v>0.10638297872340435</v>
      </c>
      <c r="O81" s="328" t="s">
        <v>1833</v>
      </c>
      <c r="P81" s="451" t="s">
        <v>1834</v>
      </c>
    </row>
    <row r="82" spans="1:16" ht="32" x14ac:dyDescent="0.35">
      <c r="A82" s="447" t="s">
        <v>1835</v>
      </c>
      <c r="B82" s="299">
        <v>0</v>
      </c>
      <c r="C82" s="299">
        <v>0</v>
      </c>
      <c r="D82" s="299">
        <v>0</v>
      </c>
      <c r="E82" s="299">
        <v>0</v>
      </c>
      <c r="F82" s="299">
        <v>0</v>
      </c>
      <c r="G82" s="448">
        <v>0</v>
      </c>
      <c r="H82" s="789">
        <v>0</v>
      </c>
      <c r="I82" s="789">
        <v>0</v>
      </c>
      <c r="J82" s="789">
        <v>0</v>
      </c>
      <c r="K82" s="789">
        <v>0</v>
      </c>
      <c r="L82" s="789">
        <v>0</v>
      </c>
      <c r="M82" s="449">
        <v>0</v>
      </c>
      <c r="N82" s="450" t="s">
        <v>50</v>
      </c>
      <c r="O82" s="328" t="s">
        <v>1821</v>
      </c>
      <c r="P82" s="987" t="s">
        <v>1822</v>
      </c>
    </row>
    <row r="83" spans="1:16" ht="128" x14ac:dyDescent="0.35">
      <c r="A83" s="988" t="s">
        <v>1836</v>
      </c>
      <c r="B83" s="299">
        <v>1.1120000000000001</v>
      </c>
      <c r="C83" s="299">
        <v>0</v>
      </c>
      <c r="D83" s="299">
        <v>0</v>
      </c>
      <c r="E83" s="299">
        <v>0</v>
      </c>
      <c r="F83" s="299">
        <v>0</v>
      </c>
      <c r="G83" s="448">
        <v>1.1120000000000001</v>
      </c>
      <c r="H83" s="789">
        <v>1.2</v>
      </c>
      <c r="I83" s="789">
        <v>0</v>
      </c>
      <c r="J83" s="789">
        <v>0</v>
      </c>
      <c r="K83" s="789">
        <v>0</v>
      </c>
      <c r="L83" s="789">
        <v>0</v>
      </c>
      <c r="M83" s="449">
        <v>1.2</v>
      </c>
      <c r="N83" s="450">
        <v>7.9136690647481883E-2</v>
      </c>
      <c r="O83" s="451" t="s">
        <v>1837</v>
      </c>
      <c r="P83" s="451" t="s">
        <v>1834</v>
      </c>
    </row>
    <row r="84" spans="1:16" ht="32" x14ac:dyDescent="0.35">
      <c r="A84" s="447" t="s">
        <v>1838</v>
      </c>
      <c r="B84" s="299">
        <v>0.19</v>
      </c>
      <c r="C84" s="299">
        <v>0</v>
      </c>
      <c r="D84" s="299">
        <v>0</v>
      </c>
      <c r="E84" s="299">
        <v>0</v>
      </c>
      <c r="F84" s="299">
        <v>0</v>
      </c>
      <c r="G84" s="448">
        <v>0.19</v>
      </c>
      <c r="H84" s="789">
        <v>0.18</v>
      </c>
      <c r="I84" s="789">
        <v>0</v>
      </c>
      <c r="J84" s="789">
        <v>0</v>
      </c>
      <c r="K84" s="789">
        <v>0</v>
      </c>
      <c r="L84" s="789">
        <v>0</v>
      </c>
      <c r="M84" s="449">
        <v>0.18</v>
      </c>
      <c r="N84" s="450">
        <v>-5.2631578947368467E-2</v>
      </c>
      <c r="O84" s="328" t="s">
        <v>1839</v>
      </c>
      <c r="P84" s="989" t="s">
        <v>1819</v>
      </c>
    </row>
    <row r="85" spans="1:16" ht="48" x14ac:dyDescent="0.35">
      <c r="A85" s="447" t="s">
        <v>1840</v>
      </c>
      <c r="B85" s="299">
        <v>0.499</v>
      </c>
      <c r="C85" s="299">
        <v>0</v>
      </c>
      <c r="D85" s="299">
        <v>0</v>
      </c>
      <c r="E85" s="299">
        <v>0</v>
      </c>
      <c r="F85" s="299">
        <v>0</v>
      </c>
      <c r="G85" s="448">
        <v>0.499</v>
      </c>
      <c r="H85" s="789">
        <v>0.54065313000000004</v>
      </c>
      <c r="I85" s="789">
        <v>0</v>
      </c>
      <c r="J85" s="789">
        <v>0</v>
      </c>
      <c r="K85" s="789">
        <v>0</v>
      </c>
      <c r="L85" s="789">
        <v>0</v>
      </c>
      <c r="M85" s="449">
        <v>0.54065313000000004</v>
      </c>
      <c r="N85" s="450">
        <v>8.3473206412825726E-2</v>
      </c>
      <c r="O85" s="328" t="s">
        <v>1841</v>
      </c>
      <c r="P85" s="451" t="s">
        <v>1819</v>
      </c>
    </row>
    <row r="86" spans="1:16" ht="48" x14ac:dyDescent="0.35">
      <c r="A86" s="988" t="s">
        <v>1842</v>
      </c>
      <c r="B86" s="299">
        <v>0.54700000000000004</v>
      </c>
      <c r="C86" s="299">
        <v>0</v>
      </c>
      <c r="D86" s="299">
        <v>0</v>
      </c>
      <c r="E86" s="299">
        <v>0</v>
      </c>
      <c r="F86" s="299">
        <v>0</v>
      </c>
      <c r="G86" s="448">
        <v>0.54700000000000004</v>
      </c>
      <c r="H86" s="789">
        <v>0.56320119999999996</v>
      </c>
      <c r="I86" s="789">
        <v>0</v>
      </c>
      <c r="J86" s="789">
        <v>0</v>
      </c>
      <c r="K86" s="789">
        <v>0</v>
      </c>
      <c r="L86" s="789">
        <v>0</v>
      </c>
      <c r="M86" s="449">
        <v>0.56320119999999996</v>
      </c>
      <c r="N86" s="450">
        <v>2.9618281535648838E-2</v>
      </c>
      <c r="O86" s="328" t="s">
        <v>1843</v>
      </c>
      <c r="P86" s="451" t="s">
        <v>1819</v>
      </c>
    </row>
    <row r="87" spans="1:16" ht="48" x14ac:dyDescent="0.35">
      <c r="A87" s="447" t="s">
        <v>1844</v>
      </c>
      <c r="B87" s="299">
        <v>1.893</v>
      </c>
      <c r="C87" s="299">
        <v>0</v>
      </c>
      <c r="D87" s="299">
        <v>0</v>
      </c>
      <c r="E87" s="299">
        <v>0</v>
      </c>
      <c r="F87" s="299">
        <v>0</v>
      </c>
      <c r="G87" s="448">
        <v>1.893</v>
      </c>
      <c r="H87" s="789">
        <v>1.8440000000000001</v>
      </c>
      <c r="I87" s="789">
        <v>0</v>
      </c>
      <c r="J87" s="789">
        <v>0</v>
      </c>
      <c r="K87" s="789">
        <v>0</v>
      </c>
      <c r="L87" s="789">
        <v>0</v>
      </c>
      <c r="M87" s="449">
        <v>1.8440000000000001</v>
      </c>
      <c r="N87" s="450">
        <v>-2.5884838880084485E-2</v>
      </c>
      <c r="O87" s="328" t="s">
        <v>1845</v>
      </c>
      <c r="P87" s="451" t="s">
        <v>1819</v>
      </c>
    </row>
    <row r="88" spans="1:16" ht="48" x14ac:dyDescent="0.35">
      <c r="A88" s="447" t="s">
        <v>1846</v>
      </c>
      <c r="B88" s="299">
        <v>1.637</v>
      </c>
      <c r="C88" s="299">
        <v>0.435</v>
      </c>
      <c r="D88" s="299">
        <v>0</v>
      </c>
      <c r="E88" s="299">
        <v>0</v>
      </c>
      <c r="F88" s="299">
        <v>0</v>
      </c>
      <c r="G88" s="448">
        <v>2.0720000000000001</v>
      </c>
      <c r="H88" s="789">
        <v>1.6601099000000001</v>
      </c>
      <c r="I88" s="789">
        <v>0.435</v>
      </c>
      <c r="J88" s="789">
        <v>0</v>
      </c>
      <c r="K88" s="789">
        <v>0</v>
      </c>
      <c r="L88" s="789">
        <v>0</v>
      </c>
      <c r="M88" s="449">
        <v>2.0951099000000002</v>
      </c>
      <c r="N88" s="450">
        <v>1.1153426640926702E-2</v>
      </c>
      <c r="O88" s="328" t="s">
        <v>1847</v>
      </c>
      <c r="P88" s="451" t="s">
        <v>1848</v>
      </c>
    </row>
    <row r="89" spans="1:16" ht="48" x14ac:dyDescent="0.35">
      <c r="A89" s="447" t="s">
        <v>1849</v>
      </c>
      <c r="B89" s="299">
        <v>0.46</v>
      </c>
      <c r="C89" s="299">
        <v>0</v>
      </c>
      <c r="D89" s="299">
        <v>0</v>
      </c>
      <c r="E89" s="299">
        <v>0</v>
      </c>
      <c r="F89" s="299">
        <v>0</v>
      </c>
      <c r="G89" s="448">
        <v>0.46</v>
      </c>
      <c r="H89" s="789">
        <v>0.49608944999999999</v>
      </c>
      <c r="I89" s="789">
        <v>0</v>
      </c>
      <c r="J89" s="789">
        <v>0</v>
      </c>
      <c r="K89" s="789">
        <v>0</v>
      </c>
      <c r="L89" s="789">
        <v>0</v>
      </c>
      <c r="M89" s="449">
        <v>0.49608944999999999</v>
      </c>
      <c r="N89" s="450">
        <v>7.8455326086956448E-2</v>
      </c>
      <c r="O89" s="328" t="s">
        <v>1850</v>
      </c>
      <c r="P89" s="451" t="s">
        <v>1819</v>
      </c>
    </row>
    <row r="90" spans="1:16" ht="48" x14ac:dyDescent="0.35">
      <c r="A90" s="447" t="s">
        <v>1851</v>
      </c>
      <c r="B90" s="299">
        <v>0.45900000000000002</v>
      </c>
      <c r="C90" s="299">
        <v>0</v>
      </c>
      <c r="D90" s="299">
        <v>0</v>
      </c>
      <c r="E90" s="299">
        <v>0</v>
      </c>
      <c r="F90" s="299">
        <v>0</v>
      </c>
      <c r="G90" s="448">
        <v>0.45900000000000002</v>
      </c>
      <c r="H90" s="789">
        <v>0.48162502000000001</v>
      </c>
      <c r="I90" s="789">
        <v>0</v>
      </c>
      <c r="J90" s="789">
        <v>0</v>
      </c>
      <c r="K90" s="789">
        <v>0</v>
      </c>
      <c r="L90" s="789">
        <v>0</v>
      </c>
      <c r="M90" s="449">
        <v>0.48162502000000001</v>
      </c>
      <c r="N90" s="450">
        <v>4.9291982570806088E-2</v>
      </c>
      <c r="O90" s="328" t="s">
        <v>1852</v>
      </c>
      <c r="P90" s="451" t="s">
        <v>1819</v>
      </c>
    </row>
    <row r="91" spans="1:16" ht="32" x14ac:dyDescent="0.35">
      <c r="A91" s="967" t="s">
        <v>1853</v>
      </c>
      <c r="B91" s="170">
        <v>25.652999999999999</v>
      </c>
      <c r="C91" s="170">
        <v>0.435</v>
      </c>
      <c r="D91" s="170">
        <v>0</v>
      </c>
      <c r="E91" s="170">
        <v>0</v>
      </c>
      <c r="F91" s="170">
        <v>0</v>
      </c>
      <c r="G91" s="170">
        <v>26.087999999999997</v>
      </c>
      <c r="H91" s="170">
        <v>27.034860170000005</v>
      </c>
      <c r="I91" s="170">
        <v>0.435</v>
      </c>
      <c r="J91" s="170">
        <v>0</v>
      </c>
      <c r="K91" s="170">
        <v>0</v>
      </c>
      <c r="L91" s="170">
        <v>0</v>
      </c>
      <c r="M91" s="170">
        <v>27.469860170000004</v>
      </c>
      <c r="N91" s="968">
        <v>5.296918774915696E-2</v>
      </c>
      <c r="O91" s="969"/>
      <c r="P91" s="970"/>
    </row>
    <row r="92" spans="1:16" ht="15" x14ac:dyDescent="0.35">
      <c r="A92" s="966"/>
      <c r="B92" s="235"/>
      <c r="C92" s="235"/>
      <c r="D92" s="235"/>
      <c r="E92" s="235"/>
      <c r="F92" s="235"/>
      <c r="G92" s="235"/>
      <c r="H92" s="235"/>
      <c r="I92" s="235"/>
      <c r="J92" s="235"/>
      <c r="K92" s="235"/>
      <c r="L92" s="235"/>
      <c r="M92" s="235"/>
      <c r="N92" s="235"/>
      <c r="O92" s="235"/>
      <c r="P92" s="235"/>
    </row>
    <row r="93" spans="1:16" ht="16" x14ac:dyDescent="0.35">
      <c r="A93" s="624" t="s">
        <v>1854</v>
      </c>
      <c r="B93" s="612"/>
      <c r="C93" s="612"/>
      <c r="D93" s="612"/>
      <c r="E93" s="612"/>
      <c r="F93" s="612"/>
      <c r="G93" s="612"/>
      <c r="H93" s="612"/>
      <c r="I93" s="612"/>
      <c r="J93" s="612"/>
      <c r="K93" s="612"/>
      <c r="L93" s="612"/>
      <c r="M93" s="612"/>
      <c r="N93" s="612"/>
      <c r="O93" s="612"/>
      <c r="P93" s="612"/>
    </row>
    <row r="94" spans="1:16" ht="48" x14ac:dyDescent="0.35">
      <c r="A94" s="547" t="s">
        <v>1854</v>
      </c>
      <c r="B94" s="299">
        <v>0.17499999999999999</v>
      </c>
      <c r="C94" s="299">
        <v>0</v>
      </c>
      <c r="D94" s="299">
        <v>0</v>
      </c>
      <c r="E94" s="299">
        <v>0</v>
      </c>
      <c r="F94" s="299">
        <v>0</v>
      </c>
      <c r="G94" s="448">
        <v>0.17499999999999999</v>
      </c>
      <c r="H94" s="789">
        <v>0.1</v>
      </c>
      <c r="I94" s="789">
        <v>0</v>
      </c>
      <c r="J94" s="789">
        <v>0</v>
      </c>
      <c r="K94" s="789">
        <v>0</v>
      </c>
      <c r="L94" s="789">
        <v>0</v>
      </c>
      <c r="M94" s="449">
        <v>0.1</v>
      </c>
      <c r="N94" s="450">
        <v>-0.42857142857142849</v>
      </c>
      <c r="O94" s="328" t="s">
        <v>1855</v>
      </c>
      <c r="P94" s="451" t="s">
        <v>1856</v>
      </c>
    </row>
    <row r="95" spans="1:16" ht="16" x14ac:dyDescent="0.35">
      <c r="A95" s="967" t="s">
        <v>1857</v>
      </c>
      <c r="B95" s="170">
        <v>0.17499999999999999</v>
      </c>
      <c r="C95" s="170">
        <v>0</v>
      </c>
      <c r="D95" s="170">
        <v>0</v>
      </c>
      <c r="E95" s="170">
        <v>0</v>
      </c>
      <c r="F95" s="170">
        <v>0</v>
      </c>
      <c r="G95" s="170">
        <v>0.17499999999999999</v>
      </c>
      <c r="H95" s="170">
        <v>0.1</v>
      </c>
      <c r="I95" s="170">
        <v>0</v>
      </c>
      <c r="J95" s="170">
        <v>0</v>
      </c>
      <c r="K95" s="170">
        <v>0</v>
      </c>
      <c r="L95" s="170">
        <v>0</v>
      </c>
      <c r="M95" s="170">
        <v>0.1</v>
      </c>
      <c r="N95" s="968">
        <v>-0.42857142857142849</v>
      </c>
      <c r="O95" s="969"/>
      <c r="P95" s="970"/>
    </row>
    <row r="96" spans="1:16" ht="16" x14ac:dyDescent="0.35">
      <c r="A96" s="104"/>
      <c r="B96" s="990"/>
      <c r="C96" s="990"/>
      <c r="D96" s="990"/>
      <c r="E96" s="990"/>
      <c r="F96" s="990"/>
      <c r="G96" s="990"/>
      <c r="H96" s="990"/>
      <c r="I96" s="990"/>
      <c r="J96" s="990"/>
      <c r="K96" s="990"/>
      <c r="L96" s="990"/>
      <c r="M96" s="990"/>
      <c r="N96" s="991"/>
      <c r="O96" s="235"/>
      <c r="P96" s="235"/>
    </row>
    <row r="97" spans="1:17" ht="16" x14ac:dyDescent="0.35">
      <c r="A97" s="332" t="s">
        <v>1858</v>
      </c>
      <c r="B97" s="333">
        <v>25.827999999999999</v>
      </c>
      <c r="C97" s="333">
        <v>0.435</v>
      </c>
      <c r="D97" s="333">
        <v>0</v>
      </c>
      <c r="E97" s="333">
        <v>0</v>
      </c>
      <c r="F97" s="333">
        <v>0</v>
      </c>
      <c r="G97" s="333">
        <v>26.262999999999998</v>
      </c>
      <c r="H97" s="333">
        <v>27.134860170000007</v>
      </c>
      <c r="I97" s="333">
        <v>0.435</v>
      </c>
      <c r="J97" s="333">
        <v>0</v>
      </c>
      <c r="K97" s="333">
        <v>0</v>
      </c>
      <c r="L97" s="333">
        <v>0</v>
      </c>
      <c r="M97" s="333">
        <v>27.569860170000005</v>
      </c>
      <c r="N97" s="334">
        <v>4.9760506035106705E-2</v>
      </c>
      <c r="O97" s="974"/>
      <c r="P97" s="975"/>
    </row>
    <row r="98" spans="1:17" s="411" customFormat="1" ht="19.5" x14ac:dyDescent="0.45">
      <c r="A98" s="992"/>
      <c r="B98" s="901"/>
      <c r="C98" s="901"/>
      <c r="D98" s="901"/>
      <c r="E98" s="901"/>
      <c r="F98" s="901"/>
      <c r="G98" s="901"/>
      <c r="H98" s="901"/>
      <c r="I98" s="901"/>
      <c r="J98" s="901"/>
      <c r="K98" s="901"/>
      <c r="L98" s="901"/>
      <c r="M98" s="901"/>
      <c r="N98" s="993"/>
      <c r="O98" s="994"/>
      <c r="P98" s="995"/>
      <c r="Q98" s="410"/>
    </row>
    <row r="100" spans="1:17" ht="16" x14ac:dyDescent="0.35">
      <c r="A100" s="281"/>
      <c r="B100" s="282"/>
      <c r="C100" s="282"/>
      <c r="D100" s="282"/>
      <c r="E100" s="282"/>
      <c r="F100" s="282"/>
      <c r="G100" s="282"/>
      <c r="H100" s="282"/>
      <c r="I100" s="282"/>
      <c r="J100" s="282"/>
      <c r="K100" s="282"/>
      <c r="L100" s="282"/>
      <c r="M100" s="282"/>
      <c r="N100" s="283"/>
      <c r="O100" s="284"/>
      <c r="P100" s="285"/>
    </row>
    <row r="101" spans="1:17" ht="16" x14ac:dyDescent="0.35">
      <c r="A101" s="286" t="s">
        <v>338</v>
      </c>
      <c r="B101" s="287"/>
      <c r="C101" s="287"/>
      <c r="D101" s="287"/>
      <c r="E101" s="287"/>
      <c r="F101" s="287"/>
      <c r="G101" s="288"/>
      <c r="H101" s="287"/>
      <c r="I101" s="287"/>
      <c r="J101" s="287"/>
      <c r="K101" s="287"/>
      <c r="L101" s="287"/>
      <c r="M101" s="724"/>
      <c r="O101" s="284"/>
      <c r="P101" s="285"/>
    </row>
    <row r="102" spans="1:17" s="411" customFormat="1" ht="19.5" x14ac:dyDescent="0.45">
      <c r="A102" s="992"/>
      <c r="B102" s="901"/>
      <c r="C102" s="901"/>
      <c r="D102" s="901"/>
      <c r="E102" s="901"/>
      <c r="F102" s="901"/>
      <c r="G102" s="901"/>
      <c r="H102" s="901"/>
      <c r="I102" s="901"/>
      <c r="J102" s="901"/>
      <c r="K102" s="901"/>
      <c r="L102" s="901"/>
      <c r="M102" s="901"/>
      <c r="N102" s="993"/>
      <c r="O102" s="994"/>
      <c r="P102" s="995"/>
      <c r="Q102" s="410"/>
    </row>
    <row r="103" spans="1:17" ht="32" x14ac:dyDescent="0.35">
      <c r="A103" s="996" t="s">
        <v>1859</v>
      </c>
      <c r="B103" s="680">
        <v>288.226</v>
      </c>
      <c r="C103" s="680">
        <v>19.228000000000002</v>
      </c>
      <c r="D103" s="680">
        <v>25.15</v>
      </c>
      <c r="E103" s="680">
        <v>0</v>
      </c>
      <c r="F103" s="680">
        <v>0</v>
      </c>
      <c r="G103" s="680">
        <v>332.60399999999998</v>
      </c>
      <c r="H103" s="680">
        <v>321.29986016999999</v>
      </c>
      <c r="I103" s="680">
        <v>19.926000000000002</v>
      </c>
      <c r="J103" s="680">
        <v>34.5</v>
      </c>
      <c r="K103" s="680">
        <v>0</v>
      </c>
      <c r="L103" s="680">
        <v>0</v>
      </c>
      <c r="M103" s="680">
        <v>375.72586017000003</v>
      </c>
      <c r="N103" s="997">
        <v>0.12964925307572986</v>
      </c>
      <c r="O103" s="283"/>
      <c r="P103" s="283"/>
    </row>
    <row r="104" spans="1:17" ht="15" x14ac:dyDescent="0.35">
      <c r="A104" s="281"/>
      <c r="B104" s="283"/>
      <c r="C104" s="283"/>
      <c r="D104" s="283"/>
      <c r="E104" s="283"/>
      <c r="F104" s="283"/>
      <c r="G104" s="283"/>
      <c r="H104" s="283"/>
      <c r="I104" s="283"/>
      <c r="J104" s="283"/>
      <c r="K104" s="283"/>
      <c r="L104" s="283"/>
      <c r="M104" s="283"/>
      <c r="N104" s="283"/>
      <c r="O104" s="283"/>
      <c r="P104" s="283"/>
    </row>
    <row r="105" spans="1:17" x14ac:dyDescent="0.35">
      <c r="G105" s="998"/>
      <c r="M105" s="99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E4FF9-0661-42C8-A8A2-97AE64EB9AEB}">
  <sheetPr filterMode="1">
    <tabColor rgb="FFFFFF00"/>
  </sheetPr>
  <dimension ref="A1:S583"/>
  <sheetViews>
    <sheetView workbookViewId="0">
      <pane xSplit="4" ySplit="1" topLeftCell="I40" activePane="bottomRight" state="frozen"/>
      <selection pane="topRight" activeCell="E1" sqref="E1"/>
      <selection pane="bottomLeft" activeCell="A2" sqref="A2"/>
      <selection pane="bottomRight" activeCell="D50" sqref="D50"/>
    </sheetView>
  </sheetViews>
  <sheetFormatPr defaultColWidth="11.36328125" defaultRowHeight="14.5" x14ac:dyDescent="0.35"/>
  <cols>
    <col min="1" max="1" width="24.6328125" customWidth="1"/>
    <col min="2" max="2" width="26.90625" customWidth="1"/>
    <col min="3" max="3" width="32.90625" customWidth="1"/>
    <col min="4" max="4" width="54.6328125" bestFit="1" customWidth="1"/>
    <col min="5" max="8" width="11.36328125" style="1002"/>
    <col min="9" max="9" width="13.453125" style="1002" customWidth="1"/>
    <col min="10" max="10" width="15.36328125" style="1002" customWidth="1"/>
    <col min="11" max="14" width="11.36328125" style="1002"/>
    <col min="15" max="15" width="13.54296875" style="1002" bestFit="1" customWidth="1"/>
    <col min="16" max="16" width="11.36328125" style="1002"/>
    <col min="17" max="19" width="0" hidden="1" customWidth="1"/>
  </cols>
  <sheetData>
    <row r="1" spans="1:19" s="1001" customFormat="1" ht="124" x14ac:dyDescent="0.35">
      <c r="A1" s="999" t="s">
        <v>1860</v>
      </c>
      <c r="B1" s="999" t="s">
        <v>225</v>
      </c>
      <c r="C1" s="999" t="s">
        <v>226</v>
      </c>
      <c r="D1" s="999" t="s">
        <v>1861</v>
      </c>
      <c r="E1" s="1000" t="s">
        <v>1862</v>
      </c>
      <c r="F1" s="1000" t="s">
        <v>1863</v>
      </c>
      <c r="G1" s="1000" t="s">
        <v>1864</v>
      </c>
      <c r="H1" s="1000" t="s">
        <v>1865</v>
      </c>
      <c r="I1" s="1000" t="s">
        <v>1866</v>
      </c>
      <c r="J1" s="1000" t="s">
        <v>1877</v>
      </c>
      <c r="K1" s="1000" t="s">
        <v>1867</v>
      </c>
      <c r="L1" s="1000" t="s">
        <v>1868</v>
      </c>
      <c r="M1" s="1000" t="s">
        <v>1869</v>
      </c>
      <c r="N1" s="1000" t="s">
        <v>1870</v>
      </c>
      <c r="O1" s="1000" t="s">
        <v>1871</v>
      </c>
      <c r="P1" s="1000" t="s">
        <v>1872</v>
      </c>
      <c r="Q1" s="1003" t="s">
        <v>1876</v>
      </c>
      <c r="R1" s="999" t="s">
        <v>3</v>
      </c>
      <c r="S1" s="999" t="s">
        <v>4</v>
      </c>
    </row>
    <row r="2" spans="1:19" x14ac:dyDescent="0.35">
      <c r="A2" t="s">
        <v>5</v>
      </c>
      <c r="B2" t="s">
        <v>5</v>
      </c>
      <c r="C2" t="s">
        <v>20</v>
      </c>
      <c r="D2" t="s">
        <v>20</v>
      </c>
      <c r="E2" s="1002">
        <v>12419</v>
      </c>
      <c r="F2" s="1002">
        <v>236</v>
      </c>
      <c r="G2" s="1002">
        <v>0</v>
      </c>
      <c r="H2" s="1002">
        <v>0</v>
      </c>
      <c r="I2" s="1002">
        <v>0</v>
      </c>
      <c r="J2" s="1002">
        <v>12655</v>
      </c>
      <c r="K2" s="1002">
        <v>14151.3293008492</v>
      </c>
      <c r="L2" s="1002">
        <v>236</v>
      </c>
      <c r="M2" s="1002">
        <v>0</v>
      </c>
      <c r="N2" s="1002">
        <v>0</v>
      </c>
      <c r="O2" s="1002">
        <v>0</v>
      </c>
      <c r="P2" s="1002">
        <v>14387.3293008492</v>
      </c>
    </row>
    <row r="3" spans="1:19" x14ac:dyDescent="0.35">
      <c r="A3" t="s">
        <v>5</v>
      </c>
      <c r="B3" t="s">
        <v>5</v>
      </c>
      <c r="C3" t="s">
        <v>23</v>
      </c>
      <c r="D3" t="s">
        <v>23</v>
      </c>
      <c r="E3" s="1002">
        <v>1553.9</v>
      </c>
      <c r="F3" s="1002">
        <v>35</v>
      </c>
      <c r="G3" s="1002">
        <v>0</v>
      </c>
      <c r="H3" s="1002">
        <v>0</v>
      </c>
      <c r="I3" s="1002">
        <v>0</v>
      </c>
      <c r="J3" s="1002">
        <v>1588.9</v>
      </c>
      <c r="K3" s="1002">
        <v>1850.2995615048121</v>
      </c>
      <c r="L3" s="1002">
        <v>35</v>
      </c>
      <c r="M3" s="1002">
        <v>0</v>
      </c>
      <c r="N3" s="1002">
        <v>0</v>
      </c>
      <c r="O3" s="1002">
        <v>0</v>
      </c>
      <c r="P3" s="1002">
        <v>1885.2995615048121</v>
      </c>
    </row>
    <row r="4" spans="1:19" x14ac:dyDescent="0.35">
      <c r="A4" t="s">
        <v>5</v>
      </c>
      <c r="B4" t="s">
        <v>5</v>
      </c>
      <c r="C4" t="s">
        <v>25</v>
      </c>
      <c r="D4" t="s">
        <v>26</v>
      </c>
      <c r="E4" s="1002">
        <v>0</v>
      </c>
      <c r="F4" s="1002">
        <v>0</v>
      </c>
      <c r="G4" s="1002">
        <v>840.31499999999994</v>
      </c>
      <c r="H4" s="1002">
        <v>0</v>
      </c>
      <c r="I4" s="1002">
        <v>0</v>
      </c>
      <c r="J4" s="1002">
        <v>840.31499999999994</v>
      </c>
      <c r="K4" s="1002">
        <v>0</v>
      </c>
      <c r="L4" s="1002">
        <v>0</v>
      </c>
      <c r="M4" s="1002">
        <v>1025.0999999999999</v>
      </c>
      <c r="N4" s="1002">
        <v>0</v>
      </c>
      <c r="O4" s="1002">
        <v>0</v>
      </c>
      <c r="P4" s="1002">
        <v>1025.0999999999999</v>
      </c>
    </row>
    <row r="5" spans="1:19" x14ac:dyDescent="0.35">
      <c r="A5" t="s">
        <v>5</v>
      </c>
      <c r="B5" t="s">
        <v>5</v>
      </c>
      <c r="C5" t="s">
        <v>29</v>
      </c>
      <c r="D5" t="s">
        <v>29</v>
      </c>
      <c r="E5" s="1002">
        <v>0</v>
      </c>
      <c r="F5" s="1002">
        <v>0</v>
      </c>
      <c r="G5" s="1002">
        <v>0</v>
      </c>
      <c r="H5" s="1002">
        <v>0</v>
      </c>
      <c r="I5" s="1002">
        <v>0</v>
      </c>
      <c r="J5" s="1002">
        <v>0</v>
      </c>
      <c r="K5" s="1002">
        <v>100</v>
      </c>
      <c r="L5" s="1002">
        <v>0</v>
      </c>
      <c r="M5" s="1002">
        <v>0</v>
      </c>
      <c r="N5" s="1002">
        <v>0</v>
      </c>
      <c r="O5" s="1002">
        <v>0</v>
      </c>
      <c r="P5" s="1002">
        <v>100</v>
      </c>
    </row>
    <row r="6" spans="1:19" x14ac:dyDescent="0.35">
      <c r="A6" t="s">
        <v>5</v>
      </c>
      <c r="B6" t="s">
        <v>5</v>
      </c>
      <c r="C6" t="s">
        <v>33</v>
      </c>
      <c r="D6" t="s">
        <v>33</v>
      </c>
      <c r="E6" s="1002">
        <v>1043.0531109999999</v>
      </c>
      <c r="F6" s="1002">
        <v>0</v>
      </c>
      <c r="G6" s="1002">
        <v>0</v>
      </c>
      <c r="H6" s="1002">
        <v>0</v>
      </c>
      <c r="I6" s="1002">
        <v>0</v>
      </c>
      <c r="J6" s="1002">
        <v>1043.0531109999999</v>
      </c>
      <c r="K6" s="1002">
        <v>1116.6531109999999</v>
      </c>
      <c r="L6" s="1002">
        <v>0</v>
      </c>
      <c r="M6" s="1002">
        <v>0</v>
      </c>
      <c r="N6" s="1002">
        <v>0</v>
      </c>
      <c r="O6" s="1002">
        <v>0</v>
      </c>
      <c r="P6" s="1002">
        <v>1116.6531109999999</v>
      </c>
    </row>
    <row r="7" spans="1:19" x14ac:dyDescent="0.35">
      <c r="A7" t="s">
        <v>5</v>
      </c>
      <c r="B7" t="s">
        <v>5</v>
      </c>
      <c r="C7" t="s">
        <v>33</v>
      </c>
      <c r="D7" t="s">
        <v>35</v>
      </c>
      <c r="E7" s="1002">
        <v>220.89130000000006</v>
      </c>
      <c r="F7" s="1002">
        <v>0</v>
      </c>
      <c r="G7" s="1002">
        <v>0</v>
      </c>
      <c r="H7" s="1002">
        <v>0</v>
      </c>
      <c r="I7" s="1002">
        <v>0</v>
      </c>
      <c r="J7" s="1002">
        <v>220.89130000000006</v>
      </c>
      <c r="K7" s="1002">
        <v>221.96130000000005</v>
      </c>
      <c r="L7" s="1002">
        <v>0</v>
      </c>
      <c r="M7" s="1002">
        <v>0</v>
      </c>
      <c r="N7" s="1002">
        <v>0</v>
      </c>
      <c r="O7" s="1002">
        <v>0</v>
      </c>
      <c r="P7" s="1002">
        <v>221.96130000000005</v>
      </c>
    </row>
    <row r="8" spans="1:19" x14ac:dyDescent="0.35">
      <c r="A8" t="s">
        <v>5</v>
      </c>
      <c r="B8" t="s">
        <v>5</v>
      </c>
      <c r="C8" t="s">
        <v>33</v>
      </c>
      <c r="D8" t="s">
        <v>38</v>
      </c>
      <c r="E8" s="1002">
        <v>5.9272</v>
      </c>
      <c r="F8" s="1002">
        <v>0</v>
      </c>
      <c r="G8" s="1002">
        <v>0</v>
      </c>
      <c r="H8" s="1002">
        <v>0</v>
      </c>
      <c r="I8" s="1002">
        <v>0</v>
      </c>
      <c r="J8" s="1002">
        <v>5.9272</v>
      </c>
      <c r="K8" s="1002">
        <v>5.9942000000000011</v>
      </c>
      <c r="L8" s="1002">
        <v>0</v>
      </c>
      <c r="M8" s="1002">
        <v>0</v>
      </c>
      <c r="N8" s="1002">
        <v>0</v>
      </c>
      <c r="O8" s="1002">
        <v>0</v>
      </c>
      <c r="P8" s="1002">
        <v>5.9942000000000011</v>
      </c>
    </row>
    <row r="9" spans="1:19" x14ac:dyDescent="0.35">
      <c r="A9" t="s">
        <v>5</v>
      </c>
      <c r="B9" t="s">
        <v>5</v>
      </c>
      <c r="C9" t="s">
        <v>41</v>
      </c>
      <c r="D9" t="s">
        <v>41</v>
      </c>
      <c r="E9" s="1002">
        <v>224.018</v>
      </c>
      <c r="F9" s="1002">
        <v>0</v>
      </c>
      <c r="G9" s="1002">
        <v>0</v>
      </c>
      <c r="H9" s="1002">
        <v>0</v>
      </c>
      <c r="I9" s="1002">
        <v>0</v>
      </c>
      <c r="J9" s="1002">
        <v>224.018</v>
      </c>
      <c r="K9" s="1002">
        <v>237.44199999999998</v>
      </c>
      <c r="L9" s="1002">
        <v>0</v>
      </c>
      <c r="M9" s="1002">
        <v>0</v>
      </c>
      <c r="N9" s="1002">
        <v>0</v>
      </c>
      <c r="O9" s="1002">
        <v>0</v>
      </c>
      <c r="P9" s="1002">
        <v>237.44199999999998</v>
      </c>
    </row>
    <row r="10" spans="1:19" x14ac:dyDescent="0.35">
      <c r="A10" t="s">
        <v>5</v>
      </c>
      <c r="B10" t="s">
        <v>5</v>
      </c>
      <c r="C10" t="s">
        <v>41</v>
      </c>
      <c r="D10" t="s">
        <v>38</v>
      </c>
      <c r="E10" s="1002">
        <v>17.03036225</v>
      </c>
      <c r="F10" s="1002">
        <v>0</v>
      </c>
      <c r="G10" s="1002">
        <v>0</v>
      </c>
      <c r="H10" s="1002">
        <v>0</v>
      </c>
      <c r="I10" s="1002">
        <v>0</v>
      </c>
      <c r="J10" s="1002">
        <v>17.03036225</v>
      </c>
      <c r="K10" s="1002">
        <v>14.213492</v>
      </c>
      <c r="L10" s="1002">
        <v>0</v>
      </c>
      <c r="M10" s="1002">
        <v>0</v>
      </c>
      <c r="N10" s="1002">
        <v>0</v>
      </c>
      <c r="O10" s="1002">
        <v>0</v>
      </c>
      <c r="P10" s="1002">
        <v>14.213492</v>
      </c>
    </row>
    <row r="11" spans="1:19" x14ac:dyDescent="0.35">
      <c r="A11" t="s">
        <v>5</v>
      </c>
      <c r="B11" t="s">
        <v>5</v>
      </c>
      <c r="C11" t="s">
        <v>47</v>
      </c>
      <c r="D11" t="s">
        <v>47</v>
      </c>
      <c r="E11" s="1002">
        <v>447.21015700000004</v>
      </c>
      <c r="F11" s="1002">
        <v>0</v>
      </c>
      <c r="G11" s="1002">
        <v>0</v>
      </c>
      <c r="H11" s="1002">
        <v>0</v>
      </c>
      <c r="I11" s="1002">
        <v>0</v>
      </c>
      <c r="J11" s="1002">
        <v>447.21015700000004</v>
      </c>
      <c r="K11" s="1002">
        <v>512.440157</v>
      </c>
      <c r="L11" s="1002">
        <v>0</v>
      </c>
      <c r="M11" s="1002">
        <v>0</v>
      </c>
      <c r="N11" s="1002">
        <v>0</v>
      </c>
      <c r="O11" s="1002">
        <v>0</v>
      </c>
      <c r="P11" s="1002">
        <v>512.440157</v>
      </c>
    </row>
    <row r="12" spans="1:19" x14ac:dyDescent="0.35">
      <c r="A12" t="s">
        <v>5</v>
      </c>
      <c r="B12" t="s">
        <v>5</v>
      </c>
      <c r="C12" t="s">
        <v>47</v>
      </c>
      <c r="D12" t="s">
        <v>49</v>
      </c>
      <c r="E12" s="1002">
        <v>0</v>
      </c>
      <c r="F12" s="1002">
        <v>0</v>
      </c>
      <c r="G12" s="1002">
        <v>0</v>
      </c>
      <c r="H12" s="1002">
        <v>0</v>
      </c>
      <c r="I12" s="1002">
        <v>0</v>
      </c>
      <c r="J12" s="1002">
        <v>0</v>
      </c>
      <c r="K12" s="1002">
        <v>0</v>
      </c>
      <c r="L12" s="1002">
        <v>0</v>
      </c>
      <c r="M12" s="1002">
        <v>0</v>
      </c>
      <c r="N12" s="1002">
        <v>0</v>
      </c>
      <c r="O12" s="1002">
        <v>0</v>
      </c>
      <c r="P12" s="1002">
        <v>0</v>
      </c>
    </row>
    <row r="13" spans="1:19" x14ac:dyDescent="0.35">
      <c r="A13" t="s">
        <v>5</v>
      </c>
      <c r="B13" t="s">
        <v>5</v>
      </c>
      <c r="C13" t="s">
        <v>51</v>
      </c>
      <c r="D13" t="s">
        <v>51</v>
      </c>
      <c r="E13" s="1002">
        <v>127.53040500000002</v>
      </c>
      <c r="F13" s="1002">
        <v>0</v>
      </c>
      <c r="G13" s="1002">
        <v>0</v>
      </c>
      <c r="H13" s="1002">
        <v>0</v>
      </c>
      <c r="I13" s="1002">
        <v>0</v>
      </c>
      <c r="J13" s="1002">
        <v>127.53040500000002</v>
      </c>
      <c r="K13" s="1002">
        <v>139.94540499999999</v>
      </c>
      <c r="L13" s="1002">
        <v>0</v>
      </c>
      <c r="M13" s="1002">
        <v>0</v>
      </c>
      <c r="N13" s="1002">
        <v>0</v>
      </c>
      <c r="O13" s="1002">
        <v>0</v>
      </c>
      <c r="P13" s="1002">
        <v>139.94540499999999</v>
      </c>
    </row>
    <row r="14" spans="1:19" x14ac:dyDescent="0.35">
      <c r="A14" t="s">
        <v>5</v>
      </c>
      <c r="B14" t="s">
        <v>5</v>
      </c>
      <c r="C14" t="s">
        <v>53</v>
      </c>
      <c r="D14" t="s">
        <v>53</v>
      </c>
      <c r="E14" s="1002">
        <v>170.29000000000002</v>
      </c>
      <c r="F14" s="1002">
        <v>0</v>
      </c>
      <c r="G14" s="1002">
        <v>0</v>
      </c>
      <c r="H14" s="1002">
        <v>0</v>
      </c>
      <c r="I14" s="1002">
        <v>0</v>
      </c>
      <c r="J14" s="1002">
        <v>170.29000000000002</v>
      </c>
      <c r="K14" s="1002">
        <v>172.434</v>
      </c>
      <c r="L14" s="1002">
        <v>0</v>
      </c>
      <c r="M14" s="1002">
        <v>0</v>
      </c>
      <c r="N14" s="1002">
        <v>0</v>
      </c>
      <c r="O14" s="1002">
        <v>0</v>
      </c>
      <c r="P14" s="1002">
        <v>172.434</v>
      </c>
    </row>
    <row r="15" spans="1:19" x14ac:dyDescent="0.35">
      <c r="A15" t="s">
        <v>5</v>
      </c>
      <c r="B15" t="s">
        <v>5</v>
      </c>
      <c r="C15" t="s">
        <v>53</v>
      </c>
      <c r="D15" t="s">
        <v>55</v>
      </c>
      <c r="E15" s="1002">
        <v>54.52</v>
      </c>
      <c r="F15" s="1002">
        <v>0</v>
      </c>
      <c r="G15" s="1002">
        <v>0</v>
      </c>
      <c r="H15" s="1002">
        <v>0</v>
      </c>
      <c r="I15" s="1002">
        <v>0</v>
      </c>
      <c r="J15" s="1002">
        <v>54.52</v>
      </c>
      <c r="K15" s="1002">
        <v>55.210000000000008</v>
      </c>
      <c r="L15" s="1002">
        <v>0</v>
      </c>
      <c r="M15" s="1002">
        <v>0</v>
      </c>
      <c r="N15" s="1002">
        <v>0</v>
      </c>
      <c r="O15" s="1002">
        <v>0</v>
      </c>
      <c r="P15" s="1002">
        <v>55.210000000000008</v>
      </c>
    </row>
    <row r="16" spans="1:19" x14ac:dyDescent="0.35">
      <c r="A16" t="s">
        <v>5</v>
      </c>
      <c r="B16" t="s">
        <v>5</v>
      </c>
      <c r="C16" t="s">
        <v>53</v>
      </c>
      <c r="D16" t="s">
        <v>56</v>
      </c>
      <c r="E16" s="1002">
        <v>30.814</v>
      </c>
      <c r="F16" s="1002">
        <v>0</v>
      </c>
      <c r="G16" s="1002">
        <v>0</v>
      </c>
      <c r="H16" s="1002">
        <v>0</v>
      </c>
      <c r="I16" s="1002">
        <v>0</v>
      </c>
      <c r="J16" s="1002">
        <v>30.814</v>
      </c>
      <c r="K16" s="1002">
        <v>31.215</v>
      </c>
      <c r="L16" s="1002">
        <v>0</v>
      </c>
      <c r="M16" s="1002">
        <v>0</v>
      </c>
      <c r="N16" s="1002">
        <v>0</v>
      </c>
      <c r="O16" s="1002">
        <v>0</v>
      </c>
      <c r="P16" s="1002">
        <v>31.215</v>
      </c>
    </row>
    <row r="17" spans="1:16" x14ac:dyDescent="0.35">
      <c r="A17" t="s">
        <v>5</v>
      </c>
      <c r="B17" t="s">
        <v>5</v>
      </c>
      <c r="C17" t="s">
        <v>53</v>
      </c>
      <c r="D17" t="s">
        <v>38</v>
      </c>
      <c r="E17" s="1002">
        <v>11.621325000000001</v>
      </c>
      <c r="F17" s="1002">
        <v>0</v>
      </c>
      <c r="G17" s="1002">
        <v>0</v>
      </c>
      <c r="H17" s="1002">
        <v>0</v>
      </c>
      <c r="I17" s="1002">
        <v>0</v>
      </c>
      <c r="J17" s="1002">
        <v>11.621325000000001</v>
      </c>
      <c r="K17" s="1002">
        <v>11.621325000000001</v>
      </c>
      <c r="L17" s="1002">
        <v>0</v>
      </c>
      <c r="M17" s="1002">
        <v>0</v>
      </c>
      <c r="N17" s="1002">
        <v>0</v>
      </c>
      <c r="O17" s="1002">
        <v>0</v>
      </c>
      <c r="P17" s="1002">
        <v>11.621325000000001</v>
      </c>
    </row>
    <row r="18" spans="1:16" x14ac:dyDescent="0.35">
      <c r="A18" t="s">
        <v>5</v>
      </c>
      <c r="B18" t="s">
        <v>5</v>
      </c>
      <c r="C18" t="s">
        <v>61</v>
      </c>
      <c r="D18" t="s">
        <v>61</v>
      </c>
      <c r="E18" s="1002">
        <v>4.6000000000390173E-4</v>
      </c>
      <c r="F18" s="1002">
        <v>0</v>
      </c>
      <c r="G18" s="1002">
        <v>0</v>
      </c>
      <c r="H18" s="1002">
        <v>0</v>
      </c>
      <c r="I18" s="1002">
        <v>0</v>
      </c>
      <c r="J18" s="1002">
        <v>4.6000000000390173E-4</v>
      </c>
      <c r="K18" s="1002">
        <v>0</v>
      </c>
      <c r="L18" s="1002">
        <v>0</v>
      </c>
      <c r="M18" s="1002">
        <v>0</v>
      </c>
      <c r="N18" s="1002">
        <v>0</v>
      </c>
      <c r="O18" s="1002">
        <v>0</v>
      </c>
      <c r="P18" s="1002">
        <v>0</v>
      </c>
    </row>
    <row r="19" spans="1:16" x14ac:dyDescent="0.35">
      <c r="A19" t="s">
        <v>5</v>
      </c>
      <c r="B19" t="s">
        <v>5</v>
      </c>
      <c r="C19" t="s">
        <v>62</v>
      </c>
      <c r="D19" t="s">
        <v>63</v>
      </c>
      <c r="E19" s="1002">
        <v>3.9999999999999996</v>
      </c>
      <c r="F19" s="1002">
        <v>0</v>
      </c>
      <c r="G19" s="1002">
        <v>0</v>
      </c>
      <c r="H19" s="1002">
        <v>0</v>
      </c>
      <c r="I19" s="1002">
        <v>0</v>
      </c>
      <c r="J19" s="1002">
        <v>3.9999999999999996</v>
      </c>
      <c r="K19" s="1002">
        <v>3.6999999999999997</v>
      </c>
      <c r="L19" s="1002">
        <v>0</v>
      </c>
      <c r="M19" s="1002">
        <v>0</v>
      </c>
      <c r="N19" s="1002">
        <v>0</v>
      </c>
      <c r="O19" s="1002">
        <v>0</v>
      </c>
      <c r="P19" s="1002">
        <v>3.6999999999999997</v>
      </c>
    </row>
    <row r="20" spans="1:16" x14ac:dyDescent="0.35">
      <c r="A20" t="s">
        <v>5</v>
      </c>
      <c r="B20" t="s">
        <v>5</v>
      </c>
      <c r="C20" t="s">
        <v>62</v>
      </c>
      <c r="D20" t="s">
        <v>66</v>
      </c>
      <c r="E20" s="1002">
        <v>2.0071319999999995</v>
      </c>
      <c r="F20" s="1002">
        <v>0</v>
      </c>
      <c r="G20" s="1002">
        <v>0</v>
      </c>
      <c r="H20" s="1002">
        <v>0</v>
      </c>
      <c r="I20" s="1002">
        <v>0</v>
      </c>
      <c r="J20" s="1002">
        <v>2.0071319999999995</v>
      </c>
      <c r="K20" s="1002">
        <v>6.1171319999999998</v>
      </c>
      <c r="L20" s="1002">
        <v>0</v>
      </c>
      <c r="M20" s="1002">
        <v>0</v>
      </c>
      <c r="N20" s="1002">
        <v>0</v>
      </c>
      <c r="O20" s="1002">
        <v>0</v>
      </c>
      <c r="P20" s="1002">
        <v>6.1171319999999998</v>
      </c>
    </row>
    <row r="21" spans="1:16" x14ac:dyDescent="0.35">
      <c r="A21" t="s">
        <v>5</v>
      </c>
      <c r="B21" t="s">
        <v>5</v>
      </c>
      <c r="C21" t="s">
        <v>62</v>
      </c>
      <c r="D21" t="s">
        <v>69</v>
      </c>
      <c r="E21" s="1002">
        <v>8.2999999999999989</v>
      </c>
      <c r="F21" s="1002">
        <v>0</v>
      </c>
      <c r="G21" s="1002">
        <v>0</v>
      </c>
      <c r="H21" s="1002">
        <v>0</v>
      </c>
      <c r="I21" s="1002">
        <v>0</v>
      </c>
      <c r="J21" s="1002">
        <v>8.2999999999999989</v>
      </c>
      <c r="K21" s="1002">
        <v>9.4529999999999976</v>
      </c>
      <c r="L21" s="1002">
        <v>0</v>
      </c>
      <c r="M21" s="1002">
        <v>0</v>
      </c>
      <c r="N21" s="1002">
        <v>0</v>
      </c>
      <c r="O21" s="1002">
        <v>0</v>
      </c>
      <c r="P21" s="1002">
        <v>9.4529999999999976</v>
      </c>
    </row>
    <row r="22" spans="1:16" x14ac:dyDescent="0.35">
      <c r="A22" t="s">
        <v>5</v>
      </c>
      <c r="B22" t="s">
        <v>5</v>
      </c>
      <c r="C22" t="s">
        <v>62</v>
      </c>
      <c r="D22" t="s">
        <v>72</v>
      </c>
      <c r="E22" s="1002">
        <v>11.132999999999999</v>
      </c>
      <c r="F22" s="1002">
        <v>0</v>
      </c>
      <c r="G22" s="1002">
        <v>0</v>
      </c>
      <c r="H22" s="1002">
        <v>0</v>
      </c>
      <c r="I22" s="1002">
        <v>0</v>
      </c>
      <c r="J22" s="1002">
        <v>11.132999999999999</v>
      </c>
      <c r="K22" s="1002">
        <v>11.132999999999999</v>
      </c>
      <c r="L22" s="1002">
        <v>0</v>
      </c>
      <c r="M22" s="1002">
        <v>0</v>
      </c>
      <c r="N22" s="1002">
        <v>0</v>
      </c>
      <c r="O22" s="1002">
        <v>0</v>
      </c>
      <c r="P22" s="1002">
        <v>11.132999999999999</v>
      </c>
    </row>
    <row r="23" spans="1:16" x14ac:dyDescent="0.35">
      <c r="A23" t="s">
        <v>5</v>
      </c>
      <c r="B23" t="s">
        <v>5</v>
      </c>
      <c r="C23" t="s">
        <v>62</v>
      </c>
      <c r="D23" t="s">
        <v>75</v>
      </c>
      <c r="E23" s="1002">
        <v>118.81700000000001</v>
      </c>
      <c r="F23" s="1002">
        <v>0</v>
      </c>
      <c r="G23" s="1002">
        <v>0</v>
      </c>
      <c r="H23" s="1002">
        <v>0</v>
      </c>
      <c r="I23" s="1002">
        <v>0</v>
      </c>
      <c r="J23" s="1002">
        <v>118.81700000000001</v>
      </c>
      <c r="K23" s="1002">
        <v>117.83600000000001</v>
      </c>
      <c r="L23" s="1002">
        <v>0</v>
      </c>
      <c r="M23" s="1002">
        <v>0</v>
      </c>
      <c r="N23" s="1002">
        <v>0</v>
      </c>
      <c r="O23" s="1002">
        <v>0</v>
      </c>
      <c r="P23" s="1002">
        <v>117.83600000000001</v>
      </c>
    </row>
    <row r="24" spans="1:16" x14ac:dyDescent="0.35">
      <c r="A24" t="s">
        <v>5</v>
      </c>
      <c r="B24" t="s">
        <v>5</v>
      </c>
      <c r="C24" t="s">
        <v>62</v>
      </c>
      <c r="D24" t="s">
        <v>77</v>
      </c>
      <c r="E24" s="1002">
        <v>10</v>
      </c>
      <c r="F24" s="1002">
        <v>0</v>
      </c>
      <c r="G24" s="1002">
        <v>0</v>
      </c>
      <c r="H24" s="1002">
        <v>0</v>
      </c>
      <c r="I24" s="1002">
        <v>0</v>
      </c>
      <c r="J24" s="1002">
        <v>10</v>
      </c>
      <c r="K24" s="1002">
        <v>10</v>
      </c>
      <c r="L24" s="1002">
        <v>0</v>
      </c>
      <c r="M24" s="1002">
        <v>0</v>
      </c>
      <c r="N24" s="1002">
        <v>0</v>
      </c>
      <c r="O24" s="1002">
        <v>0</v>
      </c>
      <c r="P24" s="1002">
        <v>10</v>
      </c>
    </row>
    <row r="25" spans="1:16" x14ac:dyDescent="0.35">
      <c r="A25" t="s">
        <v>5</v>
      </c>
      <c r="B25" t="s">
        <v>5</v>
      </c>
      <c r="C25" t="s">
        <v>62</v>
      </c>
      <c r="D25" t="s">
        <v>79</v>
      </c>
      <c r="E25" s="1002">
        <v>50.382488999999993</v>
      </c>
      <c r="F25" s="1002">
        <v>0</v>
      </c>
      <c r="G25" s="1002">
        <v>0</v>
      </c>
      <c r="H25" s="1002">
        <v>0</v>
      </c>
      <c r="I25" s="1002">
        <v>0</v>
      </c>
      <c r="J25" s="1002">
        <v>50.382488999999993</v>
      </c>
      <c r="K25" s="1002">
        <v>109.36748899999999</v>
      </c>
      <c r="L25" s="1002">
        <v>0</v>
      </c>
      <c r="M25" s="1002">
        <v>0</v>
      </c>
      <c r="N25" s="1002">
        <v>0</v>
      </c>
      <c r="O25" s="1002">
        <v>0</v>
      </c>
      <c r="P25" s="1002">
        <v>109.36748899999999</v>
      </c>
    </row>
    <row r="26" spans="1:16" x14ac:dyDescent="0.35">
      <c r="A26" t="s">
        <v>5</v>
      </c>
      <c r="B26" t="s">
        <v>5</v>
      </c>
      <c r="C26" t="s">
        <v>62</v>
      </c>
      <c r="D26" t="s">
        <v>82</v>
      </c>
      <c r="E26" s="1002">
        <v>9.7254879999999986</v>
      </c>
      <c r="F26" s="1002">
        <v>0</v>
      </c>
      <c r="G26" s="1002">
        <v>0</v>
      </c>
      <c r="H26" s="1002">
        <v>0</v>
      </c>
      <c r="I26" s="1002">
        <v>0</v>
      </c>
      <c r="J26" s="1002">
        <v>9.7254879999999986</v>
      </c>
      <c r="K26" s="1002">
        <v>11.119488</v>
      </c>
      <c r="L26" s="1002">
        <v>0</v>
      </c>
      <c r="M26" s="1002">
        <v>0</v>
      </c>
      <c r="N26" s="1002">
        <v>0</v>
      </c>
      <c r="O26" s="1002">
        <v>0</v>
      </c>
      <c r="P26" s="1002">
        <v>11.119488</v>
      </c>
    </row>
    <row r="27" spans="1:16" x14ac:dyDescent="0.35">
      <c r="A27" t="s">
        <v>5</v>
      </c>
      <c r="B27" t="s">
        <v>5</v>
      </c>
      <c r="C27" t="s">
        <v>62</v>
      </c>
      <c r="D27" t="s">
        <v>84</v>
      </c>
      <c r="E27" s="1002">
        <v>40.584571999999994</v>
      </c>
      <c r="F27" s="1002">
        <v>0</v>
      </c>
      <c r="G27" s="1002">
        <v>0</v>
      </c>
      <c r="H27" s="1002">
        <v>0</v>
      </c>
      <c r="I27" s="1002">
        <v>0</v>
      </c>
      <c r="J27" s="1002">
        <v>40.584571999999994</v>
      </c>
      <c r="K27" s="1002">
        <v>58.331730999999998</v>
      </c>
      <c r="L27" s="1002">
        <v>0</v>
      </c>
      <c r="M27" s="1002">
        <v>0</v>
      </c>
      <c r="N27" s="1002">
        <v>0</v>
      </c>
      <c r="O27" s="1002">
        <v>0</v>
      </c>
      <c r="P27" s="1002">
        <v>58.331730999999998</v>
      </c>
    </row>
    <row r="28" spans="1:16" x14ac:dyDescent="0.35">
      <c r="A28" t="s">
        <v>5</v>
      </c>
      <c r="B28" t="s">
        <v>5</v>
      </c>
      <c r="C28" t="s">
        <v>62</v>
      </c>
      <c r="D28" t="s">
        <v>87</v>
      </c>
      <c r="E28" s="1002">
        <v>60.654000000000003</v>
      </c>
      <c r="F28" s="1002">
        <v>0</v>
      </c>
      <c r="G28" s="1002">
        <v>0</v>
      </c>
      <c r="H28" s="1002">
        <v>0</v>
      </c>
      <c r="I28" s="1002">
        <v>0</v>
      </c>
      <c r="J28" s="1002">
        <v>60.654000000000003</v>
      </c>
      <c r="K28" s="1002">
        <v>74.692000000000007</v>
      </c>
      <c r="L28" s="1002">
        <v>0</v>
      </c>
      <c r="M28" s="1002">
        <v>0</v>
      </c>
      <c r="N28" s="1002">
        <v>0</v>
      </c>
      <c r="O28" s="1002">
        <v>0</v>
      </c>
      <c r="P28" s="1002">
        <v>74.692000000000007</v>
      </c>
    </row>
    <row r="29" spans="1:16" x14ac:dyDescent="0.35">
      <c r="A29" t="s">
        <v>5</v>
      </c>
      <c r="B29" t="s">
        <v>5</v>
      </c>
      <c r="C29" t="s">
        <v>62</v>
      </c>
      <c r="D29" t="s">
        <v>90</v>
      </c>
      <c r="E29" s="1002">
        <v>3.5439999999999996</v>
      </c>
      <c r="F29" s="1002">
        <v>0</v>
      </c>
      <c r="G29" s="1002">
        <v>0</v>
      </c>
      <c r="H29" s="1002">
        <v>0</v>
      </c>
      <c r="I29" s="1002">
        <v>0</v>
      </c>
      <c r="J29" s="1002">
        <v>3.5439999999999996</v>
      </c>
      <c r="K29" s="1002">
        <v>3.7097889999999998</v>
      </c>
      <c r="L29" s="1002">
        <v>0</v>
      </c>
      <c r="M29" s="1002">
        <v>0</v>
      </c>
      <c r="N29" s="1002">
        <v>0</v>
      </c>
      <c r="O29" s="1002">
        <v>0</v>
      </c>
      <c r="P29" s="1002">
        <v>3.7097889999999998</v>
      </c>
    </row>
    <row r="30" spans="1:16" x14ac:dyDescent="0.35">
      <c r="A30" t="s">
        <v>5</v>
      </c>
      <c r="B30" t="s">
        <v>5</v>
      </c>
      <c r="C30" t="s">
        <v>62</v>
      </c>
      <c r="D30" t="s">
        <v>93</v>
      </c>
      <c r="E30" s="1002">
        <v>2.2360000000000002</v>
      </c>
      <c r="F30" s="1002">
        <v>0</v>
      </c>
      <c r="G30" s="1002">
        <v>0</v>
      </c>
      <c r="H30" s="1002">
        <v>0</v>
      </c>
      <c r="I30" s="1002">
        <v>0</v>
      </c>
      <c r="J30" s="1002">
        <v>2.2360000000000002</v>
      </c>
      <c r="K30" s="1002">
        <v>2.2360000000000002</v>
      </c>
      <c r="L30" s="1002">
        <v>0</v>
      </c>
      <c r="M30" s="1002">
        <v>0</v>
      </c>
      <c r="N30" s="1002">
        <v>0</v>
      </c>
      <c r="O30" s="1002">
        <v>0</v>
      </c>
      <c r="P30" s="1002">
        <v>2.2360000000000002</v>
      </c>
    </row>
    <row r="31" spans="1:16" x14ac:dyDescent="0.35">
      <c r="A31" t="s">
        <v>5</v>
      </c>
      <c r="B31" t="s">
        <v>5</v>
      </c>
      <c r="C31" t="s">
        <v>62</v>
      </c>
      <c r="D31" t="s">
        <v>38</v>
      </c>
      <c r="E31" s="1002">
        <v>22.892380249999999</v>
      </c>
      <c r="F31" s="1002">
        <v>0</v>
      </c>
      <c r="G31" s="1002">
        <v>0</v>
      </c>
      <c r="H31" s="1002">
        <v>0</v>
      </c>
      <c r="I31" s="1002">
        <v>0</v>
      </c>
      <c r="J31" s="1002">
        <v>22.892380249999999</v>
      </c>
      <c r="K31" s="1002">
        <v>26.16938025</v>
      </c>
      <c r="L31" s="1002">
        <v>0</v>
      </c>
      <c r="M31" s="1002">
        <v>0</v>
      </c>
      <c r="N31" s="1002">
        <v>0</v>
      </c>
      <c r="O31" s="1002">
        <v>0</v>
      </c>
      <c r="P31" s="1002">
        <v>26.16938025</v>
      </c>
    </row>
    <row r="32" spans="1:16" x14ac:dyDescent="0.35">
      <c r="A32" t="s">
        <v>5</v>
      </c>
      <c r="B32" t="s">
        <v>5</v>
      </c>
      <c r="C32" t="s">
        <v>97</v>
      </c>
      <c r="D32" t="s">
        <v>98</v>
      </c>
      <c r="E32" s="1002">
        <v>38.004452000000001</v>
      </c>
      <c r="F32" s="1002">
        <v>0</v>
      </c>
      <c r="G32" s="1002">
        <v>0</v>
      </c>
      <c r="H32" s="1002">
        <v>0</v>
      </c>
      <c r="I32" s="1002">
        <v>0</v>
      </c>
      <c r="J32" s="1002">
        <v>38.004452000000001</v>
      </c>
      <c r="K32" s="1002">
        <v>38.004452000000001</v>
      </c>
      <c r="L32" s="1002">
        <v>0</v>
      </c>
      <c r="M32" s="1002">
        <v>0</v>
      </c>
      <c r="N32" s="1002">
        <v>0</v>
      </c>
      <c r="O32" s="1002">
        <v>0</v>
      </c>
      <c r="P32" s="1002">
        <v>38.004452000000001</v>
      </c>
    </row>
    <row r="33" spans="1:16" x14ac:dyDescent="0.35">
      <c r="A33" t="s">
        <v>5</v>
      </c>
      <c r="B33" t="s">
        <v>5</v>
      </c>
      <c r="C33" t="s">
        <v>97</v>
      </c>
      <c r="D33" t="s">
        <v>100</v>
      </c>
      <c r="E33" s="1002">
        <v>10.48653</v>
      </c>
      <c r="F33" s="1002">
        <v>0</v>
      </c>
      <c r="G33" s="1002">
        <v>0</v>
      </c>
      <c r="H33" s="1002">
        <v>0</v>
      </c>
      <c r="I33" s="1002">
        <v>0</v>
      </c>
      <c r="J33" s="1002">
        <v>10.48653</v>
      </c>
      <c r="K33" s="1002">
        <v>10.48653</v>
      </c>
      <c r="L33" s="1002">
        <v>0</v>
      </c>
      <c r="M33" s="1002">
        <v>0</v>
      </c>
      <c r="N33" s="1002">
        <v>0</v>
      </c>
      <c r="O33" s="1002">
        <v>0</v>
      </c>
      <c r="P33" s="1002">
        <v>10.48653</v>
      </c>
    </row>
    <row r="34" spans="1:16" x14ac:dyDescent="0.35">
      <c r="A34" t="s">
        <v>5</v>
      </c>
      <c r="B34" t="s">
        <v>5</v>
      </c>
      <c r="C34" t="s">
        <v>97</v>
      </c>
      <c r="D34" t="s">
        <v>102</v>
      </c>
      <c r="E34" s="1002">
        <v>8.6649150000000006</v>
      </c>
      <c r="F34" s="1002">
        <v>0</v>
      </c>
      <c r="G34" s="1002">
        <v>0</v>
      </c>
      <c r="H34" s="1002">
        <v>0</v>
      </c>
      <c r="I34" s="1002">
        <v>0</v>
      </c>
      <c r="J34" s="1002">
        <v>8.6649150000000006</v>
      </c>
      <c r="K34" s="1002">
        <v>8.9349150000000002</v>
      </c>
      <c r="L34" s="1002">
        <v>0</v>
      </c>
      <c r="M34" s="1002">
        <v>0</v>
      </c>
      <c r="N34" s="1002">
        <v>0</v>
      </c>
      <c r="O34" s="1002">
        <v>0</v>
      </c>
      <c r="P34" s="1002">
        <v>8.9349150000000002</v>
      </c>
    </row>
    <row r="35" spans="1:16" x14ac:dyDescent="0.35">
      <c r="A35" t="s">
        <v>5</v>
      </c>
      <c r="B35" t="s">
        <v>5</v>
      </c>
      <c r="C35" t="s">
        <v>97</v>
      </c>
      <c r="D35" t="s">
        <v>104</v>
      </c>
      <c r="E35" s="1002">
        <v>3.1</v>
      </c>
      <c r="F35" s="1002">
        <v>0</v>
      </c>
      <c r="G35" s="1002">
        <v>0</v>
      </c>
      <c r="H35" s="1002">
        <v>0</v>
      </c>
      <c r="I35" s="1002">
        <v>0</v>
      </c>
      <c r="J35" s="1002">
        <v>3.1</v>
      </c>
      <c r="K35" s="1002">
        <v>3.1</v>
      </c>
      <c r="L35" s="1002">
        <v>0</v>
      </c>
      <c r="M35" s="1002">
        <v>0</v>
      </c>
      <c r="N35" s="1002">
        <v>0</v>
      </c>
      <c r="O35" s="1002">
        <v>0</v>
      </c>
      <c r="P35" s="1002">
        <v>3.1</v>
      </c>
    </row>
    <row r="36" spans="1:16" x14ac:dyDescent="0.35">
      <c r="A36" t="s">
        <v>5</v>
      </c>
      <c r="B36" t="s">
        <v>5</v>
      </c>
      <c r="C36" t="s">
        <v>97</v>
      </c>
      <c r="D36" t="s">
        <v>106</v>
      </c>
      <c r="E36" s="1002">
        <v>1.9</v>
      </c>
      <c r="F36" s="1002">
        <v>0</v>
      </c>
      <c r="G36" s="1002">
        <v>0</v>
      </c>
      <c r="H36" s="1002">
        <v>0</v>
      </c>
      <c r="I36" s="1002">
        <v>0</v>
      </c>
      <c r="J36" s="1002">
        <v>1.9</v>
      </c>
      <c r="K36" s="1002">
        <v>2</v>
      </c>
      <c r="L36" s="1002">
        <v>0</v>
      </c>
      <c r="M36" s="1002">
        <v>0</v>
      </c>
      <c r="N36" s="1002">
        <v>0</v>
      </c>
      <c r="O36" s="1002">
        <v>0</v>
      </c>
      <c r="P36" s="1002">
        <v>2</v>
      </c>
    </row>
    <row r="37" spans="1:16" x14ac:dyDescent="0.35">
      <c r="A37" t="s">
        <v>5</v>
      </c>
      <c r="B37" t="s">
        <v>5</v>
      </c>
      <c r="C37" t="s">
        <v>97</v>
      </c>
      <c r="D37" t="s">
        <v>109</v>
      </c>
      <c r="E37" s="1002">
        <v>1.4310000000000003</v>
      </c>
      <c r="F37" s="1002">
        <v>0</v>
      </c>
      <c r="G37" s="1002">
        <v>0</v>
      </c>
      <c r="H37" s="1002">
        <v>0</v>
      </c>
      <c r="I37" s="1002">
        <v>0</v>
      </c>
      <c r="J37" s="1002">
        <v>1.4310000000000003</v>
      </c>
      <c r="K37" s="1002">
        <v>2.9340000000000002</v>
      </c>
      <c r="L37" s="1002">
        <v>0</v>
      </c>
      <c r="M37" s="1002">
        <v>0</v>
      </c>
      <c r="N37" s="1002">
        <v>0</v>
      </c>
      <c r="O37" s="1002">
        <v>0</v>
      </c>
      <c r="P37" s="1002">
        <v>2.9340000000000002</v>
      </c>
    </row>
    <row r="38" spans="1:16" x14ac:dyDescent="0.35">
      <c r="A38" t="s">
        <v>5</v>
      </c>
      <c r="B38" t="s">
        <v>5</v>
      </c>
      <c r="C38" t="s">
        <v>97</v>
      </c>
      <c r="D38" t="s">
        <v>112</v>
      </c>
      <c r="E38" s="1002">
        <v>2.2999999999999998</v>
      </c>
      <c r="F38" s="1002">
        <v>0</v>
      </c>
      <c r="G38" s="1002">
        <v>0</v>
      </c>
      <c r="H38" s="1002">
        <v>0</v>
      </c>
      <c r="I38" s="1002">
        <v>0</v>
      </c>
      <c r="J38" s="1002">
        <v>2.2999999999999998</v>
      </c>
      <c r="K38" s="1002">
        <v>3.0999999999999996</v>
      </c>
      <c r="L38" s="1002">
        <v>0</v>
      </c>
      <c r="M38" s="1002">
        <v>0</v>
      </c>
      <c r="N38" s="1002">
        <v>0</v>
      </c>
      <c r="O38" s="1002">
        <v>0</v>
      </c>
      <c r="P38" s="1002">
        <v>3.0999999999999996</v>
      </c>
    </row>
    <row r="39" spans="1:16" x14ac:dyDescent="0.35">
      <c r="A39" t="s">
        <v>5</v>
      </c>
      <c r="B39" t="s">
        <v>5</v>
      </c>
      <c r="C39" t="s">
        <v>97</v>
      </c>
      <c r="D39" t="s">
        <v>114</v>
      </c>
      <c r="E39" s="1002">
        <v>4.75</v>
      </c>
      <c r="F39" s="1002">
        <v>0</v>
      </c>
      <c r="G39" s="1002">
        <v>0</v>
      </c>
      <c r="H39" s="1002">
        <v>0</v>
      </c>
      <c r="I39" s="1002">
        <v>0</v>
      </c>
      <c r="J39" s="1002">
        <v>4.75</v>
      </c>
      <c r="K39" s="1002">
        <v>5</v>
      </c>
      <c r="L39" s="1002">
        <v>0</v>
      </c>
      <c r="M39" s="1002">
        <v>0</v>
      </c>
      <c r="N39" s="1002">
        <v>0</v>
      </c>
      <c r="O39" s="1002">
        <v>0</v>
      </c>
      <c r="P39" s="1002">
        <v>5</v>
      </c>
    </row>
    <row r="40" spans="1:16" x14ac:dyDescent="0.35">
      <c r="A40" t="s">
        <v>5</v>
      </c>
      <c r="B40" t="s">
        <v>5</v>
      </c>
      <c r="C40" t="s">
        <v>97</v>
      </c>
      <c r="D40" t="s">
        <v>116</v>
      </c>
      <c r="E40" s="1002">
        <v>1.126118</v>
      </c>
      <c r="F40" s="1002">
        <v>0</v>
      </c>
      <c r="G40" s="1002">
        <v>0</v>
      </c>
      <c r="H40" s="1002">
        <v>0</v>
      </c>
      <c r="I40" s="1002">
        <v>0</v>
      </c>
      <c r="J40" s="1002">
        <v>1.126118</v>
      </c>
      <c r="K40" s="1002">
        <v>4.4351180000000001</v>
      </c>
      <c r="L40" s="1002">
        <v>0</v>
      </c>
      <c r="M40" s="1002">
        <v>0</v>
      </c>
      <c r="N40" s="1002">
        <v>0</v>
      </c>
      <c r="O40" s="1002">
        <v>0</v>
      </c>
      <c r="P40" s="1002">
        <v>4.4351180000000001</v>
      </c>
    </row>
    <row r="41" spans="1:16" x14ac:dyDescent="0.35">
      <c r="A41" t="s">
        <v>5</v>
      </c>
      <c r="B41" t="s">
        <v>5</v>
      </c>
      <c r="C41" t="s">
        <v>97</v>
      </c>
      <c r="D41" t="s">
        <v>38</v>
      </c>
      <c r="E41" s="1002">
        <v>30.67232000000001</v>
      </c>
      <c r="F41" s="1002">
        <v>0</v>
      </c>
      <c r="G41" s="1002">
        <v>0</v>
      </c>
      <c r="H41" s="1002">
        <v>0</v>
      </c>
      <c r="I41" s="1002">
        <v>0</v>
      </c>
      <c r="J41" s="1002">
        <v>30.67232000000001</v>
      </c>
      <c r="K41" s="1002">
        <v>31.096320000000002</v>
      </c>
      <c r="L41" s="1002">
        <v>0</v>
      </c>
      <c r="M41" s="1002">
        <v>0</v>
      </c>
      <c r="N41" s="1002">
        <v>0</v>
      </c>
      <c r="O41" s="1002">
        <v>0</v>
      </c>
      <c r="P41" s="1002">
        <v>31.096320000000002</v>
      </c>
    </row>
    <row r="42" spans="1:16" x14ac:dyDescent="0.35">
      <c r="A42" t="s">
        <v>5</v>
      </c>
      <c r="B42" t="s">
        <v>5</v>
      </c>
      <c r="C42" t="s">
        <v>120</v>
      </c>
      <c r="D42" t="s">
        <v>121</v>
      </c>
      <c r="E42" s="1002">
        <v>60</v>
      </c>
      <c r="F42" s="1002">
        <v>0</v>
      </c>
      <c r="G42" s="1002">
        <v>0</v>
      </c>
      <c r="H42" s="1002">
        <v>0</v>
      </c>
      <c r="I42" s="1002">
        <v>0</v>
      </c>
      <c r="J42" s="1002">
        <v>60</v>
      </c>
      <c r="K42" s="1002">
        <v>60</v>
      </c>
      <c r="L42" s="1002">
        <v>0</v>
      </c>
      <c r="M42" s="1002">
        <v>0</v>
      </c>
      <c r="N42" s="1002">
        <v>0</v>
      </c>
      <c r="O42" s="1002">
        <v>0</v>
      </c>
      <c r="P42" s="1002">
        <v>60</v>
      </c>
    </row>
    <row r="43" spans="1:16" x14ac:dyDescent="0.35">
      <c r="A43" t="s">
        <v>5</v>
      </c>
      <c r="B43" t="s">
        <v>5</v>
      </c>
      <c r="C43" t="s">
        <v>120</v>
      </c>
      <c r="D43" t="s">
        <v>123</v>
      </c>
      <c r="E43" s="1002">
        <v>20.368461999999997</v>
      </c>
      <c r="F43" s="1002">
        <v>0</v>
      </c>
      <c r="G43" s="1002">
        <v>0</v>
      </c>
      <c r="H43" s="1002">
        <v>0</v>
      </c>
      <c r="I43" s="1002">
        <v>0</v>
      </c>
      <c r="J43" s="1002">
        <v>20.368461999999997</v>
      </c>
      <c r="K43" s="1034">
        <v>23.388462000000001</v>
      </c>
      <c r="L43" s="1002">
        <v>0</v>
      </c>
      <c r="M43" s="1002">
        <v>0</v>
      </c>
      <c r="N43" s="1002">
        <v>0</v>
      </c>
      <c r="O43" s="1002">
        <v>0</v>
      </c>
      <c r="P43" s="1034">
        <v>23.388462000000001</v>
      </c>
    </row>
    <row r="44" spans="1:16" x14ac:dyDescent="0.35">
      <c r="A44" t="s">
        <v>5</v>
      </c>
      <c r="B44" t="s">
        <v>5</v>
      </c>
      <c r="C44" t="s">
        <v>124</v>
      </c>
      <c r="D44" t="s">
        <v>124</v>
      </c>
      <c r="E44" s="1002">
        <v>34.836999999999996</v>
      </c>
      <c r="F44" s="1002">
        <v>1.6020000000000001</v>
      </c>
      <c r="G44" s="1002">
        <v>0</v>
      </c>
      <c r="H44" s="1002">
        <v>0</v>
      </c>
      <c r="I44" s="1002">
        <v>0</v>
      </c>
      <c r="J44" s="1002">
        <v>36.438999999999993</v>
      </c>
      <c r="K44" s="1002">
        <v>34.846999999999994</v>
      </c>
      <c r="L44" s="1002">
        <v>1.6020000000000001</v>
      </c>
      <c r="M44" s="1002">
        <v>0</v>
      </c>
      <c r="N44" s="1002">
        <v>0</v>
      </c>
      <c r="O44" s="1002">
        <v>0</v>
      </c>
      <c r="P44" s="1002">
        <v>36.448999999999991</v>
      </c>
    </row>
    <row r="45" spans="1:16" x14ac:dyDescent="0.35">
      <c r="A45" t="s">
        <v>5</v>
      </c>
      <c r="B45" t="s">
        <v>5</v>
      </c>
      <c r="C45" t="s">
        <v>126</v>
      </c>
      <c r="D45" t="s">
        <v>126</v>
      </c>
      <c r="E45" s="1002">
        <v>12.977</v>
      </c>
      <c r="F45" s="1002">
        <v>0</v>
      </c>
      <c r="G45" s="1002">
        <v>0</v>
      </c>
      <c r="H45" s="1002">
        <v>0</v>
      </c>
      <c r="I45" s="1002">
        <v>0</v>
      </c>
      <c r="J45" s="1002">
        <v>12.977</v>
      </c>
      <c r="K45" s="1002">
        <v>12.977</v>
      </c>
      <c r="L45" s="1002">
        <v>0</v>
      </c>
      <c r="M45" s="1002">
        <v>0</v>
      </c>
      <c r="N45" s="1002">
        <v>0</v>
      </c>
      <c r="O45" s="1002">
        <v>0</v>
      </c>
      <c r="P45" s="1002">
        <v>12.977</v>
      </c>
    </row>
    <row r="46" spans="1:16" x14ac:dyDescent="0.35">
      <c r="A46" t="s">
        <v>5</v>
      </c>
      <c r="B46" t="s">
        <v>5</v>
      </c>
      <c r="C46" s="1042" t="s">
        <v>1906</v>
      </c>
      <c r="D46" t="s">
        <v>128</v>
      </c>
      <c r="E46" s="1002">
        <v>59.706000000000031</v>
      </c>
      <c r="F46" s="1002">
        <v>0</v>
      </c>
      <c r="G46" s="1002">
        <v>0</v>
      </c>
      <c r="H46" s="1002">
        <v>0</v>
      </c>
      <c r="I46" s="1002">
        <v>0</v>
      </c>
      <c r="J46" s="1002">
        <v>59.706000000000031</v>
      </c>
      <c r="K46" s="1002">
        <v>658.50900000000001</v>
      </c>
      <c r="L46" s="1002">
        <v>0</v>
      </c>
      <c r="M46" s="1002">
        <v>0</v>
      </c>
      <c r="N46" s="1002">
        <v>0</v>
      </c>
      <c r="O46" s="1002">
        <v>0</v>
      </c>
      <c r="P46" s="1002">
        <v>658.50900000000001</v>
      </c>
    </row>
    <row r="47" spans="1:16" x14ac:dyDescent="0.35">
      <c r="A47" t="s">
        <v>5</v>
      </c>
      <c r="B47" t="s">
        <v>5</v>
      </c>
      <c r="C47" s="1042" t="s">
        <v>1906</v>
      </c>
      <c r="D47" t="s">
        <v>130</v>
      </c>
      <c r="E47" s="1002">
        <v>62.241</v>
      </c>
      <c r="F47" s="1002">
        <v>0.156</v>
      </c>
      <c r="G47" s="1002">
        <v>0</v>
      </c>
      <c r="H47" s="1002">
        <v>0</v>
      </c>
      <c r="I47" s="1002">
        <v>0</v>
      </c>
      <c r="J47" s="1002">
        <v>62.396999999999998</v>
      </c>
      <c r="K47" s="1002">
        <v>75.641000000000005</v>
      </c>
      <c r="L47" s="1002">
        <v>0.156</v>
      </c>
      <c r="M47" s="1002">
        <v>0</v>
      </c>
      <c r="N47" s="1002">
        <v>0</v>
      </c>
      <c r="O47" s="1002">
        <v>0</v>
      </c>
      <c r="P47" s="1002">
        <v>75.797000000000011</v>
      </c>
    </row>
    <row r="48" spans="1:16" x14ac:dyDescent="0.35">
      <c r="A48" t="s">
        <v>5</v>
      </c>
      <c r="B48" t="s">
        <v>5</v>
      </c>
      <c r="C48" s="1042" t="s">
        <v>1906</v>
      </c>
      <c r="D48" t="s">
        <v>133</v>
      </c>
      <c r="E48" s="1002">
        <v>32.629999999999995</v>
      </c>
      <c r="F48" s="1002">
        <v>0.80399999999999994</v>
      </c>
      <c r="G48" s="1002">
        <v>-2.0469737016526324E-16</v>
      </c>
      <c r="H48" s="1002">
        <v>0</v>
      </c>
      <c r="I48" s="1002">
        <v>0</v>
      </c>
      <c r="J48" s="1002">
        <v>33.433999999999997</v>
      </c>
      <c r="K48" s="1002">
        <v>36.959999999999994</v>
      </c>
      <c r="L48" s="1002">
        <v>0.80399999999999994</v>
      </c>
      <c r="M48" s="1002">
        <v>0</v>
      </c>
      <c r="N48" s="1002">
        <v>0</v>
      </c>
      <c r="O48" s="1002">
        <v>0</v>
      </c>
      <c r="P48" s="1002">
        <v>37.763999999999996</v>
      </c>
    </row>
    <row r="49" spans="1:16" x14ac:dyDescent="0.35">
      <c r="A49" t="s">
        <v>5</v>
      </c>
      <c r="B49" t="s">
        <v>5</v>
      </c>
      <c r="C49" s="1042" t="s">
        <v>1906</v>
      </c>
      <c r="D49" t="s">
        <v>136</v>
      </c>
      <c r="E49" s="1002">
        <v>14</v>
      </c>
      <c r="F49" s="1002">
        <v>0</v>
      </c>
      <c r="G49" s="1002">
        <v>0</v>
      </c>
      <c r="H49" s="1002">
        <v>0</v>
      </c>
      <c r="I49" s="1002">
        <v>0</v>
      </c>
      <c r="J49" s="1002">
        <v>14</v>
      </c>
      <c r="K49" s="1002">
        <v>14.015000000000001</v>
      </c>
      <c r="L49" s="1002">
        <v>0</v>
      </c>
      <c r="M49" s="1002">
        <v>0</v>
      </c>
      <c r="N49" s="1002">
        <v>0</v>
      </c>
      <c r="O49" s="1002">
        <v>0</v>
      </c>
      <c r="P49" s="1002">
        <v>14.015000000000001</v>
      </c>
    </row>
    <row r="50" spans="1:16" x14ac:dyDescent="0.35">
      <c r="A50" t="s">
        <v>5</v>
      </c>
      <c r="B50" t="s">
        <v>5</v>
      </c>
      <c r="C50" s="1042" t="s">
        <v>1906</v>
      </c>
      <c r="D50" t="s">
        <v>138</v>
      </c>
      <c r="E50" s="1002">
        <v>8</v>
      </c>
      <c r="F50" s="1002">
        <v>0</v>
      </c>
      <c r="G50" s="1002">
        <v>0</v>
      </c>
      <c r="H50" s="1002">
        <v>0</v>
      </c>
      <c r="I50" s="1002">
        <v>0</v>
      </c>
      <c r="J50" s="1002">
        <v>8</v>
      </c>
      <c r="K50" s="1002">
        <v>13</v>
      </c>
      <c r="L50" s="1002">
        <v>0</v>
      </c>
      <c r="M50" s="1002">
        <v>0</v>
      </c>
      <c r="N50" s="1002">
        <v>0</v>
      </c>
      <c r="O50" s="1002">
        <v>0</v>
      </c>
      <c r="P50" s="1002">
        <v>13</v>
      </c>
    </row>
    <row r="51" spans="1:16" x14ac:dyDescent="0.35">
      <c r="A51" t="s">
        <v>5</v>
      </c>
      <c r="B51" t="s">
        <v>5</v>
      </c>
      <c r="C51" s="1042" t="s">
        <v>1906</v>
      </c>
      <c r="D51" t="s">
        <v>141</v>
      </c>
      <c r="E51" s="1002">
        <v>3.6</v>
      </c>
      <c r="F51" s="1002">
        <v>0</v>
      </c>
      <c r="G51" s="1002">
        <v>0</v>
      </c>
      <c r="H51" s="1002">
        <v>0</v>
      </c>
      <c r="I51" s="1002">
        <v>0</v>
      </c>
      <c r="J51" s="1002">
        <v>3.6</v>
      </c>
      <c r="K51" s="1002">
        <v>3.6</v>
      </c>
      <c r="L51" s="1002">
        <v>0</v>
      </c>
      <c r="M51" s="1002">
        <v>0</v>
      </c>
      <c r="N51" s="1002">
        <v>0</v>
      </c>
      <c r="O51" s="1002">
        <v>0</v>
      </c>
      <c r="P51" s="1002">
        <v>3.6</v>
      </c>
    </row>
    <row r="52" spans="1:16" x14ac:dyDescent="0.35">
      <c r="A52" t="s">
        <v>5</v>
      </c>
      <c r="B52" t="s">
        <v>5</v>
      </c>
      <c r="C52" s="1042" t="s">
        <v>1906</v>
      </c>
      <c r="D52" t="s">
        <v>143</v>
      </c>
      <c r="E52" s="1002">
        <v>1.7359999999999998</v>
      </c>
      <c r="F52" s="1002">
        <v>0</v>
      </c>
      <c r="G52" s="1002">
        <v>0</v>
      </c>
      <c r="H52" s="1002">
        <v>0</v>
      </c>
      <c r="I52" s="1002">
        <v>0</v>
      </c>
      <c r="J52" s="1002">
        <v>1.7359999999999998</v>
      </c>
      <c r="K52" s="1002">
        <v>2.3119999999999998</v>
      </c>
      <c r="L52" s="1002">
        <v>0</v>
      </c>
      <c r="M52" s="1002">
        <v>0</v>
      </c>
      <c r="N52" s="1002">
        <v>0</v>
      </c>
      <c r="O52" s="1002">
        <v>0</v>
      </c>
      <c r="P52" s="1002">
        <v>2.3119999999999998</v>
      </c>
    </row>
    <row r="53" spans="1:16" x14ac:dyDescent="0.35">
      <c r="A53" t="s">
        <v>5</v>
      </c>
      <c r="B53" t="s">
        <v>5</v>
      </c>
      <c r="C53" s="1042" t="s">
        <v>1906</v>
      </c>
      <c r="D53" t="s">
        <v>38</v>
      </c>
      <c r="E53" s="1002">
        <v>22.976330000000004</v>
      </c>
      <c r="F53" s="1002">
        <v>0</v>
      </c>
      <c r="G53" s="1002">
        <v>0</v>
      </c>
      <c r="H53" s="1002">
        <v>0</v>
      </c>
      <c r="I53" s="1002">
        <v>0</v>
      </c>
      <c r="J53" s="1002">
        <v>22.976330000000004</v>
      </c>
      <c r="K53" s="1002">
        <v>23.311330000000005</v>
      </c>
      <c r="L53" s="1002">
        <v>0</v>
      </c>
      <c r="M53" s="1002">
        <v>0</v>
      </c>
      <c r="N53" s="1002">
        <v>0</v>
      </c>
      <c r="O53" s="1002">
        <v>0</v>
      </c>
      <c r="P53" s="1002">
        <v>23.311330000000005</v>
      </c>
    </row>
    <row r="54" spans="1:16" x14ac:dyDescent="0.35">
      <c r="A54" t="s">
        <v>5</v>
      </c>
      <c r="B54" t="s">
        <v>5</v>
      </c>
      <c r="C54" t="s">
        <v>146</v>
      </c>
      <c r="D54" t="s">
        <v>146</v>
      </c>
      <c r="E54" s="1002">
        <v>112.80299999999998</v>
      </c>
      <c r="F54" s="1002">
        <v>0</v>
      </c>
      <c r="G54" s="1002">
        <v>0</v>
      </c>
      <c r="H54" s="1002">
        <v>0</v>
      </c>
      <c r="I54" s="1002">
        <v>0</v>
      </c>
      <c r="J54" s="1002">
        <v>112.80299999999998</v>
      </c>
      <c r="K54" s="1002">
        <v>109.32899999999998</v>
      </c>
      <c r="L54" s="1002">
        <v>0</v>
      </c>
      <c r="M54" s="1002">
        <v>0</v>
      </c>
      <c r="N54" s="1002">
        <v>0</v>
      </c>
      <c r="O54" s="1002">
        <v>0</v>
      </c>
      <c r="P54" s="1002">
        <v>109.32899999999998</v>
      </c>
    </row>
    <row r="55" spans="1:16" x14ac:dyDescent="0.35">
      <c r="A55" t="s">
        <v>5</v>
      </c>
      <c r="B55" t="s">
        <v>5</v>
      </c>
      <c r="C55" t="s">
        <v>146</v>
      </c>
      <c r="D55" t="s">
        <v>149</v>
      </c>
      <c r="E55" s="1002">
        <v>4.1781782500000002</v>
      </c>
      <c r="F55" s="1002">
        <v>0</v>
      </c>
      <c r="G55" s="1002">
        <v>0</v>
      </c>
      <c r="H55" s="1002">
        <v>0</v>
      </c>
      <c r="I55" s="1002">
        <v>0</v>
      </c>
      <c r="J55" s="1002">
        <v>4.1781782500000002</v>
      </c>
      <c r="K55" s="1002">
        <v>4.9711782500000004</v>
      </c>
      <c r="L55" s="1002">
        <v>0</v>
      </c>
      <c r="M55" s="1002">
        <v>0</v>
      </c>
      <c r="N55" s="1002">
        <v>0</v>
      </c>
      <c r="O55" s="1002">
        <v>0</v>
      </c>
      <c r="P55" s="1002">
        <v>4.9711782500000004</v>
      </c>
    </row>
    <row r="56" spans="1:16" x14ac:dyDescent="0.35">
      <c r="A56" t="s">
        <v>5</v>
      </c>
      <c r="B56" t="s">
        <v>5</v>
      </c>
      <c r="C56" t="s">
        <v>152</v>
      </c>
      <c r="D56" t="s">
        <v>153</v>
      </c>
      <c r="E56" s="1002">
        <v>17.25</v>
      </c>
      <c r="F56" s="1002">
        <v>0</v>
      </c>
      <c r="G56" s="1002">
        <v>0</v>
      </c>
      <c r="H56" s="1002">
        <v>0</v>
      </c>
      <c r="I56" s="1002">
        <v>0</v>
      </c>
      <c r="J56" s="1002">
        <v>17.25</v>
      </c>
      <c r="K56" s="1002">
        <v>17.5</v>
      </c>
      <c r="L56" s="1002">
        <v>0</v>
      </c>
      <c r="M56" s="1002">
        <v>0</v>
      </c>
      <c r="N56" s="1002">
        <v>0</v>
      </c>
      <c r="O56" s="1002">
        <v>0</v>
      </c>
      <c r="P56" s="1002">
        <v>17.5</v>
      </c>
    </row>
    <row r="57" spans="1:16" x14ac:dyDescent="0.35">
      <c r="A57" t="s">
        <v>5</v>
      </c>
      <c r="B57" t="s">
        <v>5</v>
      </c>
      <c r="C57" t="s">
        <v>152</v>
      </c>
      <c r="D57" t="s">
        <v>155</v>
      </c>
      <c r="E57" s="1002">
        <v>12.489000000000001</v>
      </c>
      <c r="F57" s="1002">
        <v>0</v>
      </c>
      <c r="G57" s="1002">
        <v>0</v>
      </c>
      <c r="H57" s="1002">
        <v>0</v>
      </c>
      <c r="I57" s="1002">
        <v>0</v>
      </c>
      <c r="J57" s="1002">
        <v>12.489000000000001</v>
      </c>
      <c r="K57" s="1002">
        <v>12.489000000000001</v>
      </c>
      <c r="L57" s="1002">
        <v>0</v>
      </c>
      <c r="M57" s="1002">
        <v>0</v>
      </c>
      <c r="N57" s="1002">
        <v>0</v>
      </c>
      <c r="O57" s="1002">
        <v>0</v>
      </c>
      <c r="P57" s="1002">
        <v>12.489000000000001</v>
      </c>
    </row>
    <row r="58" spans="1:16" x14ac:dyDescent="0.35">
      <c r="A58" t="s">
        <v>5</v>
      </c>
      <c r="B58" t="s">
        <v>5</v>
      </c>
      <c r="C58" t="s">
        <v>152</v>
      </c>
      <c r="D58" t="s">
        <v>157</v>
      </c>
      <c r="E58" s="1002">
        <v>4.4249999999999998</v>
      </c>
      <c r="F58" s="1002">
        <v>0</v>
      </c>
      <c r="G58" s="1002">
        <v>0</v>
      </c>
      <c r="H58" s="1002">
        <v>0</v>
      </c>
      <c r="I58" s="1002">
        <v>0</v>
      </c>
      <c r="J58" s="1002">
        <v>4.4249999999999998</v>
      </c>
      <c r="K58" s="1002">
        <v>11</v>
      </c>
      <c r="L58" s="1002">
        <v>0</v>
      </c>
      <c r="M58" s="1002">
        <v>0</v>
      </c>
      <c r="N58" s="1002">
        <v>0</v>
      </c>
      <c r="O58" s="1002">
        <v>0</v>
      </c>
      <c r="P58" s="1002">
        <v>11</v>
      </c>
    </row>
    <row r="59" spans="1:16" x14ac:dyDescent="0.35">
      <c r="A59" t="s">
        <v>5</v>
      </c>
      <c r="B59" t="s">
        <v>5</v>
      </c>
      <c r="C59" t="s">
        <v>152</v>
      </c>
      <c r="D59" t="s">
        <v>160</v>
      </c>
      <c r="E59" s="1002">
        <v>3.5</v>
      </c>
      <c r="F59" s="1002">
        <v>0</v>
      </c>
      <c r="G59" s="1002">
        <v>0</v>
      </c>
      <c r="H59" s="1002">
        <v>0</v>
      </c>
      <c r="I59" s="1002">
        <v>0</v>
      </c>
      <c r="J59" s="1002">
        <v>3.5</v>
      </c>
      <c r="K59" s="1002">
        <v>3.8</v>
      </c>
      <c r="L59" s="1002">
        <v>0</v>
      </c>
      <c r="M59" s="1002">
        <v>0</v>
      </c>
      <c r="N59" s="1002">
        <v>0</v>
      </c>
      <c r="O59" s="1002">
        <v>0</v>
      </c>
      <c r="P59" s="1002">
        <v>3.8</v>
      </c>
    </row>
    <row r="60" spans="1:16" x14ac:dyDescent="0.35">
      <c r="A60" t="s">
        <v>5</v>
      </c>
      <c r="B60" t="s">
        <v>5</v>
      </c>
      <c r="C60" t="s">
        <v>152</v>
      </c>
      <c r="D60" t="s">
        <v>163</v>
      </c>
      <c r="E60" s="1002">
        <v>3.3</v>
      </c>
      <c r="F60" s="1002">
        <v>0</v>
      </c>
      <c r="G60" s="1002">
        <v>0</v>
      </c>
      <c r="H60" s="1002">
        <v>0</v>
      </c>
      <c r="I60" s="1002">
        <v>0</v>
      </c>
      <c r="J60" s="1002">
        <v>3.3</v>
      </c>
      <c r="K60" s="1002">
        <v>3.3</v>
      </c>
      <c r="L60" s="1002">
        <v>0</v>
      </c>
      <c r="M60" s="1002">
        <v>0</v>
      </c>
      <c r="N60" s="1002">
        <v>0</v>
      </c>
      <c r="O60" s="1002">
        <v>0</v>
      </c>
      <c r="P60" s="1002">
        <v>3.3</v>
      </c>
    </row>
    <row r="61" spans="1:16" x14ac:dyDescent="0.35">
      <c r="A61" t="s">
        <v>5</v>
      </c>
      <c r="B61" t="s">
        <v>5</v>
      </c>
      <c r="C61" t="s">
        <v>152</v>
      </c>
      <c r="D61" t="s">
        <v>164</v>
      </c>
      <c r="E61" s="1002">
        <v>0</v>
      </c>
      <c r="F61" s="1002">
        <v>0</v>
      </c>
      <c r="G61" s="1002">
        <v>0</v>
      </c>
      <c r="H61" s="1002">
        <v>0</v>
      </c>
      <c r="I61" s="1002">
        <v>0</v>
      </c>
      <c r="J61" s="1002">
        <v>0</v>
      </c>
      <c r="K61" s="1002">
        <v>0</v>
      </c>
      <c r="L61" s="1002">
        <v>0</v>
      </c>
      <c r="M61" s="1002">
        <v>0</v>
      </c>
      <c r="N61" s="1002">
        <v>0</v>
      </c>
      <c r="O61" s="1002">
        <v>0</v>
      </c>
      <c r="P61" s="1002">
        <v>0</v>
      </c>
    </row>
    <row r="62" spans="1:16" x14ac:dyDescent="0.35">
      <c r="A62" t="s">
        <v>5</v>
      </c>
      <c r="B62" t="s">
        <v>5</v>
      </c>
      <c r="C62" t="s">
        <v>152</v>
      </c>
      <c r="D62" t="s">
        <v>38</v>
      </c>
      <c r="E62" s="1002">
        <v>5.740520000000001</v>
      </c>
      <c r="F62" s="1002">
        <v>0</v>
      </c>
      <c r="G62" s="1002">
        <v>0</v>
      </c>
      <c r="H62" s="1002">
        <v>0</v>
      </c>
      <c r="I62" s="1002">
        <v>0</v>
      </c>
      <c r="J62" s="1002">
        <v>5.740520000000001</v>
      </c>
      <c r="K62" s="1002">
        <v>6.0385200000000001</v>
      </c>
      <c r="L62" s="1002">
        <v>0</v>
      </c>
      <c r="M62" s="1002">
        <v>0</v>
      </c>
      <c r="N62" s="1002">
        <v>0</v>
      </c>
      <c r="O62" s="1002">
        <v>0</v>
      </c>
      <c r="P62" s="1002">
        <v>6.0385200000000001</v>
      </c>
    </row>
    <row r="63" spans="1:16" x14ac:dyDescent="0.35">
      <c r="A63" t="s">
        <v>5</v>
      </c>
      <c r="B63" t="s">
        <v>5</v>
      </c>
      <c r="C63" t="s">
        <v>167</v>
      </c>
      <c r="D63" t="s">
        <v>168</v>
      </c>
      <c r="E63" s="1002">
        <v>3.3849999999999998</v>
      </c>
      <c r="F63" s="1002">
        <v>0</v>
      </c>
      <c r="G63" s="1002">
        <v>0</v>
      </c>
      <c r="H63" s="1002">
        <v>0</v>
      </c>
      <c r="I63" s="1002">
        <v>0</v>
      </c>
      <c r="J63" s="1002">
        <v>3.3849999999999998</v>
      </c>
      <c r="K63" s="1002">
        <v>4.4369999999999994</v>
      </c>
      <c r="L63" s="1002">
        <v>0</v>
      </c>
      <c r="M63" s="1002">
        <v>0</v>
      </c>
      <c r="N63" s="1002">
        <v>0</v>
      </c>
      <c r="O63" s="1002">
        <v>0</v>
      </c>
      <c r="P63" s="1002">
        <v>4.4369999999999994</v>
      </c>
    </row>
    <row r="64" spans="1:16" x14ac:dyDescent="0.35">
      <c r="A64" t="s">
        <v>5</v>
      </c>
      <c r="B64" t="s">
        <v>5</v>
      </c>
      <c r="C64" t="s">
        <v>167</v>
      </c>
      <c r="D64" t="s">
        <v>171</v>
      </c>
      <c r="E64" s="1002">
        <v>15.7</v>
      </c>
      <c r="F64" s="1002">
        <v>0</v>
      </c>
      <c r="G64" s="1002">
        <v>0</v>
      </c>
      <c r="H64" s="1002">
        <v>0</v>
      </c>
      <c r="I64" s="1002">
        <v>0</v>
      </c>
      <c r="J64" s="1002">
        <v>15.7</v>
      </c>
      <c r="K64" s="1002">
        <v>16</v>
      </c>
      <c r="L64" s="1002">
        <v>0</v>
      </c>
      <c r="M64" s="1002">
        <v>0</v>
      </c>
      <c r="N64" s="1002">
        <v>0</v>
      </c>
      <c r="O64" s="1002">
        <v>0</v>
      </c>
      <c r="P64" s="1002">
        <v>16</v>
      </c>
    </row>
    <row r="65" spans="1:16" x14ac:dyDescent="0.35">
      <c r="A65" t="s">
        <v>5</v>
      </c>
      <c r="B65" t="s">
        <v>5</v>
      </c>
      <c r="C65" t="s">
        <v>167</v>
      </c>
      <c r="D65" t="s">
        <v>173</v>
      </c>
      <c r="E65" s="1002">
        <v>0</v>
      </c>
      <c r="F65" s="1002">
        <v>0</v>
      </c>
      <c r="G65" s="1002">
        <v>0</v>
      </c>
      <c r="H65" s="1002">
        <v>0</v>
      </c>
      <c r="I65" s="1002">
        <v>0</v>
      </c>
      <c r="J65" s="1002">
        <v>0</v>
      </c>
      <c r="K65" s="1002">
        <v>0</v>
      </c>
      <c r="L65" s="1002">
        <v>0</v>
      </c>
      <c r="M65" s="1002">
        <v>0</v>
      </c>
      <c r="N65" s="1002">
        <v>0</v>
      </c>
      <c r="O65" s="1002">
        <v>0</v>
      </c>
      <c r="P65" s="1002">
        <v>0</v>
      </c>
    </row>
    <row r="66" spans="1:16" x14ac:dyDescent="0.35">
      <c r="A66" t="s">
        <v>5</v>
      </c>
      <c r="B66" t="s">
        <v>5</v>
      </c>
      <c r="C66" t="s">
        <v>167</v>
      </c>
      <c r="D66" t="s">
        <v>174</v>
      </c>
      <c r="E66" s="1002">
        <v>3</v>
      </c>
      <c r="F66" s="1002">
        <v>0</v>
      </c>
      <c r="G66" s="1002">
        <v>0</v>
      </c>
      <c r="H66" s="1002">
        <v>0</v>
      </c>
      <c r="I66" s="1002">
        <v>0</v>
      </c>
      <c r="J66" s="1002">
        <v>3</v>
      </c>
      <c r="K66" s="1002">
        <v>7.5860000000000003</v>
      </c>
      <c r="L66" s="1002">
        <v>0</v>
      </c>
      <c r="M66" s="1002">
        <v>0</v>
      </c>
      <c r="N66" s="1002">
        <v>0</v>
      </c>
      <c r="O66" s="1002">
        <v>0</v>
      </c>
      <c r="P66" s="1002">
        <v>7.5860000000000003</v>
      </c>
    </row>
    <row r="67" spans="1:16" x14ac:dyDescent="0.35">
      <c r="A67" t="s">
        <v>5</v>
      </c>
      <c r="B67" t="s">
        <v>5</v>
      </c>
      <c r="C67" t="s">
        <v>167</v>
      </c>
      <c r="D67" t="s">
        <v>176</v>
      </c>
      <c r="E67" s="1002">
        <v>3.0875379999999999</v>
      </c>
      <c r="F67" s="1002">
        <v>0</v>
      </c>
      <c r="G67" s="1002">
        <v>0</v>
      </c>
      <c r="H67" s="1002">
        <v>0</v>
      </c>
      <c r="I67" s="1002">
        <v>0</v>
      </c>
      <c r="J67" s="1002">
        <v>3.0875379999999999</v>
      </c>
      <c r="K67" s="1002">
        <v>10.594537999999998</v>
      </c>
      <c r="L67" s="1002">
        <v>0</v>
      </c>
      <c r="M67" s="1002">
        <v>0</v>
      </c>
      <c r="N67" s="1002">
        <v>0</v>
      </c>
      <c r="O67" s="1002">
        <v>0</v>
      </c>
      <c r="P67" s="1002">
        <v>10.594537999999998</v>
      </c>
    </row>
    <row r="68" spans="1:16" x14ac:dyDescent="0.35">
      <c r="A68" t="s">
        <v>5</v>
      </c>
      <c r="B68" t="s">
        <v>5</v>
      </c>
      <c r="C68" t="s">
        <v>167</v>
      </c>
      <c r="D68" t="s">
        <v>179</v>
      </c>
      <c r="E68" s="1002">
        <v>4.239433</v>
      </c>
      <c r="F68" s="1002">
        <v>0</v>
      </c>
      <c r="G68" s="1002">
        <v>0</v>
      </c>
      <c r="H68" s="1002">
        <v>0</v>
      </c>
      <c r="I68" s="1002">
        <v>0</v>
      </c>
      <c r="J68" s="1002">
        <v>4.239433</v>
      </c>
      <c r="K68" s="1002">
        <v>5.2544330000000006</v>
      </c>
      <c r="L68" s="1002">
        <v>0</v>
      </c>
      <c r="M68" s="1002">
        <v>0</v>
      </c>
      <c r="N68" s="1002">
        <v>0</v>
      </c>
      <c r="O68" s="1002">
        <v>0</v>
      </c>
      <c r="P68" s="1002">
        <v>5.2544330000000006</v>
      </c>
    </row>
    <row r="69" spans="1:16" x14ac:dyDescent="0.35">
      <c r="A69" t="s">
        <v>5</v>
      </c>
      <c r="B69" t="s">
        <v>5</v>
      </c>
      <c r="C69" t="s">
        <v>167</v>
      </c>
      <c r="D69" t="s">
        <v>182</v>
      </c>
      <c r="E69" s="1002">
        <v>0</v>
      </c>
      <c r="F69" s="1002">
        <v>0</v>
      </c>
      <c r="G69" s="1002">
        <v>0</v>
      </c>
      <c r="H69" s="1002">
        <v>0</v>
      </c>
      <c r="I69" s="1002">
        <v>0</v>
      </c>
      <c r="J69" s="1002">
        <v>0</v>
      </c>
      <c r="K69" s="1002">
        <v>0</v>
      </c>
      <c r="L69" s="1002">
        <v>0</v>
      </c>
      <c r="M69" s="1002">
        <v>0</v>
      </c>
      <c r="N69" s="1002">
        <v>0</v>
      </c>
      <c r="O69" s="1002">
        <v>0</v>
      </c>
      <c r="P69" s="1002">
        <v>0</v>
      </c>
    </row>
    <row r="70" spans="1:16" x14ac:dyDescent="0.35">
      <c r="A70" t="s">
        <v>5</v>
      </c>
      <c r="B70" t="s">
        <v>5</v>
      </c>
      <c r="C70" t="s">
        <v>167</v>
      </c>
      <c r="D70" t="s">
        <v>38</v>
      </c>
      <c r="E70" s="1002">
        <v>14.744124000000003</v>
      </c>
      <c r="F70" s="1002">
        <v>0</v>
      </c>
      <c r="G70" s="1002">
        <v>0</v>
      </c>
      <c r="H70" s="1002">
        <v>0</v>
      </c>
      <c r="I70" s="1002">
        <v>0</v>
      </c>
      <c r="J70" s="1002">
        <v>14.744124000000003</v>
      </c>
      <c r="K70" s="1002">
        <v>14.477123999999998</v>
      </c>
      <c r="L70" s="1002">
        <v>0</v>
      </c>
      <c r="M70" s="1002">
        <v>0</v>
      </c>
      <c r="N70" s="1002">
        <v>0</v>
      </c>
      <c r="O70" s="1002">
        <v>0</v>
      </c>
      <c r="P70" s="1002">
        <v>14.477123999999998</v>
      </c>
    </row>
    <row r="71" spans="1:16" x14ac:dyDescent="0.35">
      <c r="A71" t="s">
        <v>5</v>
      </c>
      <c r="B71" t="s">
        <v>5</v>
      </c>
      <c r="C71" t="s">
        <v>184</v>
      </c>
      <c r="D71" t="s">
        <v>185</v>
      </c>
      <c r="E71" s="1002">
        <v>76.833359999999999</v>
      </c>
      <c r="F71" s="1002">
        <v>0</v>
      </c>
      <c r="G71" s="1002">
        <v>0</v>
      </c>
      <c r="H71" s="1002">
        <v>0</v>
      </c>
      <c r="I71" s="1002">
        <v>0</v>
      </c>
      <c r="J71" s="1002">
        <v>76.833359999999999</v>
      </c>
      <c r="K71" s="1002">
        <v>78.333359999999999</v>
      </c>
      <c r="L71" s="1002">
        <v>0</v>
      </c>
      <c r="M71" s="1002">
        <v>0</v>
      </c>
      <c r="N71" s="1002">
        <v>0</v>
      </c>
      <c r="O71" s="1002">
        <v>0</v>
      </c>
      <c r="P71" s="1002">
        <v>78.333359999999999</v>
      </c>
    </row>
    <row r="72" spans="1:16" x14ac:dyDescent="0.35">
      <c r="A72" t="s">
        <v>5</v>
      </c>
      <c r="B72" t="s">
        <v>5</v>
      </c>
      <c r="C72" t="s">
        <v>184</v>
      </c>
      <c r="D72" t="s">
        <v>188</v>
      </c>
      <c r="E72" s="1002">
        <v>3.6599999999999997</v>
      </c>
      <c r="F72" s="1002">
        <v>0</v>
      </c>
      <c r="G72" s="1002">
        <v>0</v>
      </c>
      <c r="H72" s="1002">
        <v>0</v>
      </c>
      <c r="I72" s="1002">
        <v>0</v>
      </c>
      <c r="J72" s="1002">
        <v>3.6599999999999997</v>
      </c>
      <c r="K72" s="1002">
        <v>4.0599999999999996</v>
      </c>
      <c r="L72" s="1002">
        <v>0</v>
      </c>
      <c r="M72" s="1002">
        <v>0</v>
      </c>
      <c r="N72" s="1002">
        <v>0</v>
      </c>
      <c r="O72" s="1002">
        <v>0</v>
      </c>
      <c r="P72" s="1002">
        <v>4.0599999999999996</v>
      </c>
    </row>
    <row r="73" spans="1:16" x14ac:dyDescent="0.35">
      <c r="A73" t="s">
        <v>5</v>
      </c>
      <c r="B73" t="s">
        <v>5</v>
      </c>
      <c r="C73" t="s">
        <v>184</v>
      </c>
      <c r="D73" t="s">
        <v>191</v>
      </c>
      <c r="E73" s="1002">
        <v>1.85</v>
      </c>
      <c r="F73" s="1002">
        <v>0</v>
      </c>
      <c r="G73" s="1002">
        <v>0</v>
      </c>
      <c r="H73" s="1002">
        <v>0</v>
      </c>
      <c r="I73" s="1002">
        <v>0</v>
      </c>
      <c r="J73" s="1002">
        <v>1.85</v>
      </c>
      <c r="K73" s="1002">
        <v>2.4500000000000002</v>
      </c>
      <c r="L73" s="1002">
        <v>0</v>
      </c>
      <c r="M73" s="1002">
        <v>0</v>
      </c>
      <c r="N73" s="1002">
        <v>0</v>
      </c>
      <c r="O73" s="1002">
        <v>0</v>
      </c>
      <c r="P73" s="1002">
        <v>2.4500000000000002</v>
      </c>
    </row>
    <row r="74" spans="1:16" x14ac:dyDescent="0.35">
      <c r="A74" t="s">
        <v>5</v>
      </c>
      <c r="B74" t="s">
        <v>5</v>
      </c>
      <c r="C74" t="s">
        <v>184</v>
      </c>
      <c r="D74" t="s">
        <v>193</v>
      </c>
      <c r="E74" s="1002">
        <v>1.1120000000000001</v>
      </c>
      <c r="F74" s="1002">
        <v>0</v>
      </c>
      <c r="G74" s="1002">
        <v>0</v>
      </c>
      <c r="H74" s="1002">
        <v>0</v>
      </c>
      <c r="I74" s="1002">
        <v>0</v>
      </c>
      <c r="J74" s="1002">
        <v>1.1120000000000001</v>
      </c>
      <c r="K74" s="1002">
        <v>2.38</v>
      </c>
      <c r="L74" s="1002">
        <v>0</v>
      </c>
      <c r="M74" s="1002">
        <v>0</v>
      </c>
      <c r="N74" s="1002">
        <v>0</v>
      </c>
      <c r="O74" s="1002">
        <v>0</v>
      </c>
      <c r="P74" s="1002">
        <v>2.38</v>
      </c>
    </row>
    <row r="75" spans="1:16" x14ac:dyDescent="0.35">
      <c r="A75" t="s">
        <v>5</v>
      </c>
      <c r="B75" t="s">
        <v>5</v>
      </c>
      <c r="C75" t="s">
        <v>184</v>
      </c>
      <c r="D75" t="s">
        <v>196</v>
      </c>
      <c r="E75" s="1002">
        <v>2</v>
      </c>
      <c r="F75" s="1002">
        <v>0</v>
      </c>
      <c r="G75" s="1002">
        <v>0</v>
      </c>
      <c r="H75" s="1002">
        <v>0</v>
      </c>
      <c r="I75" s="1002">
        <v>0</v>
      </c>
      <c r="J75" s="1002">
        <v>2</v>
      </c>
      <c r="K75" s="1002">
        <v>2.5</v>
      </c>
      <c r="L75" s="1002">
        <v>0</v>
      </c>
      <c r="M75" s="1002">
        <v>0</v>
      </c>
      <c r="N75" s="1002">
        <v>0</v>
      </c>
      <c r="O75" s="1002">
        <v>0</v>
      </c>
      <c r="P75" s="1002">
        <v>2.5</v>
      </c>
    </row>
    <row r="76" spans="1:16" x14ac:dyDescent="0.35">
      <c r="A76" t="s">
        <v>5</v>
      </c>
      <c r="B76" t="s">
        <v>5</v>
      </c>
      <c r="C76" t="s">
        <v>184</v>
      </c>
      <c r="D76" t="s">
        <v>199</v>
      </c>
      <c r="E76" s="1002">
        <v>2.4000000000000004</v>
      </c>
      <c r="F76" s="1002">
        <v>0</v>
      </c>
      <c r="G76" s="1002">
        <v>0</v>
      </c>
      <c r="H76" s="1002">
        <v>0</v>
      </c>
      <c r="I76" s="1002">
        <v>0</v>
      </c>
      <c r="J76" s="1002">
        <v>2.4000000000000004</v>
      </c>
      <c r="K76" s="1002">
        <v>2.2000000000000002</v>
      </c>
      <c r="L76" s="1002">
        <v>0</v>
      </c>
      <c r="M76" s="1002">
        <v>0</v>
      </c>
      <c r="N76" s="1002">
        <v>0</v>
      </c>
      <c r="O76" s="1002">
        <v>0</v>
      </c>
      <c r="P76" s="1002">
        <v>2.2000000000000002</v>
      </c>
    </row>
    <row r="77" spans="1:16" x14ac:dyDescent="0.35">
      <c r="A77" t="s">
        <v>5</v>
      </c>
      <c r="B77" t="s">
        <v>5</v>
      </c>
      <c r="C77" t="s">
        <v>184</v>
      </c>
      <c r="D77" t="s">
        <v>201</v>
      </c>
      <c r="E77" s="1002">
        <v>11.177</v>
      </c>
      <c r="F77" s="1002">
        <v>0</v>
      </c>
      <c r="G77" s="1002">
        <v>0</v>
      </c>
      <c r="H77" s="1002">
        <v>0</v>
      </c>
      <c r="I77" s="1002">
        <v>0</v>
      </c>
      <c r="J77" s="1002">
        <v>11.177</v>
      </c>
      <c r="K77" s="1002">
        <v>11.177</v>
      </c>
      <c r="L77" s="1002">
        <v>0</v>
      </c>
      <c r="M77" s="1002">
        <v>0</v>
      </c>
      <c r="N77" s="1002">
        <v>0</v>
      </c>
      <c r="O77" s="1002">
        <v>0</v>
      </c>
      <c r="P77" s="1002">
        <v>11.177</v>
      </c>
    </row>
    <row r="78" spans="1:16" x14ac:dyDescent="0.35">
      <c r="A78" t="s">
        <v>5</v>
      </c>
      <c r="B78" t="s">
        <v>5</v>
      </c>
      <c r="C78" t="s">
        <v>184</v>
      </c>
      <c r="D78" t="s">
        <v>203</v>
      </c>
      <c r="E78" s="1002">
        <v>12.927779999999998</v>
      </c>
      <c r="F78" s="1002">
        <v>0</v>
      </c>
      <c r="G78" s="1002">
        <v>0</v>
      </c>
      <c r="H78" s="1002">
        <v>0</v>
      </c>
      <c r="I78" s="1002">
        <v>0</v>
      </c>
      <c r="J78" s="1002">
        <v>12.927779999999998</v>
      </c>
      <c r="K78" s="1002">
        <v>11.958779999999999</v>
      </c>
      <c r="L78" s="1002">
        <v>0</v>
      </c>
      <c r="M78" s="1002">
        <v>0</v>
      </c>
      <c r="N78" s="1002">
        <v>0</v>
      </c>
      <c r="O78" s="1002">
        <v>0</v>
      </c>
      <c r="P78" s="1002">
        <v>11.958779999999999</v>
      </c>
    </row>
    <row r="79" spans="1:16" x14ac:dyDescent="0.35">
      <c r="A79" t="s">
        <v>5</v>
      </c>
      <c r="B79" t="s">
        <v>5</v>
      </c>
      <c r="C79" t="s">
        <v>184</v>
      </c>
      <c r="D79" t="s">
        <v>206</v>
      </c>
      <c r="E79" s="1002">
        <v>944.79861574999995</v>
      </c>
      <c r="F79" s="1002">
        <v>120.28200000000001</v>
      </c>
      <c r="G79" s="1002">
        <v>0</v>
      </c>
      <c r="H79" s="1002">
        <v>0</v>
      </c>
      <c r="I79" s="1002">
        <v>0</v>
      </c>
      <c r="J79" s="1002">
        <v>1065.0806157499999</v>
      </c>
      <c r="K79" s="1034">
        <v>-292.08238425000002</v>
      </c>
      <c r="L79" s="1002">
        <v>142.74</v>
      </c>
      <c r="M79" s="1002">
        <v>0</v>
      </c>
      <c r="N79" s="1002">
        <v>0</v>
      </c>
      <c r="O79" s="1002">
        <v>0</v>
      </c>
      <c r="P79" s="1034">
        <v>-149.34238425000001</v>
      </c>
    </row>
    <row r="80" spans="1:16" x14ac:dyDescent="0.35">
      <c r="A80" t="s">
        <v>5</v>
      </c>
      <c r="B80" t="s">
        <v>5</v>
      </c>
      <c r="C80" t="s">
        <v>209</v>
      </c>
      <c r="D80" t="s">
        <v>209</v>
      </c>
      <c r="E80" s="1002">
        <v>-3.1086244689504383E-15</v>
      </c>
      <c r="F80" s="1002">
        <v>0</v>
      </c>
      <c r="G80" s="1002">
        <v>0</v>
      </c>
      <c r="H80" s="1002">
        <v>0</v>
      </c>
      <c r="I80" s="1002">
        <v>0</v>
      </c>
      <c r="J80" s="1002">
        <v>-3.1086244689504383E-15</v>
      </c>
      <c r="K80" s="1002">
        <v>0</v>
      </c>
      <c r="L80" s="1002">
        <v>0</v>
      </c>
      <c r="M80" s="1002">
        <v>0</v>
      </c>
      <c r="N80" s="1002">
        <v>0</v>
      </c>
      <c r="O80" s="1002">
        <v>0</v>
      </c>
      <c r="P80" s="1002">
        <v>0</v>
      </c>
    </row>
    <row r="81" spans="1:16" x14ac:dyDescent="0.35">
      <c r="A81" t="s">
        <v>5</v>
      </c>
      <c r="B81" t="s">
        <v>5</v>
      </c>
      <c r="C81" t="s">
        <v>210</v>
      </c>
      <c r="D81" t="s">
        <v>210</v>
      </c>
      <c r="E81" s="1002">
        <v>0</v>
      </c>
      <c r="F81" s="1002">
        <v>0</v>
      </c>
      <c r="G81" s="1002">
        <v>0</v>
      </c>
      <c r="H81" s="1002">
        <v>0</v>
      </c>
      <c r="I81" s="1002">
        <v>103.67</v>
      </c>
      <c r="J81" s="1002">
        <v>103.67</v>
      </c>
      <c r="K81" s="1002">
        <v>0</v>
      </c>
      <c r="L81" s="1002">
        <v>0</v>
      </c>
      <c r="M81" s="1002">
        <v>0</v>
      </c>
      <c r="N81" s="1002">
        <v>0</v>
      </c>
      <c r="O81" s="1002">
        <v>107.655</v>
      </c>
      <c r="P81" s="1002">
        <v>107.655</v>
      </c>
    </row>
    <row r="82" spans="1:16" x14ac:dyDescent="0.35">
      <c r="A82" t="s">
        <v>5</v>
      </c>
      <c r="B82" t="s">
        <v>5</v>
      </c>
      <c r="C82" t="s">
        <v>213</v>
      </c>
      <c r="D82" t="s">
        <v>214</v>
      </c>
      <c r="E82" s="1002">
        <v>0</v>
      </c>
      <c r="F82" s="1002">
        <v>0</v>
      </c>
      <c r="G82" s="1002">
        <v>0</v>
      </c>
      <c r="H82" s="1002">
        <v>0</v>
      </c>
      <c r="I82" s="1002">
        <v>0</v>
      </c>
      <c r="J82" s="1002">
        <v>0</v>
      </c>
      <c r="K82" s="1002">
        <v>0</v>
      </c>
      <c r="L82" s="1002">
        <v>0</v>
      </c>
      <c r="M82" s="1002">
        <v>0</v>
      </c>
      <c r="N82" s="1002">
        <v>0</v>
      </c>
      <c r="O82" s="1002">
        <v>0</v>
      </c>
      <c r="P82" s="1002">
        <v>0</v>
      </c>
    </row>
    <row r="83" spans="1:16" x14ac:dyDescent="0.35">
      <c r="A83" t="s">
        <v>5</v>
      </c>
      <c r="B83" t="s">
        <v>5</v>
      </c>
      <c r="C83" t="s">
        <v>216</v>
      </c>
      <c r="D83" t="s">
        <v>217</v>
      </c>
      <c r="E83" s="1002">
        <v>0</v>
      </c>
      <c r="F83" s="1002">
        <v>0</v>
      </c>
      <c r="G83" s="1002">
        <v>-20</v>
      </c>
      <c r="H83" s="1002">
        <v>0</v>
      </c>
      <c r="I83" s="1002">
        <v>0</v>
      </c>
      <c r="J83" s="1002">
        <v>-20</v>
      </c>
      <c r="K83" s="1002">
        <v>0</v>
      </c>
      <c r="L83" s="1002">
        <v>0</v>
      </c>
      <c r="M83" s="1002">
        <v>-20</v>
      </c>
      <c r="N83" s="1002">
        <v>0</v>
      </c>
      <c r="O83" s="1002">
        <v>0</v>
      </c>
      <c r="P83" s="1002">
        <v>-20</v>
      </c>
    </row>
    <row r="84" spans="1:16" x14ac:dyDescent="0.35">
      <c r="A84" t="s">
        <v>5</v>
      </c>
      <c r="B84" t="s">
        <v>5</v>
      </c>
      <c r="C84" t="s">
        <v>220</v>
      </c>
      <c r="D84" t="s">
        <v>22</v>
      </c>
      <c r="E84" s="1002">
        <v>22.469999999999995</v>
      </c>
      <c r="F84" s="1002">
        <v>0.61299999999999999</v>
      </c>
      <c r="G84" s="1002">
        <v>0</v>
      </c>
      <c r="H84" s="1002">
        <v>0</v>
      </c>
      <c r="I84" s="1002">
        <v>0.35</v>
      </c>
      <c r="J84" s="1002">
        <v>23.432999999999996</v>
      </c>
      <c r="K84" s="1002">
        <v>21.969999999999995</v>
      </c>
      <c r="L84" s="1002">
        <v>0.73499999999999999</v>
      </c>
      <c r="M84" s="1002">
        <v>0</v>
      </c>
      <c r="N84" s="1002">
        <v>0</v>
      </c>
      <c r="O84" s="1002">
        <v>0.35</v>
      </c>
      <c r="P84" s="1002">
        <v>23.054999999999996</v>
      </c>
    </row>
    <row r="85" spans="1:16" hidden="1" x14ac:dyDescent="0.35">
      <c r="A85" t="s">
        <v>520</v>
      </c>
      <c r="B85" t="s">
        <v>521</v>
      </c>
      <c r="C85" t="s">
        <v>522</v>
      </c>
      <c r="D85" t="s">
        <v>522</v>
      </c>
      <c r="E85" s="1002">
        <v>9.7189999999999994</v>
      </c>
      <c r="F85" s="1002">
        <v>0</v>
      </c>
      <c r="G85" s="1002">
        <v>0</v>
      </c>
      <c r="H85" s="1002">
        <v>0</v>
      </c>
      <c r="I85" s="1002">
        <v>0</v>
      </c>
      <c r="J85" s="1002">
        <v>9.7189999999999994</v>
      </c>
      <c r="K85" s="1002">
        <v>9.7509999999999994</v>
      </c>
      <c r="L85" s="1002">
        <v>0</v>
      </c>
      <c r="M85" s="1002">
        <v>0</v>
      </c>
      <c r="N85" s="1002">
        <v>0</v>
      </c>
      <c r="O85" s="1002">
        <v>0</v>
      </c>
      <c r="P85" s="1002">
        <v>9.7509999999999994</v>
      </c>
    </row>
    <row r="86" spans="1:16" hidden="1" x14ac:dyDescent="0.35">
      <c r="A86" t="s">
        <v>520</v>
      </c>
      <c r="B86" t="s">
        <v>521</v>
      </c>
      <c r="C86" t="s">
        <v>524</v>
      </c>
      <c r="D86" t="s">
        <v>524</v>
      </c>
      <c r="E86" s="1002">
        <v>38.037999999999997</v>
      </c>
      <c r="F86" s="1002">
        <v>0</v>
      </c>
      <c r="G86" s="1002">
        <v>0</v>
      </c>
      <c r="H86" s="1002">
        <v>0</v>
      </c>
      <c r="I86" s="1002">
        <v>0</v>
      </c>
      <c r="J86" s="1002">
        <v>38.037999999999997</v>
      </c>
      <c r="K86" s="1002">
        <v>42.101999999999997</v>
      </c>
      <c r="L86" s="1002">
        <v>0</v>
      </c>
      <c r="M86" s="1002">
        <v>0</v>
      </c>
      <c r="N86" s="1002">
        <v>0</v>
      </c>
      <c r="O86" s="1002">
        <v>0</v>
      </c>
      <c r="P86" s="1002">
        <v>42.101999999999997</v>
      </c>
    </row>
    <row r="87" spans="1:16" hidden="1" x14ac:dyDescent="0.35">
      <c r="A87" t="s">
        <v>520</v>
      </c>
      <c r="B87" t="s">
        <v>521</v>
      </c>
      <c r="C87" t="s">
        <v>526</v>
      </c>
      <c r="D87" t="s">
        <v>526</v>
      </c>
      <c r="E87" s="1002">
        <v>1.944</v>
      </c>
      <c r="F87" s="1002">
        <v>0</v>
      </c>
      <c r="G87" s="1002">
        <v>0</v>
      </c>
      <c r="H87" s="1002">
        <v>0</v>
      </c>
      <c r="I87" s="1002">
        <v>0</v>
      </c>
      <c r="J87" s="1002">
        <v>1.944</v>
      </c>
      <c r="K87" s="1002">
        <v>3.306</v>
      </c>
      <c r="L87" s="1002">
        <v>0</v>
      </c>
      <c r="M87" s="1002">
        <v>0</v>
      </c>
      <c r="N87" s="1002">
        <v>0</v>
      </c>
      <c r="O87" s="1002">
        <v>0</v>
      </c>
      <c r="P87" s="1002">
        <v>3.306</v>
      </c>
    </row>
    <row r="88" spans="1:16" hidden="1" x14ac:dyDescent="0.35">
      <c r="A88" t="s">
        <v>520</v>
      </c>
      <c r="B88" t="s">
        <v>521</v>
      </c>
      <c r="C88" t="s">
        <v>529</v>
      </c>
      <c r="D88" t="s">
        <v>529</v>
      </c>
      <c r="E88" s="1002">
        <v>3.08</v>
      </c>
      <c r="F88" s="1002">
        <v>0</v>
      </c>
      <c r="G88" s="1002">
        <v>0</v>
      </c>
      <c r="H88" s="1002">
        <v>0</v>
      </c>
      <c r="I88" s="1002">
        <v>0</v>
      </c>
      <c r="J88" s="1002">
        <v>3.08</v>
      </c>
      <c r="K88" s="1002">
        <v>3.762</v>
      </c>
      <c r="L88" s="1002">
        <v>0</v>
      </c>
      <c r="M88" s="1002">
        <v>0</v>
      </c>
      <c r="N88" s="1002">
        <v>0</v>
      </c>
      <c r="O88" s="1002">
        <v>0</v>
      </c>
      <c r="P88" s="1002">
        <v>3.762</v>
      </c>
    </row>
    <row r="89" spans="1:16" hidden="1" x14ac:dyDescent="0.35">
      <c r="A89" t="s">
        <v>520</v>
      </c>
      <c r="B89" t="s">
        <v>535</v>
      </c>
      <c r="C89" t="s">
        <v>536</v>
      </c>
      <c r="D89" t="s">
        <v>536</v>
      </c>
      <c r="E89" s="1002">
        <v>0.1</v>
      </c>
      <c r="F89" s="1002">
        <v>0</v>
      </c>
      <c r="G89" s="1002">
        <v>0</v>
      </c>
      <c r="H89" s="1002">
        <v>0</v>
      </c>
      <c r="I89" s="1002">
        <v>0</v>
      </c>
      <c r="J89" s="1002">
        <v>0.1</v>
      </c>
      <c r="K89" s="1002">
        <v>5.4729999999999999</v>
      </c>
      <c r="L89" s="1002">
        <v>0</v>
      </c>
      <c r="M89" s="1002">
        <v>0</v>
      </c>
      <c r="N89" s="1002">
        <v>0</v>
      </c>
      <c r="O89" s="1002">
        <v>0</v>
      </c>
      <c r="P89" s="1002">
        <v>5.4729999999999999</v>
      </c>
    </row>
    <row r="90" spans="1:16" hidden="1" x14ac:dyDescent="0.35">
      <c r="A90" t="s">
        <v>520</v>
      </c>
      <c r="B90" t="s">
        <v>535</v>
      </c>
      <c r="C90" t="s">
        <v>539</v>
      </c>
      <c r="D90" t="s">
        <v>539</v>
      </c>
      <c r="E90" s="1002">
        <v>82.600999999999999</v>
      </c>
      <c r="F90" s="1002">
        <v>77.34</v>
      </c>
      <c r="G90" s="1002">
        <v>66.290000000000006</v>
      </c>
      <c r="H90" s="1002">
        <v>0</v>
      </c>
      <c r="I90" s="1002">
        <v>0</v>
      </c>
      <c r="J90" s="1002">
        <v>226.23099999999999</v>
      </c>
      <c r="K90" s="1002">
        <v>75.319999999999993</v>
      </c>
      <c r="L90" s="1002">
        <v>63</v>
      </c>
      <c r="M90" s="1002">
        <v>39.9</v>
      </c>
      <c r="N90" s="1002">
        <v>0</v>
      </c>
      <c r="O90" s="1002">
        <v>0</v>
      </c>
      <c r="P90" s="1002">
        <v>178.22</v>
      </c>
    </row>
    <row r="91" spans="1:16" hidden="1" x14ac:dyDescent="0.35">
      <c r="A91" t="s">
        <v>520</v>
      </c>
      <c r="B91" t="s">
        <v>535</v>
      </c>
      <c r="C91" t="s">
        <v>542</v>
      </c>
      <c r="D91" t="s">
        <v>542</v>
      </c>
      <c r="E91" s="1002">
        <v>306.577</v>
      </c>
      <c r="F91" s="1002">
        <v>7.42</v>
      </c>
      <c r="G91" s="1002">
        <v>5</v>
      </c>
      <c r="H91" s="1002">
        <v>0</v>
      </c>
      <c r="I91" s="1002">
        <v>0</v>
      </c>
      <c r="J91" s="1002">
        <v>318.99700000000001</v>
      </c>
      <c r="K91" s="1002">
        <v>309.08199999999999</v>
      </c>
      <c r="L91" s="1002">
        <v>7.4130000000000003</v>
      </c>
      <c r="M91" s="1002">
        <v>4.0999999999999996</v>
      </c>
      <c r="N91" s="1002">
        <v>0</v>
      </c>
      <c r="O91" s="1002">
        <v>0</v>
      </c>
      <c r="P91" s="1002">
        <v>320.59500000000003</v>
      </c>
    </row>
    <row r="92" spans="1:16" hidden="1" x14ac:dyDescent="0.35">
      <c r="A92" t="s">
        <v>520</v>
      </c>
      <c r="B92" t="s">
        <v>546</v>
      </c>
      <c r="C92" t="s">
        <v>547</v>
      </c>
      <c r="D92" t="s">
        <v>547</v>
      </c>
      <c r="E92" s="1002">
        <v>0</v>
      </c>
      <c r="F92" s="1002">
        <v>0</v>
      </c>
      <c r="G92" s="1002">
        <v>0</v>
      </c>
      <c r="H92" s="1002">
        <v>0</v>
      </c>
      <c r="I92" s="1002">
        <v>0</v>
      </c>
      <c r="J92" s="1002">
        <v>0</v>
      </c>
      <c r="K92" s="1002">
        <v>35.5</v>
      </c>
      <c r="L92" s="1002">
        <v>0</v>
      </c>
      <c r="M92" s="1002">
        <v>0</v>
      </c>
      <c r="N92" s="1002">
        <v>0</v>
      </c>
      <c r="O92" s="1002">
        <v>0</v>
      </c>
      <c r="P92" s="1002">
        <v>35.5</v>
      </c>
    </row>
    <row r="93" spans="1:16" hidden="1" x14ac:dyDescent="0.35">
      <c r="A93" t="s">
        <v>520</v>
      </c>
      <c r="B93" t="s">
        <v>546</v>
      </c>
      <c r="C93" t="s">
        <v>550</v>
      </c>
      <c r="D93" t="s">
        <v>550</v>
      </c>
      <c r="E93" s="1002">
        <v>411.7</v>
      </c>
      <c r="F93" s="1002">
        <v>0</v>
      </c>
      <c r="G93" s="1002">
        <v>0</v>
      </c>
      <c r="H93" s="1002">
        <v>0</v>
      </c>
      <c r="I93" s="1002">
        <v>0</v>
      </c>
      <c r="J93" s="1002">
        <v>411.7</v>
      </c>
      <c r="K93" s="1002">
        <v>458.7</v>
      </c>
      <c r="L93" s="1002">
        <v>0</v>
      </c>
      <c r="M93" s="1002">
        <v>0</v>
      </c>
      <c r="N93" s="1002">
        <v>0</v>
      </c>
      <c r="O93" s="1002">
        <v>0</v>
      </c>
      <c r="P93" s="1002">
        <v>458.7</v>
      </c>
    </row>
    <row r="94" spans="1:16" hidden="1" x14ac:dyDescent="0.35">
      <c r="A94" t="s">
        <v>520</v>
      </c>
      <c r="B94" t="s">
        <v>546</v>
      </c>
      <c r="C94" t="s">
        <v>553</v>
      </c>
      <c r="D94" t="s">
        <v>553</v>
      </c>
      <c r="E94" s="1002">
        <v>55.1</v>
      </c>
      <c r="F94" s="1002">
        <v>0</v>
      </c>
      <c r="G94" s="1002">
        <v>0</v>
      </c>
      <c r="H94" s="1002">
        <v>0</v>
      </c>
      <c r="I94" s="1002">
        <v>0</v>
      </c>
      <c r="J94" s="1002">
        <v>55.1</v>
      </c>
      <c r="K94" s="1002">
        <v>62</v>
      </c>
      <c r="L94" s="1002">
        <v>0</v>
      </c>
      <c r="M94" s="1002">
        <v>0</v>
      </c>
      <c r="N94" s="1002">
        <v>0</v>
      </c>
      <c r="O94" s="1002">
        <v>0</v>
      </c>
      <c r="P94" s="1002">
        <v>62</v>
      </c>
    </row>
    <row r="95" spans="1:16" hidden="1" x14ac:dyDescent="0.35">
      <c r="A95" t="s">
        <v>520</v>
      </c>
      <c r="B95" t="s">
        <v>546</v>
      </c>
      <c r="C95" t="s">
        <v>555</v>
      </c>
      <c r="D95" t="s">
        <v>555</v>
      </c>
      <c r="E95" s="1002">
        <v>3226.4</v>
      </c>
      <c r="F95" s="1002">
        <v>0</v>
      </c>
      <c r="G95" s="1002">
        <v>0</v>
      </c>
      <c r="H95" s="1002">
        <v>0</v>
      </c>
      <c r="I95" s="1002">
        <v>0</v>
      </c>
      <c r="J95" s="1002">
        <v>3226.4</v>
      </c>
      <c r="K95" s="1002">
        <v>3604.6</v>
      </c>
      <c r="L95" s="1002">
        <v>0</v>
      </c>
      <c r="M95" s="1002">
        <v>0</v>
      </c>
      <c r="N95" s="1002">
        <v>0</v>
      </c>
      <c r="O95" s="1002">
        <v>0</v>
      </c>
      <c r="P95" s="1002">
        <v>3604.6</v>
      </c>
    </row>
    <row r="96" spans="1:16" hidden="1" x14ac:dyDescent="0.35">
      <c r="A96" t="s">
        <v>520</v>
      </c>
      <c r="B96" t="s">
        <v>546</v>
      </c>
      <c r="C96" t="s">
        <v>557</v>
      </c>
      <c r="D96" t="s">
        <v>557</v>
      </c>
      <c r="E96" s="1002">
        <v>754.9</v>
      </c>
      <c r="F96" s="1002">
        <v>0</v>
      </c>
      <c r="G96" s="1002">
        <v>0</v>
      </c>
      <c r="H96" s="1002">
        <v>0</v>
      </c>
      <c r="I96" s="1002">
        <v>0</v>
      </c>
      <c r="J96" s="1002">
        <v>754.9</v>
      </c>
      <c r="K96" s="1002">
        <v>833.6</v>
      </c>
      <c r="L96" s="1002">
        <v>0</v>
      </c>
      <c r="M96" s="1002">
        <v>0</v>
      </c>
      <c r="N96" s="1002">
        <v>0</v>
      </c>
      <c r="O96" s="1002">
        <v>0</v>
      </c>
      <c r="P96" s="1002">
        <v>833.6</v>
      </c>
    </row>
    <row r="97" spans="1:16" hidden="1" x14ac:dyDescent="0.35">
      <c r="A97" t="s">
        <v>520</v>
      </c>
      <c r="B97" t="s">
        <v>546</v>
      </c>
      <c r="C97" t="s">
        <v>559</v>
      </c>
      <c r="D97" t="s">
        <v>559</v>
      </c>
      <c r="E97" s="1002">
        <v>420</v>
      </c>
      <c r="F97" s="1002">
        <v>0</v>
      </c>
      <c r="G97" s="1002">
        <v>0</v>
      </c>
      <c r="H97" s="1002">
        <v>0</v>
      </c>
      <c r="I97" s="1002">
        <v>0</v>
      </c>
      <c r="J97" s="1002">
        <v>420</v>
      </c>
      <c r="K97" s="1002">
        <v>393.9</v>
      </c>
      <c r="L97" s="1002">
        <v>0</v>
      </c>
      <c r="M97" s="1002">
        <v>0</v>
      </c>
      <c r="N97" s="1002">
        <v>0</v>
      </c>
      <c r="O97" s="1002">
        <v>0</v>
      </c>
      <c r="P97" s="1002">
        <v>393.9</v>
      </c>
    </row>
    <row r="98" spans="1:16" hidden="1" x14ac:dyDescent="0.35">
      <c r="A98" t="s">
        <v>520</v>
      </c>
      <c r="B98" t="s">
        <v>546</v>
      </c>
      <c r="C98" t="s">
        <v>561</v>
      </c>
      <c r="D98" t="s">
        <v>561</v>
      </c>
      <c r="E98" s="1002">
        <v>450.1</v>
      </c>
      <c r="F98" s="1002">
        <v>0</v>
      </c>
      <c r="G98" s="1002">
        <v>0</v>
      </c>
      <c r="H98" s="1002">
        <v>0</v>
      </c>
      <c r="I98" s="1002">
        <v>0</v>
      </c>
      <c r="J98" s="1002">
        <v>450.1</v>
      </c>
      <c r="K98" s="1002">
        <v>617.70000000000005</v>
      </c>
      <c r="L98" s="1002">
        <v>0</v>
      </c>
      <c r="M98" s="1002">
        <v>0</v>
      </c>
      <c r="N98" s="1002">
        <v>0</v>
      </c>
      <c r="O98" s="1002">
        <v>0</v>
      </c>
      <c r="P98" s="1002">
        <v>617.70000000000005</v>
      </c>
    </row>
    <row r="99" spans="1:16" hidden="1" x14ac:dyDescent="0.35">
      <c r="A99" t="s">
        <v>520</v>
      </c>
      <c r="B99" t="s">
        <v>546</v>
      </c>
      <c r="C99" t="s">
        <v>563</v>
      </c>
      <c r="D99" t="s">
        <v>563</v>
      </c>
      <c r="E99" s="1002">
        <v>86.6</v>
      </c>
      <c r="F99" s="1002">
        <v>0</v>
      </c>
      <c r="G99" s="1002">
        <v>0</v>
      </c>
      <c r="H99" s="1002">
        <v>0</v>
      </c>
      <c r="I99" s="1002">
        <v>0</v>
      </c>
      <c r="J99" s="1002">
        <v>86.6</v>
      </c>
      <c r="K99" s="1002">
        <v>83.4</v>
      </c>
      <c r="L99" s="1002">
        <v>0</v>
      </c>
      <c r="M99" s="1002">
        <v>0</v>
      </c>
      <c r="N99" s="1002">
        <v>0</v>
      </c>
      <c r="O99" s="1002">
        <v>0</v>
      </c>
      <c r="P99" s="1002">
        <v>83.4</v>
      </c>
    </row>
    <row r="100" spans="1:16" hidden="1" x14ac:dyDescent="0.35">
      <c r="A100" t="s">
        <v>520</v>
      </c>
      <c r="B100" t="s">
        <v>546</v>
      </c>
      <c r="C100" t="s">
        <v>565</v>
      </c>
      <c r="D100" t="s">
        <v>565</v>
      </c>
      <c r="E100" s="1002">
        <v>5.14</v>
      </c>
      <c r="F100" s="1002">
        <v>0</v>
      </c>
      <c r="G100" s="1002">
        <v>0</v>
      </c>
      <c r="H100" s="1002">
        <v>0</v>
      </c>
      <c r="I100" s="1002">
        <v>0</v>
      </c>
      <c r="J100" s="1002">
        <v>5.14</v>
      </c>
      <c r="K100" s="1002">
        <v>4.4000000000000004</v>
      </c>
      <c r="L100" s="1002">
        <v>0</v>
      </c>
      <c r="M100" s="1002">
        <v>0</v>
      </c>
      <c r="N100" s="1002">
        <v>0</v>
      </c>
      <c r="O100" s="1002">
        <v>0</v>
      </c>
      <c r="P100" s="1002">
        <v>4.4000000000000004</v>
      </c>
    </row>
    <row r="101" spans="1:16" hidden="1" x14ac:dyDescent="0.35">
      <c r="A101" t="s">
        <v>520</v>
      </c>
      <c r="B101" t="s">
        <v>546</v>
      </c>
      <c r="C101" t="s">
        <v>567</v>
      </c>
      <c r="D101" t="s">
        <v>567</v>
      </c>
      <c r="E101" s="1002">
        <v>21.3</v>
      </c>
      <c r="F101" s="1002">
        <v>0</v>
      </c>
      <c r="G101" s="1002">
        <v>0</v>
      </c>
      <c r="H101" s="1002">
        <v>0</v>
      </c>
      <c r="I101" s="1002">
        <v>0</v>
      </c>
      <c r="J101" s="1002">
        <v>21.3</v>
      </c>
      <c r="K101" s="1002">
        <v>21.4</v>
      </c>
      <c r="L101" s="1002">
        <v>0</v>
      </c>
      <c r="M101" s="1002">
        <v>0</v>
      </c>
      <c r="N101" s="1002">
        <v>0</v>
      </c>
      <c r="O101" s="1002">
        <v>0</v>
      </c>
      <c r="P101" s="1002">
        <v>21.4</v>
      </c>
    </row>
    <row r="102" spans="1:16" hidden="1" x14ac:dyDescent="0.35">
      <c r="A102" t="s">
        <v>520</v>
      </c>
      <c r="B102" t="s">
        <v>546</v>
      </c>
      <c r="C102" t="s">
        <v>570</v>
      </c>
      <c r="D102" t="s">
        <v>570</v>
      </c>
      <c r="E102" s="1002">
        <v>18.100000000000001</v>
      </c>
      <c r="F102" s="1002">
        <v>0</v>
      </c>
      <c r="G102" s="1002">
        <v>0</v>
      </c>
      <c r="H102" s="1002">
        <v>0</v>
      </c>
      <c r="I102" s="1002">
        <v>0</v>
      </c>
      <c r="J102" s="1002">
        <v>18.100000000000001</v>
      </c>
      <c r="K102" s="1002">
        <v>19.3</v>
      </c>
      <c r="L102" s="1002">
        <v>0</v>
      </c>
      <c r="M102" s="1002">
        <v>0</v>
      </c>
      <c r="N102" s="1002">
        <v>0</v>
      </c>
      <c r="O102" s="1002">
        <v>0</v>
      </c>
      <c r="P102" s="1002">
        <v>19.3</v>
      </c>
    </row>
    <row r="103" spans="1:16" hidden="1" x14ac:dyDescent="0.35">
      <c r="A103" t="s">
        <v>520</v>
      </c>
      <c r="B103" t="s">
        <v>546</v>
      </c>
      <c r="C103" t="s">
        <v>572</v>
      </c>
      <c r="D103" t="s">
        <v>572</v>
      </c>
      <c r="E103" s="1002">
        <v>12.2</v>
      </c>
      <c r="F103" s="1002">
        <v>0</v>
      </c>
      <c r="G103" s="1002">
        <v>0</v>
      </c>
      <c r="H103" s="1002">
        <v>0</v>
      </c>
      <c r="I103" s="1002">
        <v>0</v>
      </c>
      <c r="J103" s="1002">
        <v>12.2</v>
      </c>
      <c r="K103" s="1002">
        <v>13.9</v>
      </c>
      <c r="L103" s="1002">
        <v>0</v>
      </c>
      <c r="M103" s="1002">
        <v>0</v>
      </c>
      <c r="N103" s="1002">
        <v>0</v>
      </c>
      <c r="O103" s="1002">
        <v>0</v>
      </c>
      <c r="P103" s="1002">
        <v>13.9</v>
      </c>
    </row>
    <row r="104" spans="1:16" hidden="1" x14ac:dyDescent="0.35">
      <c r="A104" t="s">
        <v>520</v>
      </c>
      <c r="B104" t="s">
        <v>546</v>
      </c>
      <c r="C104" t="s">
        <v>574</v>
      </c>
      <c r="D104" t="s">
        <v>574</v>
      </c>
      <c r="E104" s="1002">
        <v>0.4</v>
      </c>
      <c r="F104" s="1002">
        <v>0</v>
      </c>
      <c r="G104" s="1002">
        <v>0</v>
      </c>
      <c r="H104" s="1002">
        <v>0</v>
      </c>
      <c r="I104" s="1002">
        <v>0</v>
      </c>
      <c r="J104" s="1002">
        <v>0.4</v>
      </c>
      <c r="K104" s="1002">
        <v>0.3</v>
      </c>
      <c r="L104" s="1002">
        <v>0</v>
      </c>
      <c r="M104" s="1002">
        <v>0</v>
      </c>
      <c r="N104" s="1002">
        <v>0</v>
      </c>
      <c r="O104" s="1002">
        <v>0</v>
      </c>
      <c r="P104" s="1002">
        <v>0.3</v>
      </c>
    </row>
    <row r="105" spans="1:16" hidden="1" x14ac:dyDescent="0.35">
      <c r="A105" t="s">
        <v>520</v>
      </c>
      <c r="B105" t="s">
        <v>546</v>
      </c>
      <c r="C105" t="s">
        <v>577</v>
      </c>
      <c r="D105" t="s">
        <v>577</v>
      </c>
      <c r="E105" s="1002">
        <v>1</v>
      </c>
      <c r="F105" s="1002">
        <v>0</v>
      </c>
      <c r="G105" s="1002">
        <v>0</v>
      </c>
      <c r="H105" s="1002">
        <v>0</v>
      </c>
      <c r="I105" s="1002">
        <v>0</v>
      </c>
      <c r="J105" s="1002">
        <v>1</v>
      </c>
      <c r="K105" s="1002">
        <v>1.6</v>
      </c>
      <c r="L105" s="1002">
        <v>0</v>
      </c>
      <c r="M105" s="1002">
        <v>0</v>
      </c>
      <c r="N105" s="1002">
        <v>0</v>
      </c>
      <c r="O105" s="1002">
        <v>0</v>
      </c>
      <c r="P105" s="1002">
        <v>1.6</v>
      </c>
    </row>
    <row r="106" spans="1:16" hidden="1" x14ac:dyDescent="0.35">
      <c r="A106" t="s">
        <v>520</v>
      </c>
      <c r="B106" t="s">
        <v>546</v>
      </c>
      <c r="C106" t="s">
        <v>580</v>
      </c>
      <c r="D106" t="s">
        <v>580</v>
      </c>
      <c r="E106" s="1002">
        <v>8.6999999999999993</v>
      </c>
      <c r="F106" s="1002">
        <v>0</v>
      </c>
      <c r="G106" s="1002">
        <v>0</v>
      </c>
      <c r="H106" s="1002">
        <v>0</v>
      </c>
      <c r="I106" s="1002">
        <v>0</v>
      </c>
      <c r="J106" s="1002">
        <v>8.6999999999999993</v>
      </c>
      <c r="K106" s="1002">
        <v>11.9</v>
      </c>
      <c r="L106" s="1002">
        <v>0</v>
      </c>
      <c r="M106" s="1002">
        <v>0</v>
      </c>
      <c r="N106" s="1002">
        <v>0</v>
      </c>
      <c r="O106" s="1002">
        <v>0</v>
      </c>
      <c r="P106" s="1002">
        <v>11.9</v>
      </c>
    </row>
    <row r="107" spans="1:16" hidden="1" x14ac:dyDescent="0.35">
      <c r="A107" t="s">
        <v>520</v>
      </c>
      <c r="B107" t="s">
        <v>546</v>
      </c>
      <c r="C107" t="s">
        <v>582</v>
      </c>
      <c r="D107" t="s">
        <v>582</v>
      </c>
      <c r="E107" s="1002">
        <v>457.34</v>
      </c>
      <c r="F107" s="1002">
        <v>0</v>
      </c>
      <c r="G107" s="1002">
        <v>0</v>
      </c>
      <c r="H107" s="1002">
        <v>0</v>
      </c>
      <c r="I107" s="1002">
        <v>0</v>
      </c>
      <c r="J107" s="1002">
        <v>457.34</v>
      </c>
      <c r="K107" s="1002">
        <v>471</v>
      </c>
      <c r="L107" s="1002">
        <v>0</v>
      </c>
      <c r="M107" s="1002">
        <v>0</v>
      </c>
      <c r="N107" s="1002">
        <v>0</v>
      </c>
      <c r="O107" s="1002">
        <v>0</v>
      </c>
      <c r="P107" s="1002">
        <v>471</v>
      </c>
    </row>
    <row r="108" spans="1:16" hidden="1" x14ac:dyDescent="0.35">
      <c r="A108" t="s">
        <v>520</v>
      </c>
      <c r="B108" t="s">
        <v>546</v>
      </c>
      <c r="C108" t="s">
        <v>584</v>
      </c>
      <c r="D108" t="s">
        <v>584</v>
      </c>
      <c r="E108" s="1002">
        <v>32</v>
      </c>
      <c r="F108" s="1002">
        <v>0</v>
      </c>
      <c r="G108" s="1002">
        <v>0</v>
      </c>
      <c r="H108" s="1002">
        <v>0</v>
      </c>
      <c r="I108" s="1002">
        <v>0</v>
      </c>
      <c r="J108" s="1002">
        <v>32</v>
      </c>
      <c r="K108" s="1002">
        <v>100.6</v>
      </c>
      <c r="L108" s="1002">
        <v>0</v>
      </c>
      <c r="M108" s="1002">
        <v>0</v>
      </c>
      <c r="N108" s="1002">
        <v>0</v>
      </c>
      <c r="O108" s="1002">
        <v>0</v>
      </c>
      <c r="P108" s="1002">
        <v>100.6</v>
      </c>
    </row>
    <row r="109" spans="1:16" hidden="1" x14ac:dyDescent="0.35">
      <c r="A109" t="s">
        <v>520</v>
      </c>
      <c r="B109" t="s">
        <v>546</v>
      </c>
      <c r="C109" t="s">
        <v>586</v>
      </c>
      <c r="D109" t="s">
        <v>586</v>
      </c>
      <c r="E109" s="1002">
        <v>24.4</v>
      </c>
      <c r="F109" s="1002">
        <v>0</v>
      </c>
      <c r="G109" s="1002">
        <v>0</v>
      </c>
      <c r="H109" s="1002">
        <v>0</v>
      </c>
      <c r="I109" s="1002">
        <v>0</v>
      </c>
      <c r="J109" s="1002">
        <v>24.4</v>
      </c>
      <c r="K109" s="1002">
        <v>28.3</v>
      </c>
      <c r="L109" s="1002">
        <v>0</v>
      </c>
      <c r="M109" s="1002">
        <v>0</v>
      </c>
      <c r="N109" s="1002">
        <v>0</v>
      </c>
      <c r="O109" s="1002">
        <v>0</v>
      </c>
      <c r="P109" s="1002">
        <v>28.3</v>
      </c>
    </row>
    <row r="110" spans="1:16" hidden="1" x14ac:dyDescent="0.35">
      <c r="A110" t="s">
        <v>520</v>
      </c>
      <c r="B110" t="s">
        <v>589</v>
      </c>
      <c r="C110" t="s">
        <v>590</v>
      </c>
      <c r="D110" t="s">
        <v>590</v>
      </c>
      <c r="E110" s="1002">
        <v>14.721</v>
      </c>
      <c r="F110" s="1002">
        <v>0</v>
      </c>
      <c r="G110" s="1002">
        <v>0</v>
      </c>
      <c r="H110" s="1002">
        <v>0</v>
      </c>
      <c r="I110" s="1002">
        <v>0</v>
      </c>
      <c r="J110" s="1002">
        <v>14.721</v>
      </c>
      <c r="K110" s="1002">
        <v>14.132</v>
      </c>
      <c r="L110" s="1002">
        <v>0</v>
      </c>
      <c r="M110" s="1002">
        <v>0</v>
      </c>
      <c r="N110" s="1002">
        <v>0</v>
      </c>
      <c r="O110" s="1002">
        <v>0</v>
      </c>
      <c r="P110" s="1002">
        <v>14.132</v>
      </c>
    </row>
    <row r="111" spans="1:16" hidden="1" x14ac:dyDescent="0.35">
      <c r="A111" t="s">
        <v>520</v>
      </c>
      <c r="B111" t="s">
        <v>594</v>
      </c>
      <c r="C111" t="s">
        <v>595</v>
      </c>
      <c r="D111" t="s">
        <v>596</v>
      </c>
      <c r="E111" s="1002">
        <v>0.74199999999999999</v>
      </c>
      <c r="F111" s="1002">
        <v>7.5999999999999998E-2</v>
      </c>
      <c r="G111" s="1002">
        <v>454.41699999999997</v>
      </c>
      <c r="H111" s="1002">
        <v>49.2</v>
      </c>
      <c r="I111" s="1002">
        <v>0</v>
      </c>
      <c r="J111" s="1002">
        <v>504.43499999999995</v>
      </c>
      <c r="K111" s="1002">
        <v>0.85000000000000009</v>
      </c>
      <c r="L111" s="1002">
        <v>0</v>
      </c>
      <c r="M111" s="1002">
        <v>595.5</v>
      </c>
      <c r="N111" s="1002">
        <v>80</v>
      </c>
      <c r="O111" s="1002">
        <v>0</v>
      </c>
      <c r="P111" s="1002">
        <v>676.35</v>
      </c>
    </row>
    <row r="112" spans="1:16" hidden="1" x14ac:dyDescent="0.35">
      <c r="A112" t="s">
        <v>520</v>
      </c>
      <c r="B112" t="s">
        <v>594</v>
      </c>
      <c r="C112" t="s">
        <v>595</v>
      </c>
      <c r="D112" t="s">
        <v>595</v>
      </c>
      <c r="E112" s="1002">
        <v>5.7409999999999997</v>
      </c>
      <c r="F112" s="1002">
        <v>0</v>
      </c>
      <c r="G112" s="1002">
        <v>0</v>
      </c>
      <c r="H112" s="1002">
        <v>0</v>
      </c>
      <c r="I112" s="1002">
        <v>0</v>
      </c>
      <c r="J112" s="1002">
        <v>5.7409999999999997</v>
      </c>
      <c r="K112" s="1002">
        <v>5.8539999999999992</v>
      </c>
      <c r="L112" s="1002">
        <v>7.5999999999999998E-2</v>
      </c>
      <c r="M112" s="1002">
        <v>0</v>
      </c>
      <c r="N112" s="1002">
        <v>0</v>
      </c>
      <c r="O112" s="1002">
        <v>0</v>
      </c>
      <c r="P112" s="1002">
        <v>5.9299999999999988</v>
      </c>
    </row>
    <row r="113" spans="1:16" hidden="1" x14ac:dyDescent="0.35">
      <c r="A113" t="s">
        <v>520</v>
      </c>
      <c r="B113" t="s">
        <v>594</v>
      </c>
      <c r="C113" t="s">
        <v>595</v>
      </c>
      <c r="D113" t="s">
        <v>600</v>
      </c>
      <c r="E113" s="1002">
        <v>0</v>
      </c>
      <c r="F113" s="1002">
        <v>0</v>
      </c>
      <c r="G113" s="1002">
        <v>-14.3</v>
      </c>
      <c r="H113" s="1002">
        <v>-80</v>
      </c>
      <c r="I113" s="1002">
        <v>0</v>
      </c>
      <c r="J113" s="1002">
        <v>-94.3</v>
      </c>
      <c r="K113" s="1002">
        <v>0</v>
      </c>
      <c r="L113" s="1002">
        <v>0</v>
      </c>
      <c r="M113" s="1002">
        <v>-12.3</v>
      </c>
      <c r="N113" s="1002">
        <v>-80</v>
      </c>
      <c r="O113" s="1002">
        <v>0</v>
      </c>
      <c r="P113" s="1002">
        <v>-92.3</v>
      </c>
    </row>
    <row r="114" spans="1:16" hidden="1" x14ac:dyDescent="0.35">
      <c r="A114" t="s">
        <v>520</v>
      </c>
      <c r="B114" t="s">
        <v>594</v>
      </c>
      <c r="C114" t="s">
        <v>604</v>
      </c>
      <c r="D114" t="s">
        <v>604</v>
      </c>
      <c r="E114" s="1002">
        <v>1.4079999999999999</v>
      </c>
      <c r="F114" s="1002">
        <v>0</v>
      </c>
      <c r="G114" s="1002">
        <v>0</v>
      </c>
      <c r="H114" s="1002">
        <v>0</v>
      </c>
      <c r="I114" s="1002">
        <v>0</v>
      </c>
      <c r="J114" s="1002">
        <v>1.4079999999999999</v>
      </c>
      <c r="K114" s="1002">
        <v>1.905</v>
      </c>
      <c r="L114" s="1002">
        <v>0</v>
      </c>
      <c r="M114" s="1002">
        <v>0</v>
      </c>
      <c r="N114" s="1002">
        <v>0</v>
      </c>
      <c r="O114" s="1002">
        <v>0</v>
      </c>
      <c r="P114" s="1002">
        <v>1.905</v>
      </c>
    </row>
    <row r="115" spans="1:16" hidden="1" x14ac:dyDescent="0.35">
      <c r="A115" t="s">
        <v>520</v>
      </c>
      <c r="B115" t="s">
        <v>594</v>
      </c>
      <c r="C115" t="s">
        <v>604</v>
      </c>
      <c r="D115" t="s">
        <v>607</v>
      </c>
      <c r="E115" s="1002">
        <v>0.28000000000000003</v>
      </c>
      <c r="F115" s="1002">
        <v>0</v>
      </c>
      <c r="G115" s="1002">
        <v>0</v>
      </c>
      <c r="H115" s="1002">
        <v>0</v>
      </c>
      <c r="I115" s="1002">
        <v>0</v>
      </c>
      <c r="J115" s="1002">
        <v>0.28000000000000003</v>
      </c>
      <c r="K115" s="1002">
        <v>0.30000000000000004</v>
      </c>
      <c r="L115" s="1002">
        <v>0</v>
      </c>
      <c r="M115" s="1002">
        <v>0</v>
      </c>
      <c r="N115" s="1002">
        <v>0</v>
      </c>
      <c r="O115" s="1002">
        <v>0</v>
      </c>
      <c r="P115" s="1002">
        <v>0.30000000000000004</v>
      </c>
    </row>
    <row r="116" spans="1:16" hidden="1" x14ac:dyDescent="0.35">
      <c r="A116" t="s">
        <v>520</v>
      </c>
      <c r="B116" t="s">
        <v>594</v>
      </c>
      <c r="C116" t="s">
        <v>610</v>
      </c>
      <c r="D116" t="s">
        <v>610</v>
      </c>
      <c r="E116" s="1002">
        <v>37.427</v>
      </c>
      <c r="F116" s="1002">
        <v>0</v>
      </c>
      <c r="G116" s="1002">
        <v>14.244999999999999</v>
      </c>
      <c r="H116" s="1002">
        <v>0</v>
      </c>
      <c r="I116" s="1002">
        <v>0</v>
      </c>
      <c r="J116" s="1002">
        <v>51.671999999999997</v>
      </c>
      <c r="K116" s="1002">
        <v>51.248000000000005</v>
      </c>
      <c r="L116" s="1002">
        <v>0</v>
      </c>
      <c r="M116" s="1002">
        <v>20.9</v>
      </c>
      <c r="N116" s="1002">
        <v>0</v>
      </c>
      <c r="O116" s="1002">
        <v>0</v>
      </c>
      <c r="P116" s="1002">
        <v>72.147999999999996</v>
      </c>
    </row>
    <row r="117" spans="1:16" hidden="1" x14ac:dyDescent="0.35">
      <c r="A117" t="s">
        <v>520</v>
      </c>
      <c r="B117" t="s">
        <v>594</v>
      </c>
      <c r="C117" t="s">
        <v>610</v>
      </c>
      <c r="D117" t="s">
        <v>613</v>
      </c>
      <c r="E117" s="1002">
        <v>2.2000000000000002</v>
      </c>
      <c r="F117" s="1002">
        <v>0</v>
      </c>
      <c r="G117" s="1002">
        <v>0</v>
      </c>
      <c r="H117" s="1002">
        <v>0</v>
      </c>
      <c r="I117" s="1002">
        <v>0</v>
      </c>
      <c r="J117" s="1002">
        <v>2.2000000000000002</v>
      </c>
      <c r="K117" s="1002">
        <v>2.2000000000000002</v>
      </c>
      <c r="L117" s="1002">
        <v>0</v>
      </c>
      <c r="M117" s="1002">
        <v>0</v>
      </c>
      <c r="N117" s="1002">
        <v>0</v>
      </c>
      <c r="O117" s="1002">
        <v>0</v>
      </c>
      <c r="P117" s="1002">
        <v>2.2000000000000002</v>
      </c>
    </row>
    <row r="118" spans="1:16" hidden="1" x14ac:dyDescent="0.35">
      <c r="A118" t="s">
        <v>520</v>
      </c>
      <c r="B118" t="s">
        <v>594</v>
      </c>
      <c r="C118" t="s">
        <v>610</v>
      </c>
      <c r="D118" t="s">
        <v>614</v>
      </c>
      <c r="E118" s="1002">
        <v>12.093999999999999</v>
      </c>
      <c r="F118" s="1002">
        <v>0</v>
      </c>
      <c r="G118" s="1002">
        <v>0</v>
      </c>
      <c r="H118" s="1002">
        <v>0</v>
      </c>
      <c r="I118" s="1002">
        <v>0</v>
      </c>
      <c r="J118" s="1002">
        <v>12.093999999999999</v>
      </c>
      <c r="K118" s="1002">
        <v>97.05</v>
      </c>
      <c r="L118" s="1002">
        <v>0</v>
      </c>
      <c r="M118" s="1002">
        <v>0</v>
      </c>
      <c r="N118" s="1002">
        <v>0</v>
      </c>
      <c r="O118" s="1002">
        <v>0</v>
      </c>
      <c r="P118" s="1002">
        <v>97.05</v>
      </c>
    </row>
    <row r="119" spans="1:16" hidden="1" x14ac:dyDescent="0.35">
      <c r="A119" t="s">
        <v>520</v>
      </c>
      <c r="B119" t="s">
        <v>594</v>
      </c>
      <c r="C119" t="s">
        <v>618</v>
      </c>
      <c r="D119" t="s">
        <v>618</v>
      </c>
      <c r="E119" s="1002">
        <v>4.54</v>
      </c>
      <c r="F119" s="1002">
        <v>0</v>
      </c>
      <c r="G119" s="1002">
        <v>0</v>
      </c>
      <c r="H119" s="1002">
        <v>0</v>
      </c>
      <c r="I119" s="1002">
        <v>0</v>
      </c>
      <c r="J119" s="1002">
        <v>4.54</v>
      </c>
      <c r="K119" s="1002">
        <v>2.4469999999999996</v>
      </c>
      <c r="L119" s="1002">
        <v>0</v>
      </c>
      <c r="M119" s="1002">
        <v>0</v>
      </c>
      <c r="N119" s="1002">
        <v>0</v>
      </c>
      <c r="O119" s="1002">
        <v>0</v>
      </c>
      <c r="P119" s="1002">
        <v>2.4469999999999996</v>
      </c>
    </row>
    <row r="120" spans="1:16" hidden="1" x14ac:dyDescent="0.35">
      <c r="A120" t="s">
        <v>520</v>
      </c>
      <c r="B120" t="s">
        <v>623</v>
      </c>
      <c r="C120" t="s">
        <v>623</v>
      </c>
      <c r="D120" t="s">
        <v>623</v>
      </c>
      <c r="E120" s="1002">
        <v>6.7089999999999996</v>
      </c>
      <c r="F120" s="1002">
        <v>0</v>
      </c>
      <c r="G120" s="1002">
        <v>34.6</v>
      </c>
      <c r="H120" s="1002">
        <v>0</v>
      </c>
      <c r="I120" s="1002">
        <v>0</v>
      </c>
      <c r="J120" s="1002">
        <v>41.308999999999997</v>
      </c>
      <c r="K120" s="1002">
        <v>5.4660000000000002</v>
      </c>
      <c r="L120" s="1002">
        <v>0</v>
      </c>
      <c r="M120" s="1002">
        <v>46.7</v>
      </c>
      <c r="N120" s="1002">
        <v>0</v>
      </c>
      <c r="O120" s="1002">
        <v>0</v>
      </c>
      <c r="P120" s="1002">
        <v>52.166000000000004</v>
      </c>
    </row>
    <row r="121" spans="1:16" hidden="1" x14ac:dyDescent="0.35">
      <c r="A121" t="s">
        <v>520</v>
      </c>
      <c r="B121" t="s">
        <v>627</v>
      </c>
      <c r="C121" t="s">
        <v>520</v>
      </c>
      <c r="D121" t="s">
        <v>520</v>
      </c>
      <c r="E121" s="1002">
        <v>34.738</v>
      </c>
      <c r="F121" s="1002">
        <v>0</v>
      </c>
      <c r="G121" s="1002">
        <v>0.16500000000000001</v>
      </c>
      <c r="H121" s="1002">
        <v>0</v>
      </c>
      <c r="I121" s="1002">
        <v>0</v>
      </c>
      <c r="J121" s="1002">
        <v>34.902999999999999</v>
      </c>
      <c r="K121" s="1002">
        <v>42.021999999999998</v>
      </c>
      <c r="L121" s="1002">
        <v>0</v>
      </c>
      <c r="M121" s="1002">
        <v>0</v>
      </c>
      <c r="N121" s="1002">
        <v>0</v>
      </c>
      <c r="O121" s="1002">
        <v>0</v>
      </c>
      <c r="P121" s="1002">
        <v>42.021999999999998</v>
      </c>
    </row>
    <row r="122" spans="1:16" hidden="1" x14ac:dyDescent="0.35">
      <c r="A122" t="s">
        <v>520</v>
      </c>
      <c r="B122" t="s">
        <v>627</v>
      </c>
      <c r="C122" t="s">
        <v>520</v>
      </c>
      <c r="D122" t="s">
        <v>630</v>
      </c>
      <c r="E122" s="1002">
        <v>9.0399999999999991</v>
      </c>
      <c r="F122" s="1002">
        <v>0</v>
      </c>
      <c r="G122" s="1002">
        <v>0</v>
      </c>
      <c r="H122" s="1002">
        <v>0</v>
      </c>
      <c r="I122" s="1002">
        <v>0</v>
      </c>
      <c r="J122" s="1002">
        <v>9.0399999999999991</v>
      </c>
      <c r="K122" s="1002">
        <v>7.94</v>
      </c>
      <c r="L122" s="1002">
        <v>0</v>
      </c>
      <c r="M122" s="1002">
        <v>0</v>
      </c>
      <c r="N122" s="1002">
        <v>0</v>
      </c>
      <c r="O122" s="1002">
        <v>0</v>
      </c>
      <c r="P122" s="1002">
        <v>7.94</v>
      </c>
    </row>
    <row r="123" spans="1:16" hidden="1" x14ac:dyDescent="0.35">
      <c r="A123" t="s">
        <v>520</v>
      </c>
      <c r="B123" t="s">
        <v>627</v>
      </c>
      <c r="C123" t="s">
        <v>633</v>
      </c>
      <c r="D123" t="s">
        <v>633</v>
      </c>
      <c r="E123" s="1002">
        <v>6.08</v>
      </c>
      <c r="F123" s="1002">
        <v>0</v>
      </c>
      <c r="G123" s="1002">
        <v>0</v>
      </c>
      <c r="H123" s="1002">
        <v>0</v>
      </c>
      <c r="I123" s="1002">
        <v>0</v>
      </c>
      <c r="J123" s="1002">
        <v>6.08</v>
      </c>
      <c r="K123" s="1002">
        <v>6.5269999999999992</v>
      </c>
      <c r="L123" s="1002">
        <v>0</v>
      </c>
      <c r="M123" s="1002">
        <v>2.5</v>
      </c>
      <c r="N123" s="1002">
        <v>0</v>
      </c>
      <c r="O123" s="1002">
        <v>0</v>
      </c>
      <c r="P123" s="1002">
        <v>9.0269999999999992</v>
      </c>
    </row>
    <row r="124" spans="1:16" hidden="1" x14ac:dyDescent="0.35">
      <c r="A124" t="s">
        <v>520</v>
      </c>
      <c r="B124" t="s">
        <v>638</v>
      </c>
      <c r="C124" t="s">
        <v>638</v>
      </c>
      <c r="D124" t="s">
        <v>638</v>
      </c>
      <c r="E124" s="1002">
        <v>3.6389999999999998</v>
      </c>
      <c r="F124" s="1002">
        <v>0</v>
      </c>
      <c r="G124" s="1002">
        <v>0</v>
      </c>
      <c r="H124" s="1002">
        <v>0</v>
      </c>
      <c r="I124" s="1002">
        <v>0</v>
      </c>
      <c r="J124" s="1002">
        <v>3.6389999999999998</v>
      </c>
      <c r="K124" s="1002">
        <v>3.6640000000000001</v>
      </c>
      <c r="L124" s="1002">
        <v>8.6999999999999994E-2</v>
      </c>
      <c r="M124" s="1002">
        <v>0</v>
      </c>
      <c r="N124" s="1002">
        <v>0</v>
      </c>
      <c r="O124" s="1002">
        <v>0</v>
      </c>
      <c r="P124" s="1002">
        <v>3.7510000000000003</v>
      </c>
    </row>
    <row r="125" spans="1:16" hidden="1" x14ac:dyDescent="0.35">
      <c r="A125" t="s">
        <v>520</v>
      </c>
      <c r="B125" t="s">
        <v>641</v>
      </c>
      <c r="C125" t="s">
        <v>641</v>
      </c>
      <c r="D125" t="s">
        <v>641</v>
      </c>
      <c r="E125" s="1002">
        <v>5.2069999999999999</v>
      </c>
      <c r="F125" s="1002">
        <v>8.1000000000000003E-2</v>
      </c>
      <c r="G125" s="1002">
        <v>0.1</v>
      </c>
      <c r="H125" s="1002">
        <v>0</v>
      </c>
      <c r="I125" s="1002">
        <v>0.19400000000000001</v>
      </c>
      <c r="J125" s="1002">
        <v>5.5819999999999999</v>
      </c>
      <c r="K125" s="1002">
        <v>5.3440000000000003</v>
      </c>
      <c r="L125" s="1002">
        <v>0.13700000000000001</v>
      </c>
      <c r="M125" s="1002">
        <v>0.1</v>
      </c>
      <c r="N125" s="1002">
        <v>0</v>
      </c>
      <c r="O125" s="1002">
        <v>0.2</v>
      </c>
      <c r="P125" s="1002">
        <v>5.7809999999999997</v>
      </c>
    </row>
    <row r="126" spans="1:16" hidden="1" x14ac:dyDescent="0.35">
      <c r="A126" t="s">
        <v>520</v>
      </c>
      <c r="B126" t="s">
        <v>641</v>
      </c>
      <c r="C126" t="s">
        <v>641</v>
      </c>
      <c r="D126" t="s">
        <v>644</v>
      </c>
      <c r="E126" s="1002">
        <v>46.749000000000002</v>
      </c>
      <c r="F126" s="1002">
        <v>0</v>
      </c>
      <c r="G126" s="1002">
        <v>5</v>
      </c>
      <c r="H126" s="1002">
        <v>0</v>
      </c>
      <c r="I126" s="1002">
        <v>0</v>
      </c>
      <c r="J126" s="1002">
        <v>51.749000000000002</v>
      </c>
      <c r="K126" s="1002">
        <v>14.055</v>
      </c>
      <c r="L126" s="1002">
        <v>0</v>
      </c>
      <c r="M126" s="1002">
        <v>4.0999999999999996</v>
      </c>
      <c r="N126" s="1002">
        <v>0</v>
      </c>
      <c r="O126" s="1002">
        <v>0</v>
      </c>
      <c r="P126" s="1002">
        <v>18.155000000000001</v>
      </c>
    </row>
    <row r="127" spans="1:16" hidden="1" x14ac:dyDescent="0.35">
      <c r="A127" t="s">
        <v>1587</v>
      </c>
      <c r="B127" t="s">
        <v>1588</v>
      </c>
      <c r="C127" t="s">
        <v>1588</v>
      </c>
      <c r="D127" t="s">
        <v>1589</v>
      </c>
      <c r="E127" s="1002">
        <v>9.6539999999999999</v>
      </c>
      <c r="F127" s="1002">
        <v>0</v>
      </c>
      <c r="G127" s="1002">
        <v>0</v>
      </c>
      <c r="H127" s="1002">
        <v>0</v>
      </c>
      <c r="I127" s="1002">
        <v>0</v>
      </c>
      <c r="J127" s="1002">
        <v>9.6539999999999999</v>
      </c>
      <c r="K127" s="1002">
        <v>12.600000000000001</v>
      </c>
      <c r="L127" s="1002">
        <v>0</v>
      </c>
      <c r="M127" s="1002">
        <v>149.9</v>
      </c>
      <c r="N127" s="1002">
        <v>0</v>
      </c>
      <c r="O127" s="1002">
        <v>0</v>
      </c>
      <c r="P127" s="1002">
        <v>162.5</v>
      </c>
    </row>
    <row r="128" spans="1:16" hidden="1" x14ac:dyDescent="0.35">
      <c r="A128" t="s">
        <v>1587</v>
      </c>
      <c r="B128" t="s">
        <v>1588</v>
      </c>
      <c r="C128" t="s">
        <v>1588</v>
      </c>
      <c r="D128" t="s">
        <v>1592</v>
      </c>
      <c r="E128" s="1002">
        <v>0</v>
      </c>
      <c r="F128" s="1002">
        <v>0</v>
      </c>
      <c r="G128" s="1002">
        <v>0</v>
      </c>
      <c r="H128" s="1002">
        <v>0</v>
      </c>
      <c r="I128" s="1002">
        <v>0</v>
      </c>
      <c r="J128" s="1002">
        <v>0</v>
      </c>
      <c r="K128" s="1002">
        <v>0</v>
      </c>
      <c r="L128" s="1002">
        <v>0</v>
      </c>
      <c r="M128" s="1002">
        <v>0</v>
      </c>
      <c r="N128" s="1002">
        <v>0</v>
      </c>
      <c r="O128" s="1002">
        <v>0</v>
      </c>
      <c r="P128" s="1002">
        <v>0</v>
      </c>
    </row>
    <row r="129" spans="1:16" hidden="1" x14ac:dyDescent="0.35">
      <c r="A129" t="s">
        <v>1587</v>
      </c>
      <c r="B129" t="s">
        <v>1588</v>
      </c>
      <c r="C129" t="s">
        <v>1588</v>
      </c>
      <c r="D129" t="s">
        <v>1593</v>
      </c>
      <c r="E129" s="1002">
        <v>0</v>
      </c>
      <c r="F129" s="1002">
        <v>0</v>
      </c>
      <c r="G129" s="1002">
        <v>0</v>
      </c>
      <c r="H129" s="1002">
        <v>0</v>
      </c>
      <c r="I129" s="1002">
        <v>0</v>
      </c>
      <c r="J129" s="1002">
        <v>0</v>
      </c>
      <c r="K129" s="1002">
        <v>0</v>
      </c>
      <c r="L129" s="1002">
        <v>0</v>
      </c>
      <c r="M129" s="1002">
        <v>0</v>
      </c>
      <c r="N129" s="1002">
        <v>0</v>
      </c>
      <c r="O129" s="1002">
        <v>0</v>
      </c>
      <c r="P129" s="1002">
        <v>0</v>
      </c>
    </row>
    <row r="130" spans="1:16" hidden="1" x14ac:dyDescent="0.35">
      <c r="A130" t="s">
        <v>1587</v>
      </c>
      <c r="B130" t="s">
        <v>1595</v>
      </c>
      <c r="C130" t="s">
        <v>1596</v>
      </c>
      <c r="D130" t="s">
        <v>1597</v>
      </c>
      <c r="E130" s="1002">
        <v>6.782</v>
      </c>
      <c r="F130" s="1002">
        <v>0</v>
      </c>
      <c r="G130" s="1002">
        <v>35.125999999999998</v>
      </c>
      <c r="H130" s="1002">
        <v>0</v>
      </c>
      <c r="I130" s="1002">
        <v>0</v>
      </c>
      <c r="J130" s="1002">
        <v>41.908000000000001</v>
      </c>
      <c r="K130" s="1034">
        <v>12.25</v>
      </c>
      <c r="L130" s="1002">
        <v>0</v>
      </c>
      <c r="M130" s="1034">
        <v>56.835999999999999</v>
      </c>
      <c r="N130" s="1002">
        <v>0</v>
      </c>
      <c r="O130" s="1002">
        <v>0</v>
      </c>
      <c r="P130" s="1034">
        <v>69.085999999999999</v>
      </c>
    </row>
    <row r="131" spans="1:16" hidden="1" x14ac:dyDescent="0.35">
      <c r="A131" t="s">
        <v>1587</v>
      </c>
      <c r="B131" t="s">
        <v>1595</v>
      </c>
      <c r="C131" t="s">
        <v>1596</v>
      </c>
      <c r="D131" t="s">
        <v>1599</v>
      </c>
      <c r="E131" s="1002">
        <v>-1.06</v>
      </c>
      <c r="F131" s="1002">
        <v>0</v>
      </c>
      <c r="G131" s="1002">
        <v>0</v>
      </c>
      <c r="H131" s="1002">
        <v>0</v>
      </c>
      <c r="I131" s="1002">
        <v>0</v>
      </c>
      <c r="J131" s="1002">
        <v>-1.06</v>
      </c>
      <c r="K131" s="1002">
        <v>-0.95</v>
      </c>
      <c r="L131" s="1002">
        <v>0</v>
      </c>
      <c r="M131" s="1002">
        <v>0</v>
      </c>
      <c r="N131" s="1002">
        <v>0</v>
      </c>
      <c r="O131" s="1002">
        <v>0</v>
      </c>
      <c r="P131" s="1002">
        <v>-0.95</v>
      </c>
    </row>
    <row r="132" spans="1:16" hidden="1" x14ac:dyDescent="0.35">
      <c r="A132" t="s">
        <v>1587</v>
      </c>
      <c r="B132" t="s">
        <v>1595</v>
      </c>
      <c r="C132" t="s">
        <v>1602</v>
      </c>
      <c r="D132" t="s">
        <v>1603</v>
      </c>
      <c r="E132" s="1002">
        <v>2.2999999999999998</v>
      </c>
      <c r="F132" s="1002">
        <v>0</v>
      </c>
      <c r="G132" s="1002">
        <v>0</v>
      </c>
      <c r="H132" s="1002">
        <v>0</v>
      </c>
      <c r="I132" s="1002">
        <v>0</v>
      </c>
      <c r="J132" s="1002">
        <v>2.2999999999999998</v>
      </c>
      <c r="K132" s="1002">
        <v>3.65</v>
      </c>
      <c r="L132" s="1002">
        <v>0</v>
      </c>
      <c r="M132" s="1002">
        <v>0</v>
      </c>
      <c r="N132" s="1002">
        <v>0</v>
      </c>
      <c r="O132" s="1002">
        <v>0</v>
      </c>
      <c r="P132" s="1002">
        <v>3.65</v>
      </c>
    </row>
    <row r="133" spans="1:16" hidden="1" x14ac:dyDescent="0.35">
      <c r="A133" t="s">
        <v>1587</v>
      </c>
      <c r="B133" t="s">
        <v>1595</v>
      </c>
      <c r="C133" t="s">
        <v>1602</v>
      </c>
      <c r="D133" t="s">
        <v>1606</v>
      </c>
      <c r="E133" s="1002">
        <v>0</v>
      </c>
      <c r="F133" s="1002">
        <v>0</v>
      </c>
      <c r="G133" s="1002">
        <v>5</v>
      </c>
      <c r="H133" s="1002">
        <v>0</v>
      </c>
      <c r="I133" s="1002">
        <v>0</v>
      </c>
      <c r="J133" s="1002">
        <v>5</v>
      </c>
      <c r="K133" s="1002">
        <v>0</v>
      </c>
      <c r="L133" s="1002">
        <v>0</v>
      </c>
      <c r="M133" s="1002">
        <v>8</v>
      </c>
      <c r="N133" s="1002">
        <v>0</v>
      </c>
      <c r="O133" s="1002">
        <v>0</v>
      </c>
      <c r="P133" s="1002">
        <v>8</v>
      </c>
    </row>
    <row r="134" spans="1:16" hidden="1" x14ac:dyDescent="0.35">
      <c r="A134" t="s">
        <v>1587</v>
      </c>
      <c r="B134" t="s">
        <v>1611</v>
      </c>
      <c r="C134" t="s">
        <v>1611</v>
      </c>
      <c r="D134" t="s">
        <v>1612</v>
      </c>
      <c r="E134" s="1002">
        <v>0</v>
      </c>
      <c r="F134" s="1002">
        <v>0</v>
      </c>
      <c r="G134" s="1002">
        <v>0</v>
      </c>
      <c r="H134" s="1002">
        <v>0</v>
      </c>
      <c r="I134" s="1002">
        <v>0</v>
      </c>
      <c r="J134" s="1002">
        <v>0</v>
      </c>
      <c r="K134" s="1002">
        <v>0</v>
      </c>
      <c r="L134" s="1002">
        <v>0</v>
      </c>
      <c r="M134" s="1002">
        <v>0</v>
      </c>
      <c r="N134" s="1002">
        <v>0</v>
      </c>
      <c r="O134" s="1002">
        <v>0</v>
      </c>
      <c r="P134" s="1002">
        <v>0</v>
      </c>
    </row>
    <row r="135" spans="1:16" hidden="1" x14ac:dyDescent="0.35">
      <c r="A135" t="s">
        <v>1587</v>
      </c>
      <c r="B135" t="s">
        <v>1611</v>
      </c>
      <c r="C135" t="s">
        <v>1611</v>
      </c>
      <c r="D135" t="s">
        <v>1614</v>
      </c>
      <c r="E135" s="1002">
        <v>0</v>
      </c>
      <c r="F135" s="1002">
        <v>0</v>
      </c>
      <c r="G135" s="1002">
        <v>0</v>
      </c>
      <c r="H135" s="1002">
        <v>0</v>
      </c>
      <c r="I135" s="1002">
        <v>0</v>
      </c>
      <c r="J135" s="1002">
        <v>0</v>
      </c>
      <c r="K135" s="1002">
        <v>0</v>
      </c>
      <c r="L135" s="1002">
        <v>0</v>
      </c>
      <c r="M135" s="1002">
        <v>0</v>
      </c>
      <c r="N135" s="1002">
        <v>0</v>
      </c>
      <c r="O135" s="1002">
        <v>0</v>
      </c>
      <c r="P135" s="1002">
        <v>0</v>
      </c>
    </row>
    <row r="136" spans="1:16" hidden="1" x14ac:dyDescent="0.35">
      <c r="A136" t="s">
        <v>1587</v>
      </c>
      <c r="B136" t="s">
        <v>1615</v>
      </c>
      <c r="C136" t="s">
        <v>1615</v>
      </c>
      <c r="D136" t="s">
        <v>1616</v>
      </c>
      <c r="E136" s="1002">
        <v>15.238</v>
      </c>
      <c r="F136" s="1002">
        <v>0</v>
      </c>
      <c r="G136" s="1002">
        <v>0</v>
      </c>
      <c r="H136" s="1002">
        <v>0</v>
      </c>
      <c r="I136" s="1002">
        <v>0</v>
      </c>
      <c r="J136" s="1002">
        <v>15.238</v>
      </c>
      <c r="K136" s="1002">
        <v>15.957000000000001</v>
      </c>
      <c r="L136" s="1002">
        <v>0</v>
      </c>
      <c r="M136" s="1002">
        <v>0</v>
      </c>
      <c r="N136" s="1002">
        <v>0</v>
      </c>
      <c r="O136" s="1002">
        <v>0</v>
      </c>
      <c r="P136" s="1002">
        <v>15.957000000000001</v>
      </c>
    </row>
    <row r="137" spans="1:16" hidden="1" x14ac:dyDescent="0.35">
      <c r="A137" t="s">
        <v>1587</v>
      </c>
      <c r="B137" t="s">
        <v>1615</v>
      </c>
      <c r="C137" t="s">
        <v>1615</v>
      </c>
      <c r="D137" t="s">
        <v>1615</v>
      </c>
      <c r="E137" s="1002">
        <v>37.103000000000002</v>
      </c>
      <c r="F137" s="1002">
        <v>0</v>
      </c>
      <c r="G137" s="1002">
        <v>264.85700000000003</v>
      </c>
      <c r="H137" s="1002">
        <v>0</v>
      </c>
      <c r="I137" s="1002">
        <v>0</v>
      </c>
      <c r="J137" s="1002">
        <v>301.96000000000004</v>
      </c>
      <c r="K137" s="1002">
        <v>33.159999999999997</v>
      </c>
      <c r="L137" s="1002">
        <v>0</v>
      </c>
      <c r="M137" s="1002">
        <v>302.5</v>
      </c>
      <c r="N137" s="1002">
        <v>0</v>
      </c>
      <c r="O137" s="1002">
        <v>0</v>
      </c>
      <c r="P137" s="1002">
        <v>335.65999999999997</v>
      </c>
    </row>
    <row r="138" spans="1:16" hidden="1" x14ac:dyDescent="0.35">
      <c r="A138" t="s">
        <v>1587</v>
      </c>
      <c r="B138" t="s">
        <v>1615</v>
      </c>
      <c r="C138" t="s">
        <v>1615</v>
      </c>
      <c r="D138" t="s">
        <v>1621</v>
      </c>
      <c r="E138" s="1002">
        <v>0</v>
      </c>
      <c r="F138" s="1002">
        <v>0</v>
      </c>
      <c r="G138" s="1002">
        <v>0</v>
      </c>
      <c r="H138" s="1002">
        <v>0</v>
      </c>
      <c r="I138" s="1002">
        <v>0</v>
      </c>
      <c r="J138" s="1002">
        <v>0</v>
      </c>
      <c r="K138" s="1002">
        <v>0</v>
      </c>
      <c r="L138" s="1002">
        <v>0</v>
      </c>
      <c r="M138" s="1002">
        <v>0</v>
      </c>
      <c r="N138" s="1002">
        <v>14</v>
      </c>
      <c r="O138" s="1002">
        <v>0</v>
      </c>
      <c r="P138" s="1002">
        <v>14</v>
      </c>
    </row>
    <row r="139" spans="1:16" hidden="1" x14ac:dyDescent="0.35">
      <c r="A139" t="s">
        <v>1587</v>
      </c>
      <c r="B139" t="s">
        <v>1615</v>
      </c>
      <c r="C139" t="s">
        <v>1615</v>
      </c>
      <c r="D139" t="s">
        <v>1624</v>
      </c>
      <c r="E139" s="1002">
        <v>0</v>
      </c>
      <c r="F139" s="1002">
        <v>0</v>
      </c>
      <c r="G139" s="1002">
        <v>0</v>
      </c>
      <c r="H139" s="1002">
        <v>-2.2000000000000002</v>
      </c>
      <c r="I139" s="1002">
        <v>0</v>
      </c>
      <c r="J139" s="1002">
        <v>-2.2000000000000002</v>
      </c>
      <c r="K139" s="1002">
        <v>0</v>
      </c>
      <c r="L139" s="1002">
        <v>0</v>
      </c>
      <c r="M139" s="1002">
        <v>0</v>
      </c>
      <c r="N139" s="1002">
        <v>-16.5</v>
      </c>
      <c r="O139" s="1002">
        <v>0</v>
      </c>
      <c r="P139" s="1002">
        <v>-16.5</v>
      </c>
    </row>
    <row r="140" spans="1:16" hidden="1" x14ac:dyDescent="0.35">
      <c r="A140" t="s">
        <v>1587</v>
      </c>
      <c r="B140" t="s">
        <v>1628</v>
      </c>
      <c r="C140" t="s">
        <v>1629</v>
      </c>
      <c r="D140" t="s">
        <v>1630</v>
      </c>
      <c r="E140" s="1002">
        <v>1.47</v>
      </c>
      <c r="F140" s="1002">
        <v>0</v>
      </c>
      <c r="G140" s="1002">
        <v>1</v>
      </c>
      <c r="H140" s="1002">
        <v>0</v>
      </c>
      <c r="I140" s="1002">
        <v>0</v>
      </c>
      <c r="J140" s="1002">
        <v>2.4699999999999998</v>
      </c>
      <c r="K140" s="1002">
        <v>1.6</v>
      </c>
      <c r="L140" s="1002">
        <v>0</v>
      </c>
      <c r="M140" s="1002">
        <v>1</v>
      </c>
      <c r="N140" s="1002">
        <v>0</v>
      </c>
      <c r="O140" s="1002">
        <v>0</v>
      </c>
      <c r="P140" s="1002">
        <v>2.6</v>
      </c>
    </row>
    <row r="141" spans="1:16" hidden="1" x14ac:dyDescent="0.35">
      <c r="A141" t="s">
        <v>1587</v>
      </c>
      <c r="B141" t="s">
        <v>1628</v>
      </c>
      <c r="C141" t="s">
        <v>1629</v>
      </c>
      <c r="D141" t="s">
        <v>1633</v>
      </c>
      <c r="E141" s="1002">
        <v>2.512</v>
      </c>
      <c r="F141" s="1002">
        <v>0</v>
      </c>
      <c r="G141" s="1002">
        <v>0</v>
      </c>
      <c r="H141" s="1002">
        <v>0</v>
      </c>
      <c r="I141" s="1002">
        <v>0</v>
      </c>
      <c r="J141" s="1002">
        <v>2.512</v>
      </c>
      <c r="K141" s="1002">
        <v>4.5000000000000009</v>
      </c>
      <c r="L141" s="1002">
        <v>0</v>
      </c>
      <c r="M141" s="1002">
        <v>0</v>
      </c>
      <c r="N141" s="1002">
        <v>0</v>
      </c>
      <c r="O141" s="1002">
        <v>0</v>
      </c>
      <c r="P141" s="1002">
        <v>4.5000000000000009</v>
      </c>
    </row>
    <row r="142" spans="1:16" hidden="1" x14ac:dyDescent="0.35">
      <c r="A142" t="s">
        <v>1587</v>
      </c>
      <c r="B142" t="s">
        <v>1628</v>
      </c>
      <c r="C142" t="s">
        <v>1629</v>
      </c>
      <c r="D142" t="s">
        <v>1636</v>
      </c>
      <c r="E142" s="1002">
        <v>0.439</v>
      </c>
      <c r="F142" s="1002">
        <v>0</v>
      </c>
      <c r="G142" s="1002">
        <v>0</v>
      </c>
      <c r="H142" s="1002">
        <v>0</v>
      </c>
      <c r="I142" s="1002">
        <v>0</v>
      </c>
      <c r="J142" s="1002">
        <v>0.439</v>
      </c>
      <c r="K142" s="1002">
        <v>0.85</v>
      </c>
      <c r="L142" s="1002">
        <v>0</v>
      </c>
      <c r="M142" s="1002">
        <v>15</v>
      </c>
      <c r="N142" s="1002">
        <v>0</v>
      </c>
      <c r="O142" s="1002">
        <v>0</v>
      </c>
      <c r="P142" s="1002">
        <v>15.85</v>
      </c>
    </row>
    <row r="143" spans="1:16" hidden="1" x14ac:dyDescent="0.35">
      <c r="A143" t="s">
        <v>1587</v>
      </c>
      <c r="B143" t="s">
        <v>1628</v>
      </c>
      <c r="C143" t="s">
        <v>1640</v>
      </c>
      <c r="D143" t="s">
        <v>1640</v>
      </c>
      <c r="E143" s="1002">
        <v>5.181</v>
      </c>
      <c r="F143" s="1002">
        <v>0</v>
      </c>
      <c r="G143" s="1002">
        <v>17</v>
      </c>
      <c r="H143" s="1002">
        <v>0</v>
      </c>
      <c r="I143" s="1002">
        <v>0</v>
      </c>
      <c r="J143" s="1002">
        <v>22.181000000000001</v>
      </c>
      <c r="K143" s="1002">
        <v>11.999999999999998</v>
      </c>
      <c r="L143" s="1002">
        <v>0</v>
      </c>
      <c r="M143" s="1034">
        <v>9</v>
      </c>
      <c r="N143" s="1002">
        <v>0</v>
      </c>
      <c r="O143" s="1002">
        <v>0</v>
      </c>
      <c r="P143" s="1034">
        <v>21</v>
      </c>
    </row>
    <row r="144" spans="1:16" hidden="1" x14ac:dyDescent="0.35">
      <c r="A144" t="s">
        <v>1587</v>
      </c>
      <c r="B144" t="s">
        <v>1628</v>
      </c>
      <c r="C144" t="s">
        <v>1644</v>
      </c>
      <c r="D144" t="s">
        <v>1645</v>
      </c>
      <c r="E144" s="1002">
        <v>0</v>
      </c>
      <c r="F144" s="1002">
        <v>0</v>
      </c>
      <c r="G144" s="1002">
        <v>6.4</v>
      </c>
      <c r="H144" s="1002">
        <v>0</v>
      </c>
      <c r="I144" s="1002">
        <v>0</v>
      </c>
      <c r="J144" s="1002">
        <v>6.4</v>
      </c>
      <c r="K144" s="1002">
        <v>0</v>
      </c>
      <c r="L144" s="1002">
        <v>0</v>
      </c>
      <c r="M144" s="1002">
        <v>5.64</v>
      </c>
      <c r="N144" s="1002">
        <v>0</v>
      </c>
      <c r="O144" s="1002">
        <v>0</v>
      </c>
      <c r="P144" s="1002">
        <v>5.64</v>
      </c>
    </row>
    <row r="145" spans="1:16" hidden="1" x14ac:dyDescent="0.35">
      <c r="A145" t="s">
        <v>1587</v>
      </c>
      <c r="B145" t="s">
        <v>1628</v>
      </c>
      <c r="C145" t="s">
        <v>1644</v>
      </c>
      <c r="D145" t="s">
        <v>1647</v>
      </c>
      <c r="E145" s="1002">
        <v>72.494</v>
      </c>
      <c r="F145" s="1002">
        <v>0</v>
      </c>
      <c r="G145" s="1002">
        <v>0</v>
      </c>
      <c r="H145" s="1002">
        <v>0</v>
      </c>
      <c r="I145" s="1002">
        <v>0</v>
      </c>
      <c r="J145" s="1002">
        <v>72.494</v>
      </c>
      <c r="K145" s="1002">
        <v>74.400000000000006</v>
      </c>
      <c r="L145" s="1002">
        <v>0</v>
      </c>
      <c r="M145" s="1002">
        <v>0</v>
      </c>
      <c r="N145" s="1002">
        <v>0</v>
      </c>
      <c r="O145" s="1002">
        <v>0</v>
      </c>
      <c r="P145" s="1002">
        <v>74.400000000000006</v>
      </c>
    </row>
    <row r="146" spans="1:16" hidden="1" x14ac:dyDescent="0.35">
      <c r="A146" t="s">
        <v>1587</v>
      </c>
      <c r="B146" t="s">
        <v>1628</v>
      </c>
      <c r="C146" t="s">
        <v>1644</v>
      </c>
      <c r="D146" t="s">
        <v>1650</v>
      </c>
      <c r="E146" s="1002">
        <v>0</v>
      </c>
      <c r="F146" s="1002">
        <v>6.28</v>
      </c>
      <c r="G146" s="1002">
        <v>0</v>
      </c>
      <c r="H146" s="1002">
        <v>0</v>
      </c>
      <c r="I146" s="1002">
        <v>0</v>
      </c>
      <c r="J146" s="1002">
        <v>6.28</v>
      </c>
      <c r="K146" s="1002">
        <v>0</v>
      </c>
      <c r="L146" s="1002">
        <v>7.3770000000000007</v>
      </c>
      <c r="M146" s="1002">
        <v>0</v>
      </c>
      <c r="N146" s="1002">
        <v>0</v>
      </c>
      <c r="O146" s="1002">
        <v>0</v>
      </c>
      <c r="P146" s="1002">
        <v>7.3770000000000007</v>
      </c>
    </row>
    <row r="147" spans="1:16" hidden="1" x14ac:dyDescent="0.35">
      <c r="A147" t="s">
        <v>1587</v>
      </c>
      <c r="B147" t="s">
        <v>1628</v>
      </c>
      <c r="C147" t="s">
        <v>1644</v>
      </c>
      <c r="D147" t="s">
        <v>1651</v>
      </c>
      <c r="E147" s="1002">
        <v>23.922000000000001</v>
      </c>
      <c r="F147" s="1002">
        <v>0</v>
      </c>
      <c r="G147" s="1002">
        <v>0</v>
      </c>
      <c r="H147" s="1002">
        <v>0</v>
      </c>
      <c r="I147" s="1002">
        <v>0</v>
      </c>
      <c r="J147" s="1002">
        <v>23.922000000000001</v>
      </c>
      <c r="K147" s="1002">
        <v>24</v>
      </c>
      <c r="L147" s="1002">
        <v>0</v>
      </c>
      <c r="M147" s="1002">
        <v>0</v>
      </c>
      <c r="N147" s="1002">
        <v>0</v>
      </c>
      <c r="O147" s="1002">
        <v>0</v>
      </c>
      <c r="P147" s="1002">
        <v>24</v>
      </c>
    </row>
    <row r="148" spans="1:16" hidden="1" x14ac:dyDescent="0.35">
      <c r="A148" t="s">
        <v>1587</v>
      </c>
      <c r="B148" t="s">
        <v>1628</v>
      </c>
      <c r="C148" t="s">
        <v>1644</v>
      </c>
      <c r="D148" t="s">
        <v>1654</v>
      </c>
      <c r="E148" s="1002">
        <v>-55.286999999999999</v>
      </c>
      <c r="F148" s="1002">
        <v>0</v>
      </c>
      <c r="G148" s="1002">
        <v>0</v>
      </c>
      <c r="H148" s="1002">
        <v>0</v>
      </c>
      <c r="I148" s="1002">
        <v>0</v>
      </c>
      <c r="J148" s="1002">
        <v>-55.286999999999999</v>
      </c>
      <c r="K148" s="1002">
        <v>-56</v>
      </c>
      <c r="L148" s="1002">
        <v>0</v>
      </c>
      <c r="M148" s="1002">
        <v>0</v>
      </c>
      <c r="N148" s="1002">
        <v>0</v>
      </c>
      <c r="O148" s="1002">
        <v>0</v>
      </c>
      <c r="P148" s="1002">
        <v>-56</v>
      </c>
    </row>
    <row r="149" spans="1:16" hidden="1" x14ac:dyDescent="0.35">
      <c r="A149" t="s">
        <v>1587</v>
      </c>
      <c r="B149" t="s">
        <v>1628</v>
      </c>
      <c r="C149" t="s">
        <v>1657</v>
      </c>
      <c r="D149" t="s">
        <v>1658</v>
      </c>
      <c r="E149" s="1002">
        <v>39.659999999999997</v>
      </c>
      <c r="F149" s="1002">
        <v>0</v>
      </c>
      <c r="G149" s="1002">
        <v>0</v>
      </c>
      <c r="H149" s="1002">
        <v>0</v>
      </c>
      <c r="I149" s="1002">
        <v>0</v>
      </c>
      <c r="J149" s="1002">
        <v>39.659999999999997</v>
      </c>
      <c r="K149" s="1002">
        <v>39</v>
      </c>
      <c r="L149" s="1002">
        <v>0</v>
      </c>
      <c r="M149" s="1002">
        <v>0</v>
      </c>
      <c r="N149" s="1002">
        <v>0</v>
      </c>
      <c r="O149" s="1002">
        <v>0</v>
      </c>
      <c r="P149" s="1002">
        <v>39</v>
      </c>
    </row>
    <row r="150" spans="1:16" hidden="1" x14ac:dyDescent="0.35">
      <c r="A150" t="s">
        <v>1587</v>
      </c>
      <c r="B150" t="s">
        <v>1628</v>
      </c>
      <c r="C150" t="s">
        <v>1657</v>
      </c>
      <c r="D150" t="s">
        <v>1661</v>
      </c>
      <c r="E150" s="1002">
        <v>0</v>
      </c>
      <c r="F150" s="1002">
        <v>2.363</v>
      </c>
      <c r="G150" s="1002">
        <v>0</v>
      </c>
      <c r="H150" s="1002">
        <v>0</v>
      </c>
      <c r="I150" s="1002">
        <v>0</v>
      </c>
      <c r="J150" s="1002">
        <v>2.363</v>
      </c>
      <c r="K150" s="1002">
        <v>0</v>
      </c>
      <c r="L150" s="1002">
        <v>2.15</v>
      </c>
      <c r="M150" s="1002">
        <v>0</v>
      </c>
      <c r="N150" s="1002">
        <v>0</v>
      </c>
      <c r="O150" s="1002">
        <v>4.4999999999999998E-2</v>
      </c>
      <c r="P150" s="1002">
        <v>2.1949999999999998</v>
      </c>
    </row>
    <row r="151" spans="1:16" hidden="1" x14ac:dyDescent="0.35">
      <c r="A151" t="s">
        <v>1587</v>
      </c>
      <c r="B151" t="s">
        <v>1628</v>
      </c>
      <c r="C151" t="s">
        <v>1657</v>
      </c>
      <c r="D151" t="s">
        <v>1662</v>
      </c>
      <c r="E151" s="1002">
        <v>21.393999999999998</v>
      </c>
      <c r="F151" s="1002">
        <v>0</v>
      </c>
      <c r="G151" s="1002">
        <v>0</v>
      </c>
      <c r="H151" s="1002">
        <v>0</v>
      </c>
      <c r="I151" s="1002">
        <v>0</v>
      </c>
      <c r="J151" s="1002">
        <v>21.393999999999998</v>
      </c>
      <c r="K151" s="1002">
        <v>19</v>
      </c>
      <c r="L151" s="1002">
        <v>0</v>
      </c>
      <c r="M151" s="1002">
        <v>0</v>
      </c>
      <c r="N151" s="1002">
        <v>0</v>
      </c>
      <c r="O151" s="1002">
        <v>0</v>
      </c>
      <c r="P151" s="1002">
        <v>19</v>
      </c>
    </row>
    <row r="152" spans="1:16" hidden="1" x14ac:dyDescent="0.35">
      <c r="A152" t="s">
        <v>1587</v>
      </c>
      <c r="B152" t="s">
        <v>1628</v>
      </c>
      <c r="C152" t="s">
        <v>1657</v>
      </c>
      <c r="D152" t="s">
        <v>1665</v>
      </c>
      <c r="E152" s="1002">
        <v>0</v>
      </c>
      <c r="F152" s="1002">
        <v>0</v>
      </c>
      <c r="G152" s="1002">
        <v>14.696</v>
      </c>
      <c r="H152" s="1002">
        <v>0</v>
      </c>
      <c r="I152" s="1002">
        <v>0</v>
      </c>
      <c r="J152" s="1002">
        <v>14.696</v>
      </c>
      <c r="K152" s="1002">
        <v>0</v>
      </c>
      <c r="L152" s="1002">
        <v>0</v>
      </c>
      <c r="M152" s="1002">
        <v>7.9580000000000002</v>
      </c>
      <c r="N152" s="1002">
        <v>0</v>
      </c>
      <c r="O152" s="1002">
        <v>0</v>
      </c>
      <c r="P152" s="1002">
        <v>7.9580000000000002</v>
      </c>
    </row>
    <row r="153" spans="1:16" hidden="1" x14ac:dyDescent="0.35">
      <c r="A153" t="s">
        <v>1587</v>
      </c>
      <c r="B153" t="s">
        <v>1628</v>
      </c>
      <c r="C153" t="s">
        <v>1668</v>
      </c>
      <c r="D153" t="s">
        <v>1668</v>
      </c>
      <c r="E153" s="1002">
        <v>22.585000000000001</v>
      </c>
      <c r="F153" s="1002">
        <v>0</v>
      </c>
      <c r="G153" s="1002">
        <v>22.332000000000001</v>
      </c>
      <c r="H153" s="1002">
        <v>0</v>
      </c>
      <c r="I153" s="1002">
        <v>0</v>
      </c>
      <c r="J153" s="1002">
        <v>44.917000000000002</v>
      </c>
      <c r="K153" s="1002">
        <v>7.1999999999999993</v>
      </c>
      <c r="L153" s="1002">
        <v>0</v>
      </c>
      <c r="M153" s="1002">
        <v>16</v>
      </c>
      <c r="N153" s="1002">
        <v>0</v>
      </c>
      <c r="O153" s="1002">
        <v>0</v>
      </c>
      <c r="P153" s="1002">
        <v>23.2</v>
      </c>
    </row>
    <row r="154" spans="1:16" hidden="1" x14ac:dyDescent="0.35">
      <c r="A154" t="s">
        <v>1587</v>
      </c>
      <c r="B154" t="s">
        <v>1628</v>
      </c>
      <c r="C154" t="s">
        <v>1672</v>
      </c>
      <c r="D154" t="s">
        <v>1673</v>
      </c>
      <c r="E154" s="1002">
        <v>0</v>
      </c>
      <c r="F154" s="1002">
        <v>0</v>
      </c>
      <c r="G154" s="1002">
        <v>0</v>
      </c>
      <c r="H154" s="1002">
        <v>0</v>
      </c>
      <c r="I154" s="1002">
        <v>0</v>
      </c>
      <c r="J154" s="1002">
        <v>0</v>
      </c>
      <c r="K154" s="1002">
        <v>10.3</v>
      </c>
      <c r="L154" s="1002">
        <v>0</v>
      </c>
      <c r="M154" s="1002">
        <v>0</v>
      </c>
      <c r="N154" s="1002">
        <v>0</v>
      </c>
      <c r="O154" s="1002">
        <v>0</v>
      </c>
      <c r="P154" s="1002">
        <v>10.3</v>
      </c>
    </row>
    <row r="155" spans="1:16" hidden="1" x14ac:dyDescent="0.35">
      <c r="A155" t="s">
        <v>1587</v>
      </c>
      <c r="B155" t="s">
        <v>1628</v>
      </c>
      <c r="C155" t="s">
        <v>1672</v>
      </c>
      <c r="D155" t="s">
        <v>1676</v>
      </c>
      <c r="E155" s="1002">
        <v>0</v>
      </c>
      <c r="F155" s="1002">
        <v>0</v>
      </c>
      <c r="G155" s="1002">
        <v>0</v>
      </c>
      <c r="H155" s="1002">
        <v>0</v>
      </c>
      <c r="I155" s="1002">
        <v>0</v>
      </c>
      <c r="J155" s="1002">
        <v>0</v>
      </c>
      <c r="K155" s="1002">
        <v>0</v>
      </c>
      <c r="L155" s="1002">
        <v>0</v>
      </c>
      <c r="M155" s="1002">
        <v>0</v>
      </c>
      <c r="N155" s="1002">
        <v>0</v>
      </c>
      <c r="O155" s="1002">
        <v>0</v>
      </c>
      <c r="P155" s="1002">
        <v>0</v>
      </c>
    </row>
    <row r="156" spans="1:16" hidden="1" x14ac:dyDescent="0.35">
      <c r="A156" t="s">
        <v>1587</v>
      </c>
      <c r="B156" t="s">
        <v>1628</v>
      </c>
      <c r="C156" t="s">
        <v>1672</v>
      </c>
      <c r="D156" t="s">
        <v>1677</v>
      </c>
      <c r="E156" s="1002">
        <v>0</v>
      </c>
      <c r="F156" s="1002">
        <v>0</v>
      </c>
      <c r="G156" s="1002">
        <v>0</v>
      </c>
      <c r="H156" s="1002">
        <v>0</v>
      </c>
      <c r="I156" s="1002">
        <v>0</v>
      </c>
      <c r="J156" s="1002">
        <v>0</v>
      </c>
      <c r="K156" s="1002">
        <v>6.1</v>
      </c>
      <c r="L156" s="1002">
        <v>0</v>
      </c>
      <c r="M156" s="1002">
        <v>0</v>
      </c>
      <c r="N156" s="1002">
        <v>0</v>
      </c>
      <c r="O156" s="1002">
        <v>0</v>
      </c>
      <c r="P156" s="1002">
        <v>6.1</v>
      </c>
    </row>
    <row r="157" spans="1:16" hidden="1" x14ac:dyDescent="0.35">
      <c r="A157" t="s">
        <v>1587</v>
      </c>
      <c r="B157" t="s">
        <v>1628</v>
      </c>
      <c r="C157" t="s">
        <v>1672</v>
      </c>
      <c r="D157" t="s">
        <v>1680</v>
      </c>
      <c r="E157" s="1002">
        <v>0</v>
      </c>
      <c r="F157" s="1002">
        <v>0</v>
      </c>
      <c r="G157" s="1002">
        <v>0</v>
      </c>
      <c r="H157" s="1002">
        <v>0</v>
      </c>
      <c r="I157" s="1002">
        <v>0</v>
      </c>
      <c r="J157" s="1002">
        <v>0</v>
      </c>
      <c r="K157" s="1002">
        <v>0</v>
      </c>
      <c r="L157" s="1002">
        <v>0</v>
      </c>
      <c r="M157" s="1002">
        <v>0</v>
      </c>
      <c r="N157" s="1002">
        <v>0</v>
      </c>
      <c r="O157" s="1002">
        <v>0</v>
      </c>
      <c r="P157" s="1002">
        <v>0</v>
      </c>
    </row>
    <row r="158" spans="1:16" hidden="1" x14ac:dyDescent="0.35">
      <c r="A158" t="s">
        <v>1587</v>
      </c>
      <c r="B158" t="s">
        <v>1683</v>
      </c>
      <c r="C158" t="s">
        <v>1683</v>
      </c>
      <c r="D158" t="s">
        <v>1683</v>
      </c>
      <c r="E158" s="1002">
        <v>2.92</v>
      </c>
      <c r="F158" s="1002">
        <v>0</v>
      </c>
      <c r="G158" s="1002">
        <v>0</v>
      </c>
      <c r="H158" s="1002">
        <v>0</v>
      </c>
      <c r="I158" s="1002">
        <v>0</v>
      </c>
      <c r="J158" s="1002">
        <v>2.92</v>
      </c>
      <c r="K158" s="1002">
        <v>3.1</v>
      </c>
      <c r="L158" s="1002">
        <v>7.1999999999999995E-2</v>
      </c>
      <c r="M158" s="1002">
        <v>0.61599999999999999</v>
      </c>
      <c r="N158" s="1002">
        <v>0</v>
      </c>
      <c r="O158" s="1002">
        <v>0</v>
      </c>
      <c r="P158" s="1002">
        <v>3.7880000000000003</v>
      </c>
    </row>
    <row r="159" spans="1:16" hidden="1" x14ac:dyDescent="0.35">
      <c r="A159" t="s">
        <v>1587</v>
      </c>
      <c r="B159" t="s">
        <v>1687</v>
      </c>
      <c r="C159" t="s">
        <v>1688</v>
      </c>
      <c r="D159" t="s">
        <v>1688</v>
      </c>
      <c r="E159" s="1002">
        <v>28.344999999999999</v>
      </c>
      <c r="F159" s="1002">
        <v>0</v>
      </c>
      <c r="G159" s="1002">
        <v>0</v>
      </c>
      <c r="H159" s="1002">
        <v>0</v>
      </c>
      <c r="I159" s="1002">
        <v>0</v>
      </c>
      <c r="J159" s="1002">
        <v>28.344999999999999</v>
      </c>
      <c r="K159" s="1002">
        <v>36.768999999999998</v>
      </c>
      <c r="L159" s="1002">
        <v>0</v>
      </c>
      <c r="M159" s="1002">
        <v>20.25</v>
      </c>
      <c r="N159" s="1002">
        <v>0</v>
      </c>
      <c r="O159" s="1002">
        <v>0</v>
      </c>
      <c r="P159" s="1002">
        <v>57.018999999999998</v>
      </c>
    </row>
    <row r="160" spans="1:16" hidden="1" x14ac:dyDescent="0.35">
      <c r="A160" t="s">
        <v>1587</v>
      </c>
      <c r="B160" t="s">
        <v>1687</v>
      </c>
      <c r="C160" t="s">
        <v>1691</v>
      </c>
      <c r="D160" t="s">
        <v>1691</v>
      </c>
      <c r="E160" s="1002">
        <v>0</v>
      </c>
      <c r="F160" s="1002">
        <v>0</v>
      </c>
      <c r="G160" s="1002">
        <v>12.172000000000001</v>
      </c>
      <c r="H160" s="1002">
        <v>0</v>
      </c>
      <c r="I160" s="1002">
        <v>0</v>
      </c>
      <c r="J160" s="1002">
        <v>12.172000000000001</v>
      </c>
      <c r="K160" s="1002">
        <v>0</v>
      </c>
      <c r="L160" s="1002">
        <v>0</v>
      </c>
      <c r="M160" s="1002">
        <v>15.899999999999999</v>
      </c>
      <c r="N160" s="1002">
        <v>0</v>
      </c>
      <c r="O160" s="1002">
        <v>0</v>
      </c>
      <c r="P160" s="1002">
        <v>15.899999999999999</v>
      </c>
    </row>
    <row r="161" spans="1:16" hidden="1" x14ac:dyDescent="0.35">
      <c r="A161" t="s">
        <v>1587</v>
      </c>
      <c r="B161" t="s">
        <v>1695</v>
      </c>
      <c r="C161" t="s">
        <v>1696</v>
      </c>
      <c r="D161" t="s">
        <v>1696</v>
      </c>
      <c r="E161" s="1002">
        <v>-121.5</v>
      </c>
      <c r="F161" s="1002">
        <v>0</v>
      </c>
      <c r="G161" s="1002">
        <v>0</v>
      </c>
      <c r="H161" s="1002">
        <v>0</v>
      </c>
      <c r="I161" s="1002">
        <v>0</v>
      </c>
      <c r="J161" s="1002">
        <v>-121.5</v>
      </c>
      <c r="K161" s="1002">
        <v>-129</v>
      </c>
      <c r="L161" s="1002">
        <v>0</v>
      </c>
      <c r="M161" s="1002">
        <v>0</v>
      </c>
      <c r="N161" s="1002">
        <v>0</v>
      </c>
      <c r="O161" s="1002">
        <v>0</v>
      </c>
      <c r="P161" s="1002">
        <v>-129</v>
      </c>
    </row>
    <row r="162" spans="1:16" hidden="1" x14ac:dyDescent="0.35">
      <c r="A162" t="s">
        <v>1587</v>
      </c>
      <c r="B162" t="s">
        <v>1695</v>
      </c>
      <c r="C162" t="s">
        <v>1699</v>
      </c>
      <c r="D162" t="s">
        <v>1699</v>
      </c>
      <c r="E162" s="1002">
        <v>0</v>
      </c>
      <c r="F162" s="1002">
        <v>0</v>
      </c>
      <c r="G162" s="1002">
        <v>170</v>
      </c>
      <c r="H162" s="1002">
        <v>0</v>
      </c>
      <c r="I162" s="1002">
        <v>0</v>
      </c>
      <c r="J162" s="1002">
        <v>170</v>
      </c>
      <c r="K162" s="1002">
        <v>0</v>
      </c>
      <c r="L162" s="1002">
        <v>0</v>
      </c>
      <c r="M162" s="1002">
        <v>170</v>
      </c>
      <c r="N162" s="1002">
        <v>0</v>
      </c>
      <c r="O162" s="1002">
        <v>0</v>
      </c>
      <c r="P162" s="1002">
        <v>170</v>
      </c>
    </row>
    <row r="163" spans="1:16" hidden="1" x14ac:dyDescent="0.35">
      <c r="A163" t="s">
        <v>1587</v>
      </c>
      <c r="B163" t="s">
        <v>1695</v>
      </c>
      <c r="C163" t="s">
        <v>1701</v>
      </c>
      <c r="D163" t="s">
        <v>1701</v>
      </c>
      <c r="E163" s="1002">
        <v>2.0369999999999999</v>
      </c>
      <c r="F163" s="1002">
        <v>0</v>
      </c>
      <c r="G163" s="1002">
        <v>0</v>
      </c>
      <c r="H163" s="1002">
        <v>0</v>
      </c>
      <c r="I163" s="1002">
        <v>0</v>
      </c>
      <c r="J163" s="1002">
        <v>2.0369999999999999</v>
      </c>
      <c r="K163" s="1002">
        <v>4.0720000000000001</v>
      </c>
      <c r="L163" s="1002">
        <v>0</v>
      </c>
      <c r="M163" s="1002">
        <v>0</v>
      </c>
      <c r="N163" s="1002">
        <v>0</v>
      </c>
      <c r="O163" s="1002">
        <v>0</v>
      </c>
      <c r="P163" s="1002">
        <v>4.0720000000000001</v>
      </c>
    </row>
    <row r="164" spans="1:16" hidden="1" x14ac:dyDescent="0.35">
      <c r="A164" t="s">
        <v>1587</v>
      </c>
      <c r="B164" t="s">
        <v>1695</v>
      </c>
      <c r="C164" t="s">
        <v>1704</v>
      </c>
      <c r="D164" t="s">
        <v>1704</v>
      </c>
      <c r="E164" s="1002">
        <v>0.41499999999999998</v>
      </c>
      <c r="F164" s="1002">
        <v>0</v>
      </c>
      <c r="G164" s="1002">
        <v>0</v>
      </c>
      <c r="H164" s="1002">
        <v>0</v>
      </c>
      <c r="I164" s="1002">
        <v>0</v>
      </c>
      <c r="J164" s="1002">
        <v>0.41499999999999998</v>
      </c>
      <c r="K164" s="1002">
        <v>0.5</v>
      </c>
      <c r="L164" s="1002">
        <v>0</v>
      </c>
      <c r="M164" s="1002">
        <v>0</v>
      </c>
      <c r="N164" s="1002">
        <v>0</v>
      </c>
      <c r="O164" s="1002">
        <v>0</v>
      </c>
      <c r="P164" s="1002">
        <v>0.5</v>
      </c>
    </row>
    <row r="165" spans="1:16" hidden="1" x14ac:dyDescent="0.35">
      <c r="A165" t="s">
        <v>1587</v>
      </c>
      <c r="B165" t="s">
        <v>1695</v>
      </c>
      <c r="C165" t="s">
        <v>1706</v>
      </c>
      <c r="D165" t="s">
        <v>1706</v>
      </c>
      <c r="E165" s="1002">
        <v>1.8420000000000001</v>
      </c>
      <c r="F165" s="1002">
        <v>0</v>
      </c>
      <c r="G165" s="1002">
        <v>5</v>
      </c>
      <c r="H165" s="1002">
        <v>0</v>
      </c>
      <c r="I165" s="1002">
        <v>0</v>
      </c>
      <c r="J165" s="1002">
        <v>6.8420000000000005</v>
      </c>
      <c r="K165" s="1002">
        <v>1.8420000000000001</v>
      </c>
      <c r="L165" s="1002">
        <v>0</v>
      </c>
      <c r="M165" s="1002">
        <v>5</v>
      </c>
      <c r="N165" s="1002">
        <v>0</v>
      </c>
      <c r="O165" s="1002">
        <v>0</v>
      </c>
      <c r="P165" s="1002">
        <v>6.8420000000000005</v>
      </c>
    </row>
    <row r="166" spans="1:16" hidden="1" x14ac:dyDescent="0.35">
      <c r="A166" t="s">
        <v>650</v>
      </c>
      <c r="B166" t="s">
        <v>651</v>
      </c>
      <c r="C166" t="s">
        <v>652</v>
      </c>
      <c r="D166" t="s">
        <v>653</v>
      </c>
      <c r="E166" s="1002">
        <v>0.317</v>
      </c>
      <c r="F166" s="1002">
        <v>0</v>
      </c>
      <c r="G166" s="1002">
        <v>0.39</v>
      </c>
      <c r="H166" s="1002">
        <v>0</v>
      </c>
      <c r="I166" s="1002">
        <v>0</v>
      </c>
      <c r="J166" s="1002">
        <v>0.70700000000000007</v>
      </c>
      <c r="K166" s="1002">
        <v>1.248</v>
      </c>
      <c r="L166" s="1002">
        <v>0</v>
      </c>
      <c r="M166" s="1002">
        <v>0.33500000000000002</v>
      </c>
      <c r="N166" s="1002">
        <v>0</v>
      </c>
      <c r="O166" s="1002">
        <v>0</v>
      </c>
      <c r="P166" s="1002">
        <v>1.583</v>
      </c>
    </row>
    <row r="167" spans="1:16" hidden="1" x14ac:dyDescent="0.35">
      <c r="A167" t="s">
        <v>650</v>
      </c>
      <c r="B167" t="s">
        <v>651</v>
      </c>
      <c r="C167" t="s">
        <v>652</v>
      </c>
      <c r="D167" t="s">
        <v>656</v>
      </c>
      <c r="E167" s="1002">
        <v>2.0299999999999998</v>
      </c>
      <c r="F167" s="1002">
        <v>0</v>
      </c>
      <c r="G167" s="1002">
        <v>0.51100000000000001</v>
      </c>
      <c r="H167" s="1002">
        <v>0</v>
      </c>
      <c r="I167" s="1002">
        <v>0</v>
      </c>
      <c r="J167" s="1002">
        <v>2.5409999999999999</v>
      </c>
      <c r="K167" s="1002">
        <v>1.0860000000000001</v>
      </c>
      <c r="L167" s="1002">
        <v>0</v>
      </c>
      <c r="M167" s="1002">
        <v>1.298</v>
      </c>
      <c r="N167" s="1002">
        <v>0</v>
      </c>
      <c r="O167" s="1002">
        <v>0</v>
      </c>
      <c r="P167" s="1002">
        <v>2.3840000000000003</v>
      </c>
    </row>
    <row r="168" spans="1:16" hidden="1" x14ac:dyDescent="0.35">
      <c r="A168" t="s">
        <v>650</v>
      </c>
      <c r="B168" t="s">
        <v>651</v>
      </c>
      <c r="C168" t="s">
        <v>652</v>
      </c>
      <c r="D168" t="s">
        <v>659</v>
      </c>
      <c r="E168" s="1002">
        <v>0.61899999999999999</v>
      </c>
      <c r="F168" s="1002">
        <v>0</v>
      </c>
      <c r="G168" s="1002">
        <v>0.28000000000000003</v>
      </c>
      <c r="H168" s="1002">
        <v>0</v>
      </c>
      <c r="I168" s="1002">
        <v>0</v>
      </c>
      <c r="J168" s="1002">
        <v>0.89900000000000002</v>
      </c>
      <c r="K168" s="1002">
        <v>1.0389999999999999</v>
      </c>
      <c r="L168" s="1002">
        <v>0</v>
      </c>
      <c r="M168" s="1002">
        <v>0.02</v>
      </c>
      <c r="N168" s="1002">
        <v>0</v>
      </c>
      <c r="O168" s="1002">
        <v>0</v>
      </c>
      <c r="P168" s="1002">
        <v>1.0589999999999999</v>
      </c>
    </row>
    <row r="169" spans="1:16" hidden="1" x14ac:dyDescent="0.35">
      <c r="A169" t="s">
        <v>650</v>
      </c>
      <c r="B169" t="s">
        <v>651</v>
      </c>
      <c r="C169" t="s">
        <v>652</v>
      </c>
      <c r="D169" t="s">
        <v>661</v>
      </c>
      <c r="E169" s="1002">
        <v>0.75600000000000001</v>
      </c>
      <c r="F169" s="1002">
        <v>0</v>
      </c>
      <c r="G169" s="1002">
        <v>0</v>
      </c>
      <c r="H169" s="1002">
        <v>0</v>
      </c>
      <c r="I169" s="1002">
        <v>0</v>
      </c>
      <c r="J169" s="1002">
        <v>0.75600000000000001</v>
      </c>
      <c r="K169" s="1002">
        <v>0.95299999999999996</v>
      </c>
      <c r="L169" s="1002">
        <v>0</v>
      </c>
      <c r="M169" s="1002">
        <v>0</v>
      </c>
      <c r="N169" s="1002">
        <v>0</v>
      </c>
      <c r="O169" s="1002">
        <v>0</v>
      </c>
      <c r="P169" s="1002">
        <v>0.95299999999999996</v>
      </c>
    </row>
    <row r="170" spans="1:16" hidden="1" x14ac:dyDescent="0.35">
      <c r="A170" t="s">
        <v>650</v>
      </c>
      <c r="B170" t="s">
        <v>651</v>
      </c>
      <c r="C170" t="s">
        <v>664</v>
      </c>
      <c r="D170" t="s">
        <v>665</v>
      </c>
      <c r="E170" s="1002">
        <v>0.184</v>
      </c>
      <c r="F170" s="1002">
        <v>0</v>
      </c>
      <c r="G170" s="1002">
        <v>0</v>
      </c>
      <c r="H170" s="1002">
        <v>0</v>
      </c>
      <c r="I170" s="1002">
        <v>0</v>
      </c>
      <c r="J170" s="1002">
        <v>0.184</v>
      </c>
      <c r="K170" s="1002">
        <v>0.184</v>
      </c>
      <c r="L170" s="1002">
        <v>0</v>
      </c>
      <c r="M170" s="1002">
        <v>0</v>
      </c>
      <c r="N170" s="1002">
        <v>0</v>
      </c>
      <c r="O170" s="1002">
        <v>0</v>
      </c>
      <c r="P170" s="1002">
        <v>0.184</v>
      </c>
    </row>
    <row r="171" spans="1:16" hidden="1" x14ac:dyDescent="0.35">
      <c r="A171" t="s">
        <v>650</v>
      </c>
      <c r="B171" t="s">
        <v>651</v>
      </c>
      <c r="C171" t="s">
        <v>664</v>
      </c>
      <c r="D171" t="s">
        <v>667</v>
      </c>
      <c r="E171" s="1002">
        <v>64.995000000000005</v>
      </c>
      <c r="F171" s="1002">
        <v>0</v>
      </c>
      <c r="G171" s="1002">
        <v>0</v>
      </c>
      <c r="H171" s="1002">
        <v>0</v>
      </c>
      <c r="I171" s="1002">
        <v>0</v>
      </c>
      <c r="J171" s="1002">
        <v>64.995000000000005</v>
      </c>
      <c r="K171" s="1002">
        <v>82.212999999999994</v>
      </c>
      <c r="L171" s="1002">
        <v>0</v>
      </c>
      <c r="M171" s="1002">
        <v>0</v>
      </c>
      <c r="N171" s="1002">
        <v>0</v>
      </c>
      <c r="O171" s="1002">
        <v>0</v>
      </c>
      <c r="P171" s="1002">
        <v>82.212999999999994</v>
      </c>
    </row>
    <row r="172" spans="1:16" hidden="1" x14ac:dyDescent="0.35">
      <c r="A172" t="s">
        <v>650</v>
      </c>
      <c r="B172" t="s">
        <v>651</v>
      </c>
      <c r="C172" t="s">
        <v>664</v>
      </c>
      <c r="D172" t="s">
        <v>670</v>
      </c>
      <c r="E172" s="1002">
        <v>0</v>
      </c>
      <c r="F172" s="1002">
        <v>0</v>
      </c>
      <c r="G172" s="1002">
        <v>0.2</v>
      </c>
      <c r="H172" s="1002">
        <v>0</v>
      </c>
      <c r="I172" s="1002">
        <v>0</v>
      </c>
      <c r="J172" s="1002">
        <v>0.2</v>
      </c>
      <c r="K172" s="1002">
        <v>0</v>
      </c>
      <c r="L172" s="1002">
        <v>0</v>
      </c>
      <c r="M172" s="1002">
        <v>0.2</v>
      </c>
      <c r="N172" s="1002">
        <v>0</v>
      </c>
      <c r="O172" s="1002">
        <v>0</v>
      </c>
      <c r="P172" s="1002">
        <v>0.2</v>
      </c>
    </row>
    <row r="173" spans="1:16" hidden="1" x14ac:dyDescent="0.35">
      <c r="A173" t="s">
        <v>650</v>
      </c>
      <c r="B173" t="s">
        <v>651</v>
      </c>
      <c r="C173" t="s">
        <v>664</v>
      </c>
      <c r="D173" t="s">
        <v>672</v>
      </c>
      <c r="E173" s="1002">
        <v>0.42099999999999999</v>
      </c>
      <c r="F173" s="1002">
        <v>0</v>
      </c>
      <c r="G173" s="1002">
        <v>0</v>
      </c>
      <c r="H173" s="1002">
        <v>0</v>
      </c>
      <c r="I173" s="1002">
        <v>0</v>
      </c>
      <c r="J173" s="1002">
        <v>0.42099999999999999</v>
      </c>
      <c r="K173" s="1002">
        <v>0.34100000000000003</v>
      </c>
      <c r="L173" s="1002">
        <v>0</v>
      </c>
      <c r="M173" s="1002">
        <v>0</v>
      </c>
      <c r="N173" s="1002">
        <v>0</v>
      </c>
      <c r="O173" s="1002">
        <v>0</v>
      </c>
      <c r="P173" s="1002">
        <v>0.34100000000000003</v>
      </c>
    </row>
    <row r="174" spans="1:16" hidden="1" x14ac:dyDescent="0.35">
      <c r="A174" t="s">
        <v>650</v>
      </c>
      <c r="B174" t="s">
        <v>651</v>
      </c>
      <c r="C174" t="s">
        <v>664</v>
      </c>
      <c r="D174" t="s">
        <v>675</v>
      </c>
      <c r="E174" s="1002">
        <v>13.621</v>
      </c>
      <c r="F174" s="1002">
        <v>0</v>
      </c>
      <c r="G174" s="1002">
        <v>0</v>
      </c>
      <c r="H174" s="1002">
        <v>0</v>
      </c>
      <c r="I174" s="1002">
        <v>0</v>
      </c>
      <c r="J174" s="1002">
        <v>13.621</v>
      </c>
      <c r="K174" s="1002">
        <v>57.043999999999997</v>
      </c>
      <c r="L174" s="1002">
        <v>0</v>
      </c>
      <c r="M174" s="1002">
        <v>0</v>
      </c>
      <c r="N174" s="1002">
        <v>0</v>
      </c>
      <c r="O174" s="1002">
        <v>0</v>
      </c>
      <c r="P174" s="1002">
        <v>57.043999999999997</v>
      </c>
    </row>
    <row r="175" spans="1:16" hidden="1" x14ac:dyDescent="0.35">
      <c r="A175" t="s">
        <v>650</v>
      </c>
      <c r="B175" t="s">
        <v>651</v>
      </c>
      <c r="C175" t="s">
        <v>664</v>
      </c>
      <c r="D175" t="s">
        <v>678</v>
      </c>
      <c r="E175" s="1002">
        <v>25.352</v>
      </c>
      <c r="F175" s="1002">
        <v>0</v>
      </c>
      <c r="G175" s="1002">
        <v>43.01</v>
      </c>
      <c r="H175" s="1002">
        <v>0</v>
      </c>
      <c r="I175" s="1002">
        <v>0</v>
      </c>
      <c r="J175" s="1002">
        <v>68.361999999999995</v>
      </c>
      <c r="K175" s="1034">
        <v>49.95</v>
      </c>
      <c r="L175" s="1002">
        <v>0</v>
      </c>
      <c r="M175" s="1002">
        <v>0</v>
      </c>
      <c r="N175" s="1002">
        <v>0</v>
      </c>
      <c r="O175" s="1002">
        <v>0</v>
      </c>
      <c r="P175" s="1034">
        <v>49.95</v>
      </c>
    </row>
    <row r="176" spans="1:16" hidden="1" x14ac:dyDescent="0.35">
      <c r="A176" t="s">
        <v>650</v>
      </c>
      <c r="B176" t="s">
        <v>651</v>
      </c>
      <c r="C176" t="s">
        <v>682</v>
      </c>
      <c r="D176" t="s">
        <v>683</v>
      </c>
      <c r="E176" s="1002">
        <v>165.11500000000001</v>
      </c>
      <c r="F176" s="1002">
        <v>0</v>
      </c>
      <c r="G176" s="1002">
        <v>0</v>
      </c>
      <c r="H176" s="1002">
        <v>0</v>
      </c>
      <c r="I176" s="1002">
        <v>0</v>
      </c>
      <c r="J176" s="1002">
        <v>165.11500000000001</v>
      </c>
      <c r="K176" s="1002">
        <v>212.571</v>
      </c>
      <c r="L176" s="1002">
        <v>0</v>
      </c>
      <c r="M176" s="1002">
        <v>0</v>
      </c>
      <c r="N176" s="1002">
        <v>0</v>
      </c>
      <c r="O176" s="1002">
        <v>0</v>
      </c>
      <c r="P176" s="1002">
        <v>212.571</v>
      </c>
    </row>
    <row r="177" spans="1:16" hidden="1" x14ac:dyDescent="0.35">
      <c r="A177" t="s">
        <v>650</v>
      </c>
      <c r="B177" t="s">
        <v>651</v>
      </c>
      <c r="C177" t="s">
        <v>682</v>
      </c>
      <c r="D177" t="s">
        <v>686</v>
      </c>
      <c r="E177" s="1002">
        <v>0</v>
      </c>
      <c r="F177" s="1002">
        <v>0</v>
      </c>
      <c r="G177" s="1002">
        <v>0</v>
      </c>
      <c r="H177" s="1002">
        <v>0</v>
      </c>
      <c r="I177" s="1002">
        <v>0</v>
      </c>
      <c r="J177" s="1002">
        <v>0</v>
      </c>
      <c r="K177" s="1002">
        <v>243.8</v>
      </c>
      <c r="L177" s="1002">
        <v>0</v>
      </c>
      <c r="M177" s="1002">
        <v>0</v>
      </c>
      <c r="N177" s="1002">
        <v>0</v>
      </c>
      <c r="O177" s="1002">
        <v>0</v>
      </c>
      <c r="P177" s="1002">
        <v>243.8</v>
      </c>
    </row>
    <row r="178" spans="1:16" hidden="1" x14ac:dyDescent="0.35">
      <c r="A178" t="s">
        <v>650</v>
      </c>
      <c r="B178" t="s">
        <v>651</v>
      </c>
      <c r="C178" t="s">
        <v>682</v>
      </c>
      <c r="D178" t="s">
        <v>689</v>
      </c>
      <c r="E178" s="1002">
        <v>0.1</v>
      </c>
      <c r="F178" s="1002">
        <v>0</v>
      </c>
      <c r="G178" s="1002">
        <v>0</v>
      </c>
      <c r="H178" s="1002">
        <v>0</v>
      </c>
      <c r="I178" s="1002">
        <v>0</v>
      </c>
      <c r="J178" s="1002">
        <v>0.1</v>
      </c>
      <c r="K178" s="1002">
        <v>0.4</v>
      </c>
      <c r="L178" s="1002">
        <v>0</v>
      </c>
      <c r="M178" s="1002">
        <v>0</v>
      </c>
      <c r="N178" s="1002">
        <v>0</v>
      </c>
      <c r="O178" s="1002">
        <v>0</v>
      </c>
      <c r="P178" s="1002">
        <v>0.4</v>
      </c>
    </row>
    <row r="179" spans="1:16" hidden="1" x14ac:dyDescent="0.35">
      <c r="A179" t="s">
        <v>650</v>
      </c>
      <c r="B179" t="s">
        <v>651</v>
      </c>
      <c r="C179" t="s">
        <v>682</v>
      </c>
      <c r="D179" t="s">
        <v>692</v>
      </c>
      <c r="E179" s="1002">
        <v>6.31</v>
      </c>
      <c r="F179" s="1002">
        <v>0</v>
      </c>
      <c r="G179" s="1002">
        <v>10</v>
      </c>
      <c r="H179" s="1002">
        <v>0</v>
      </c>
      <c r="I179" s="1002">
        <v>0</v>
      </c>
      <c r="J179" s="1002">
        <v>16.309999999999999</v>
      </c>
      <c r="K179" s="1002">
        <v>6.31</v>
      </c>
      <c r="L179" s="1002">
        <v>0</v>
      </c>
      <c r="M179" s="1002">
        <v>10</v>
      </c>
      <c r="N179" s="1002">
        <v>0</v>
      </c>
      <c r="O179" s="1002">
        <v>0</v>
      </c>
      <c r="P179" s="1002">
        <v>16.309999999999999</v>
      </c>
    </row>
    <row r="180" spans="1:16" hidden="1" x14ac:dyDescent="0.35">
      <c r="A180" t="s">
        <v>650</v>
      </c>
      <c r="B180" t="s">
        <v>651</v>
      </c>
      <c r="C180" t="s">
        <v>682</v>
      </c>
      <c r="D180" t="s">
        <v>694</v>
      </c>
      <c r="E180" s="1002">
        <v>81.834999999999994</v>
      </c>
      <c r="F180" s="1002">
        <v>0</v>
      </c>
      <c r="G180" s="1002">
        <v>0</v>
      </c>
      <c r="H180" s="1002">
        <v>0</v>
      </c>
      <c r="I180" s="1002">
        <v>0</v>
      </c>
      <c r="J180" s="1002">
        <v>81.834999999999994</v>
      </c>
      <c r="K180" s="1002">
        <v>99.44</v>
      </c>
      <c r="L180" s="1002">
        <v>0</v>
      </c>
      <c r="M180" s="1002">
        <v>0</v>
      </c>
      <c r="N180" s="1002">
        <v>0</v>
      </c>
      <c r="O180" s="1002">
        <v>0</v>
      </c>
      <c r="P180" s="1002">
        <v>99.44</v>
      </c>
    </row>
    <row r="181" spans="1:16" hidden="1" x14ac:dyDescent="0.35">
      <c r="A181" t="s">
        <v>650</v>
      </c>
      <c r="B181" t="s">
        <v>651</v>
      </c>
      <c r="C181" t="s">
        <v>682</v>
      </c>
      <c r="D181" t="s">
        <v>697</v>
      </c>
      <c r="E181" s="1002">
        <v>8.0559999999999992</v>
      </c>
      <c r="F181" s="1002">
        <v>0</v>
      </c>
      <c r="G181" s="1002">
        <v>0</v>
      </c>
      <c r="H181" s="1002">
        <v>0</v>
      </c>
      <c r="I181" s="1002">
        <v>0</v>
      </c>
      <c r="J181" s="1002">
        <v>8.0559999999999992</v>
      </c>
      <c r="K181" s="1002">
        <v>9.36</v>
      </c>
      <c r="L181" s="1002">
        <v>0</v>
      </c>
      <c r="M181" s="1002">
        <v>0</v>
      </c>
      <c r="N181" s="1002">
        <v>0</v>
      </c>
      <c r="O181" s="1002">
        <v>0</v>
      </c>
      <c r="P181" s="1002">
        <v>9.36</v>
      </c>
    </row>
    <row r="182" spans="1:16" hidden="1" x14ac:dyDescent="0.35">
      <c r="A182" t="s">
        <v>650</v>
      </c>
      <c r="B182" t="s">
        <v>651</v>
      </c>
      <c r="C182" t="s">
        <v>682</v>
      </c>
      <c r="D182" t="s">
        <v>700</v>
      </c>
      <c r="E182" s="1002">
        <v>0</v>
      </c>
      <c r="F182" s="1002">
        <v>0</v>
      </c>
      <c r="G182" s="1002">
        <v>0.38300000000000001</v>
      </c>
      <c r="H182" s="1002">
        <v>0</v>
      </c>
      <c r="I182" s="1002">
        <v>0</v>
      </c>
      <c r="J182" s="1002">
        <v>0.38300000000000001</v>
      </c>
      <c r="K182" s="1002">
        <v>0</v>
      </c>
      <c r="L182" s="1002">
        <v>0</v>
      </c>
      <c r="M182" s="1002">
        <v>1.27</v>
      </c>
      <c r="N182" s="1002">
        <v>0</v>
      </c>
      <c r="O182" s="1002">
        <v>0</v>
      </c>
      <c r="P182" s="1002">
        <v>1.27</v>
      </c>
    </row>
    <row r="183" spans="1:16" hidden="1" x14ac:dyDescent="0.35">
      <c r="A183" t="s">
        <v>650</v>
      </c>
      <c r="B183" t="s">
        <v>651</v>
      </c>
      <c r="C183" t="s">
        <v>682</v>
      </c>
      <c r="D183" t="s">
        <v>703</v>
      </c>
      <c r="E183" s="1002">
        <v>1.6</v>
      </c>
      <c r="F183" s="1002">
        <v>0</v>
      </c>
      <c r="G183" s="1002">
        <v>0</v>
      </c>
      <c r="H183" s="1002">
        <v>0</v>
      </c>
      <c r="I183" s="1002">
        <v>0</v>
      </c>
      <c r="J183" s="1002">
        <v>1.6</v>
      </c>
      <c r="K183" s="1002">
        <v>1.9</v>
      </c>
      <c r="L183" s="1002">
        <v>0</v>
      </c>
      <c r="M183" s="1002">
        <v>0</v>
      </c>
      <c r="N183" s="1002">
        <v>0</v>
      </c>
      <c r="O183" s="1002">
        <v>0</v>
      </c>
      <c r="P183" s="1002">
        <v>1.9</v>
      </c>
    </row>
    <row r="184" spans="1:16" hidden="1" x14ac:dyDescent="0.35">
      <c r="A184" t="s">
        <v>650</v>
      </c>
      <c r="B184" t="s">
        <v>651</v>
      </c>
      <c r="C184" t="s">
        <v>682</v>
      </c>
      <c r="D184" t="s">
        <v>706</v>
      </c>
      <c r="E184" s="1002">
        <v>0.33600000000000002</v>
      </c>
      <c r="F184" s="1002">
        <v>0</v>
      </c>
      <c r="G184" s="1002">
        <v>0</v>
      </c>
      <c r="H184" s="1002">
        <v>0</v>
      </c>
      <c r="I184" s="1002">
        <v>0</v>
      </c>
      <c r="J184" s="1002">
        <v>0.33600000000000002</v>
      </c>
      <c r="K184" s="1002">
        <v>0.56799999999999995</v>
      </c>
      <c r="L184" s="1002">
        <v>0</v>
      </c>
      <c r="M184" s="1002">
        <v>0</v>
      </c>
      <c r="N184" s="1002">
        <v>0</v>
      </c>
      <c r="O184" s="1002">
        <v>0</v>
      </c>
      <c r="P184" s="1002">
        <v>0.56799999999999995</v>
      </c>
    </row>
    <row r="185" spans="1:16" hidden="1" x14ac:dyDescent="0.35">
      <c r="A185" t="s">
        <v>650</v>
      </c>
      <c r="B185" t="s">
        <v>711</v>
      </c>
      <c r="C185" t="s">
        <v>712</v>
      </c>
      <c r="D185" t="s">
        <v>713</v>
      </c>
      <c r="E185" s="1002">
        <v>9.4390000000000001</v>
      </c>
      <c r="F185" s="1002">
        <v>0</v>
      </c>
      <c r="G185" s="1002">
        <v>0</v>
      </c>
      <c r="H185" s="1002">
        <v>0</v>
      </c>
      <c r="I185" s="1002">
        <v>0</v>
      </c>
      <c r="J185" s="1002">
        <v>9.4390000000000001</v>
      </c>
      <c r="K185" s="1002">
        <v>31.715</v>
      </c>
      <c r="L185" s="1002">
        <v>0</v>
      </c>
      <c r="M185" s="1002">
        <v>0</v>
      </c>
      <c r="N185" s="1002">
        <v>0</v>
      </c>
      <c r="O185" s="1002">
        <v>0</v>
      </c>
      <c r="P185" s="1002">
        <v>31.715</v>
      </c>
    </row>
    <row r="186" spans="1:16" hidden="1" x14ac:dyDescent="0.35">
      <c r="A186" t="s">
        <v>650</v>
      </c>
      <c r="B186" t="s">
        <v>711</v>
      </c>
      <c r="C186" t="s">
        <v>711</v>
      </c>
      <c r="D186" t="s">
        <v>716</v>
      </c>
      <c r="E186" s="1002">
        <v>12.006</v>
      </c>
      <c r="F186" s="1002">
        <v>0</v>
      </c>
      <c r="G186" s="1002">
        <v>0</v>
      </c>
      <c r="H186" s="1002">
        <v>0</v>
      </c>
      <c r="I186" s="1002">
        <v>0</v>
      </c>
      <c r="J186" s="1002">
        <v>12.006</v>
      </c>
      <c r="K186" s="1002">
        <v>15.254</v>
      </c>
      <c r="L186" s="1002">
        <v>0</v>
      </c>
      <c r="M186" s="1002">
        <v>1.623</v>
      </c>
      <c r="N186" s="1002">
        <v>0</v>
      </c>
      <c r="O186" s="1002">
        <v>0</v>
      </c>
      <c r="P186" s="1002">
        <v>16.876999999999999</v>
      </c>
    </row>
    <row r="187" spans="1:16" hidden="1" x14ac:dyDescent="0.35">
      <c r="A187" t="s">
        <v>650</v>
      </c>
      <c r="B187" t="s">
        <v>711</v>
      </c>
      <c r="C187" t="s">
        <v>711</v>
      </c>
      <c r="D187" t="s">
        <v>719</v>
      </c>
      <c r="E187" s="1002">
        <v>3.6</v>
      </c>
      <c r="F187" s="1002">
        <v>0</v>
      </c>
      <c r="G187" s="1002">
        <v>0</v>
      </c>
      <c r="H187" s="1002">
        <v>0</v>
      </c>
      <c r="I187" s="1002">
        <v>0</v>
      </c>
      <c r="J187" s="1002">
        <v>3.6</v>
      </c>
      <c r="K187" s="1002">
        <v>3.6</v>
      </c>
      <c r="L187" s="1002">
        <v>0</v>
      </c>
      <c r="M187" s="1002">
        <v>0</v>
      </c>
      <c r="N187" s="1002">
        <v>0</v>
      </c>
      <c r="O187" s="1002">
        <v>0</v>
      </c>
      <c r="P187" s="1002">
        <v>3.6</v>
      </c>
    </row>
    <row r="188" spans="1:16" hidden="1" x14ac:dyDescent="0.35">
      <c r="A188" t="s">
        <v>650</v>
      </c>
      <c r="B188" t="s">
        <v>711</v>
      </c>
      <c r="C188" t="s">
        <v>711</v>
      </c>
      <c r="D188" t="s">
        <v>721</v>
      </c>
      <c r="E188" s="1002">
        <v>19.844000000000001</v>
      </c>
      <c r="F188" s="1002">
        <v>4.7190000000000003</v>
      </c>
      <c r="G188" s="1002">
        <v>0</v>
      </c>
      <c r="H188" s="1002">
        <v>0</v>
      </c>
      <c r="I188" s="1002">
        <v>0</v>
      </c>
      <c r="J188" s="1002">
        <v>24.563000000000002</v>
      </c>
      <c r="K188" s="1002">
        <v>18.818999999999999</v>
      </c>
      <c r="L188" s="1002">
        <v>5.3</v>
      </c>
      <c r="M188" s="1002">
        <v>0</v>
      </c>
      <c r="N188" s="1002">
        <v>0</v>
      </c>
      <c r="O188" s="1002">
        <v>0</v>
      </c>
      <c r="P188" s="1002">
        <v>24.119</v>
      </c>
    </row>
    <row r="189" spans="1:16" hidden="1" x14ac:dyDescent="0.35">
      <c r="A189" t="s">
        <v>650</v>
      </c>
      <c r="B189" t="s">
        <v>711</v>
      </c>
      <c r="C189" t="s">
        <v>711</v>
      </c>
      <c r="D189" t="s">
        <v>724</v>
      </c>
      <c r="E189" s="1002">
        <v>0</v>
      </c>
      <c r="F189" s="1002">
        <v>0</v>
      </c>
      <c r="G189" s="1002">
        <v>3.87</v>
      </c>
      <c r="H189" s="1002">
        <v>0</v>
      </c>
      <c r="I189" s="1002">
        <v>0</v>
      </c>
      <c r="J189" s="1002">
        <v>3.87</v>
      </c>
      <c r="K189" s="1002">
        <v>0</v>
      </c>
      <c r="L189" s="1002">
        <v>0</v>
      </c>
      <c r="M189" s="1002">
        <v>8.4949999999999992</v>
      </c>
      <c r="N189" s="1002">
        <v>0</v>
      </c>
      <c r="O189" s="1002">
        <v>0</v>
      </c>
      <c r="P189" s="1002">
        <v>8.4949999999999992</v>
      </c>
    </row>
    <row r="190" spans="1:16" hidden="1" x14ac:dyDescent="0.35">
      <c r="A190" t="s">
        <v>650</v>
      </c>
      <c r="B190" t="s">
        <v>728</v>
      </c>
      <c r="C190" t="s">
        <v>728</v>
      </c>
      <c r="D190" t="s">
        <v>729</v>
      </c>
      <c r="E190" s="1002">
        <v>-0.94899999999999995</v>
      </c>
      <c r="F190" s="1002">
        <v>0</v>
      </c>
      <c r="G190" s="1002">
        <v>0</v>
      </c>
      <c r="H190" s="1002">
        <v>0</v>
      </c>
      <c r="I190" s="1002">
        <v>0</v>
      </c>
      <c r="J190" s="1002">
        <v>-0.94899999999999995</v>
      </c>
      <c r="K190" s="1002">
        <v>-0.94899999999999995</v>
      </c>
      <c r="L190" s="1002">
        <v>0</v>
      </c>
      <c r="M190" s="1002">
        <v>0</v>
      </c>
      <c r="N190" s="1002">
        <v>0</v>
      </c>
      <c r="O190" s="1002">
        <v>0</v>
      </c>
      <c r="P190" s="1002">
        <v>-0.94899999999999995</v>
      </c>
    </row>
    <row r="191" spans="1:16" hidden="1" x14ac:dyDescent="0.35">
      <c r="A191" t="s">
        <v>650</v>
      </c>
      <c r="B191" t="s">
        <v>728</v>
      </c>
      <c r="C191" t="s">
        <v>728</v>
      </c>
      <c r="D191" t="s">
        <v>730</v>
      </c>
      <c r="E191" s="1002">
        <v>22.835999999999999</v>
      </c>
      <c r="F191" s="1002">
        <v>0</v>
      </c>
      <c r="G191" s="1002">
        <v>0</v>
      </c>
      <c r="H191" s="1002">
        <v>0</v>
      </c>
      <c r="I191" s="1002">
        <v>0</v>
      </c>
      <c r="J191" s="1002">
        <v>22.835999999999999</v>
      </c>
      <c r="K191" s="1002">
        <v>24.358000000000001</v>
      </c>
      <c r="L191" s="1002">
        <v>0</v>
      </c>
      <c r="M191" s="1002">
        <v>0</v>
      </c>
      <c r="N191" s="1002">
        <v>0</v>
      </c>
      <c r="O191" s="1002">
        <v>0</v>
      </c>
      <c r="P191" s="1002">
        <v>24.358000000000001</v>
      </c>
    </row>
    <row r="192" spans="1:16" hidden="1" x14ac:dyDescent="0.35">
      <c r="A192" t="s">
        <v>650</v>
      </c>
      <c r="B192" t="s">
        <v>728</v>
      </c>
      <c r="C192" t="s">
        <v>728</v>
      </c>
      <c r="D192" t="s">
        <v>733</v>
      </c>
      <c r="E192" s="1002">
        <v>6.3849999999999998</v>
      </c>
      <c r="F192" s="1002">
        <v>0</v>
      </c>
      <c r="G192" s="1002">
        <v>0</v>
      </c>
      <c r="H192" s="1002">
        <v>0</v>
      </c>
      <c r="I192" s="1002">
        <v>0</v>
      </c>
      <c r="J192" s="1002">
        <v>6.3849999999999998</v>
      </c>
      <c r="K192" s="1002">
        <v>4.9640000000000004</v>
      </c>
      <c r="L192" s="1002">
        <v>0</v>
      </c>
      <c r="M192" s="1002">
        <v>0</v>
      </c>
      <c r="N192" s="1002">
        <v>0</v>
      </c>
      <c r="O192" s="1002">
        <v>0</v>
      </c>
      <c r="P192" s="1002">
        <v>4.9640000000000004</v>
      </c>
    </row>
    <row r="193" spans="1:16" hidden="1" x14ac:dyDescent="0.35">
      <c r="A193" t="s">
        <v>650</v>
      </c>
      <c r="B193" t="s">
        <v>728</v>
      </c>
      <c r="C193" t="s">
        <v>728</v>
      </c>
      <c r="D193" t="s">
        <v>736</v>
      </c>
      <c r="E193" s="1002">
        <v>0</v>
      </c>
      <c r="F193" s="1002">
        <v>2.625</v>
      </c>
      <c r="G193" s="1002">
        <v>0</v>
      </c>
      <c r="H193" s="1002">
        <v>0</v>
      </c>
      <c r="I193" s="1002">
        <v>0</v>
      </c>
      <c r="J193" s="1002">
        <v>2.625</v>
      </c>
      <c r="K193" s="1002">
        <v>0</v>
      </c>
      <c r="L193" s="1002">
        <v>2.6640000000000001</v>
      </c>
      <c r="M193" s="1002">
        <v>0</v>
      </c>
      <c r="N193" s="1002">
        <v>0</v>
      </c>
      <c r="O193" s="1002">
        <v>0</v>
      </c>
      <c r="P193" s="1002">
        <v>2.6640000000000001</v>
      </c>
    </row>
    <row r="194" spans="1:16" hidden="1" x14ac:dyDescent="0.35">
      <c r="A194" t="s">
        <v>650</v>
      </c>
      <c r="B194" t="s">
        <v>740</v>
      </c>
      <c r="C194" t="s">
        <v>741</v>
      </c>
      <c r="D194" t="s">
        <v>742</v>
      </c>
      <c r="E194" s="1002">
        <v>28.344999999999999</v>
      </c>
      <c r="F194" s="1002">
        <v>2.597</v>
      </c>
      <c r="G194" s="1002">
        <v>0</v>
      </c>
      <c r="H194" s="1002">
        <v>0</v>
      </c>
      <c r="I194" s="1002">
        <v>0</v>
      </c>
      <c r="J194" s="1002">
        <v>30.942</v>
      </c>
      <c r="K194" s="1002">
        <v>24.318000000000001</v>
      </c>
      <c r="L194" s="1002">
        <v>3.319</v>
      </c>
      <c r="M194" s="1002">
        <v>0</v>
      </c>
      <c r="N194" s="1002">
        <v>0</v>
      </c>
      <c r="O194" s="1002">
        <v>0.159</v>
      </c>
      <c r="P194" s="1002">
        <v>27.795999999999999</v>
      </c>
    </row>
    <row r="195" spans="1:16" hidden="1" x14ac:dyDescent="0.35">
      <c r="A195" t="s">
        <v>650</v>
      </c>
      <c r="B195" t="s">
        <v>740</v>
      </c>
      <c r="C195" t="s">
        <v>741</v>
      </c>
      <c r="D195" t="s">
        <v>745</v>
      </c>
      <c r="E195" s="1002">
        <v>0</v>
      </c>
      <c r="F195" s="1002">
        <v>0</v>
      </c>
      <c r="G195" s="1002">
        <v>2.9</v>
      </c>
      <c r="H195" s="1002">
        <v>0</v>
      </c>
      <c r="I195" s="1002">
        <v>0</v>
      </c>
      <c r="J195" s="1002">
        <v>2.9</v>
      </c>
      <c r="K195" s="1002">
        <v>0</v>
      </c>
      <c r="L195" s="1002">
        <v>0</v>
      </c>
      <c r="M195" s="1002">
        <v>4.6870000000000003</v>
      </c>
      <c r="N195" s="1002">
        <v>0</v>
      </c>
      <c r="O195" s="1002">
        <v>0</v>
      </c>
      <c r="P195" s="1002">
        <v>4.6870000000000003</v>
      </c>
    </row>
    <row r="196" spans="1:16" hidden="1" x14ac:dyDescent="0.35">
      <c r="A196" t="s">
        <v>650</v>
      </c>
      <c r="B196" t="s">
        <v>740</v>
      </c>
      <c r="C196" t="s">
        <v>741</v>
      </c>
      <c r="D196" t="s">
        <v>748</v>
      </c>
      <c r="E196" s="1002">
        <v>7.0750000000000002</v>
      </c>
      <c r="F196" s="1002">
        <v>0.45</v>
      </c>
      <c r="G196" s="1002">
        <v>0</v>
      </c>
      <c r="H196" s="1002">
        <v>0</v>
      </c>
      <c r="I196" s="1002">
        <v>0</v>
      </c>
      <c r="J196" s="1002">
        <v>7.5250000000000004</v>
      </c>
      <c r="K196" s="1002">
        <v>4.5759999999999996</v>
      </c>
      <c r="L196" s="1002">
        <v>0.51</v>
      </c>
      <c r="M196" s="1002">
        <v>0</v>
      </c>
      <c r="N196" s="1002">
        <v>0</v>
      </c>
      <c r="O196" s="1002">
        <v>0</v>
      </c>
      <c r="P196" s="1002">
        <v>5.0859999999999994</v>
      </c>
    </row>
    <row r="197" spans="1:16" hidden="1" x14ac:dyDescent="0.35">
      <c r="A197" t="s">
        <v>650</v>
      </c>
      <c r="B197" t="s">
        <v>740</v>
      </c>
      <c r="C197" t="s">
        <v>741</v>
      </c>
      <c r="D197" t="s">
        <v>751</v>
      </c>
      <c r="E197" s="1002">
        <v>0</v>
      </c>
      <c r="F197" s="1002">
        <v>0</v>
      </c>
      <c r="G197" s="1002">
        <v>0.77700000000000002</v>
      </c>
      <c r="H197" s="1002">
        <v>0</v>
      </c>
      <c r="I197" s="1002">
        <v>0</v>
      </c>
      <c r="J197" s="1002">
        <v>0.77700000000000002</v>
      </c>
      <c r="K197" s="1002">
        <v>0</v>
      </c>
      <c r="L197" s="1002">
        <v>0</v>
      </c>
      <c r="M197" s="1002">
        <v>0.80300000000000005</v>
      </c>
      <c r="N197" s="1002">
        <v>0</v>
      </c>
      <c r="O197" s="1002">
        <v>0</v>
      </c>
      <c r="P197" s="1002">
        <v>0.80300000000000005</v>
      </c>
    </row>
    <row r="198" spans="1:16" hidden="1" x14ac:dyDescent="0.35">
      <c r="A198" t="s">
        <v>650</v>
      </c>
      <c r="B198" t="s">
        <v>740</v>
      </c>
      <c r="C198" t="s">
        <v>741</v>
      </c>
      <c r="D198" t="s">
        <v>754</v>
      </c>
      <c r="E198" s="1002">
        <v>4.05</v>
      </c>
      <c r="F198" s="1002">
        <v>0</v>
      </c>
      <c r="G198" s="1002">
        <v>0</v>
      </c>
      <c r="H198" s="1002">
        <v>0</v>
      </c>
      <c r="I198" s="1002">
        <v>0</v>
      </c>
      <c r="J198" s="1002">
        <v>4.05</v>
      </c>
      <c r="K198" s="1002">
        <v>4.05</v>
      </c>
      <c r="L198" s="1002">
        <v>0</v>
      </c>
      <c r="M198" s="1002">
        <v>0</v>
      </c>
      <c r="N198" s="1002">
        <v>0</v>
      </c>
      <c r="O198" s="1002">
        <v>0</v>
      </c>
      <c r="P198" s="1002">
        <v>4.05</v>
      </c>
    </row>
    <row r="199" spans="1:16" hidden="1" x14ac:dyDescent="0.35">
      <c r="A199" t="s">
        <v>650</v>
      </c>
      <c r="B199" t="s">
        <v>740</v>
      </c>
      <c r="C199" t="s">
        <v>741</v>
      </c>
      <c r="D199" t="s">
        <v>756</v>
      </c>
      <c r="E199" s="1002">
        <v>10.451000000000001</v>
      </c>
      <c r="F199" s="1002">
        <v>0</v>
      </c>
      <c r="G199" s="1002">
        <v>1.61</v>
      </c>
      <c r="H199" s="1002">
        <v>0</v>
      </c>
      <c r="I199" s="1002">
        <v>0</v>
      </c>
      <c r="J199" s="1002">
        <v>12.061</v>
      </c>
      <c r="K199" s="1002">
        <v>5.5389999999999997</v>
      </c>
      <c r="L199" s="1002">
        <v>0</v>
      </c>
      <c r="M199" s="1002">
        <v>1</v>
      </c>
      <c r="N199" s="1002">
        <v>0</v>
      </c>
      <c r="O199" s="1002">
        <v>0</v>
      </c>
      <c r="P199" s="1002">
        <v>6.5389999999999997</v>
      </c>
    </row>
    <row r="200" spans="1:16" hidden="1" x14ac:dyDescent="0.35">
      <c r="A200" t="s">
        <v>650</v>
      </c>
      <c r="B200" t="s">
        <v>740</v>
      </c>
      <c r="C200" t="s">
        <v>741</v>
      </c>
      <c r="D200" t="s">
        <v>759</v>
      </c>
      <c r="E200" s="1002">
        <v>2.2829999999999999</v>
      </c>
      <c r="F200" s="1002">
        <v>0</v>
      </c>
      <c r="G200" s="1002">
        <v>0</v>
      </c>
      <c r="H200" s="1002">
        <v>0</v>
      </c>
      <c r="I200" s="1002">
        <v>0</v>
      </c>
      <c r="J200" s="1002">
        <v>2.2829999999999999</v>
      </c>
      <c r="K200" s="1002">
        <v>3.883</v>
      </c>
      <c r="L200" s="1002">
        <v>0</v>
      </c>
      <c r="M200" s="1002">
        <v>0</v>
      </c>
      <c r="N200" s="1002">
        <v>0</v>
      </c>
      <c r="O200" s="1002">
        <v>0</v>
      </c>
      <c r="P200" s="1002">
        <v>3.883</v>
      </c>
    </row>
    <row r="201" spans="1:16" hidden="1" x14ac:dyDescent="0.35">
      <c r="A201" t="s">
        <v>650</v>
      </c>
      <c r="B201" t="s">
        <v>740</v>
      </c>
      <c r="C201" t="s">
        <v>741</v>
      </c>
      <c r="D201" t="s">
        <v>762</v>
      </c>
      <c r="E201" s="1002">
        <v>8.7870000000000008</v>
      </c>
      <c r="F201" s="1002">
        <v>0</v>
      </c>
      <c r="G201" s="1002">
        <v>0</v>
      </c>
      <c r="H201" s="1002">
        <v>0</v>
      </c>
      <c r="I201" s="1002">
        <v>0</v>
      </c>
      <c r="J201" s="1002">
        <v>8.7870000000000008</v>
      </c>
      <c r="K201" s="1002">
        <v>3.4260000000000002</v>
      </c>
      <c r="L201" s="1002">
        <v>0</v>
      </c>
      <c r="M201" s="1002">
        <v>0</v>
      </c>
      <c r="N201" s="1002">
        <v>0</v>
      </c>
      <c r="O201" s="1002">
        <v>0</v>
      </c>
      <c r="P201" s="1002">
        <v>3.4260000000000002</v>
      </c>
    </row>
    <row r="202" spans="1:16" hidden="1" x14ac:dyDescent="0.35">
      <c r="A202" t="s">
        <v>650</v>
      </c>
      <c r="B202" t="s">
        <v>740</v>
      </c>
      <c r="C202" t="s">
        <v>766</v>
      </c>
      <c r="D202" t="s">
        <v>767</v>
      </c>
      <c r="E202" s="1002">
        <v>4.0410000000000004</v>
      </c>
      <c r="F202" s="1002">
        <v>0</v>
      </c>
      <c r="G202" s="1002">
        <v>0</v>
      </c>
      <c r="H202" s="1002">
        <v>0</v>
      </c>
      <c r="I202" s="1002">
        <v>0</v>
      </c>
      <c r="J202" s="1002">
        <v>4.0410000000000004</v>
      </c>
      <c r="K202" s="1002">
        <v>4.2409999999999997</v>
      </c>
      <c r="L202" s="1002">
        <v>0</v>
      </c>
      <c r="M202" s="1002">
        <v>0</v>
      </c>
      <c r="N202" s="1002">
        <v>0</v>
      </c>
      <c r="O202" s="1002">
        <v>0</v>
      </c>
      <c r="P202" s="1002">
        <v>4.2409999999999997</v>
      </c>
    </row>
    <row r="203" spans="1:16" hidden="1" x14ac:dyDescent="0.35">
      <c r="A203" t="s">
        <v>650</v>
      </c>
      <c r="B203" t="s">
        <v>740</v>
      </c>
      <c r="C203" t="s">
        <v>766</v>
      </c>
      <c r="D203" t="s">
        <v>770</v>
      </c>
      <c r="E203" s="1002">
        <v>0</v>
      </c>
      <c r="F203" s="1002">
        <v>0</v>
      </c>
      <c r="G203" s="1002">
        <v>0.79500000000000004</v>
      </c>
      <c r="H203" s="1002">
        <v>0</v>
      </c>
      <c r="I203" s="1002">
        <v>0</v>
      </c>
      <c r="J203" s="1002">
        <v>0.79500000000000004</v>
      </c>
      <c r="K203" s="1002">
        <v>0</v>
      </c>
      <c r="L203" s="1002">
        <v>0</v>
      </c>
      <c r="M203" s="1002">
        <v>25</v>
      </c>
      <c r="N203" s="1002">
        <v>0</v>
      </c>
      <c r="O203" s="1002">
        <v>0</v>
      </c>
      <c r="P203" s="1002">
        <v>25</v>
      </c>
    </row>
    <row r="204" spans="1:16" hidden="1" x14ac:dyDescent="0.35">
      <c r="A204" t="s">
        <v>650</v>
      </c>
      <c r="B204" t="s">
        <v>740</v>
      </c>
      <c r="C204" t="s">
        <v>766</v>
      </c>
      <c r="D204" t="s">
        <v>773</v>
      </c>
      <c r="E204" s="1002">
        <v>18.3</v>
      </c>
      <c r="F204" s="1002">
        <v>0</v>
      </c>
      <c r="G204" s="1002">
        <v>0</v>
      </c>
      <c r="H204" s="1002">
        <v>0</v>
      </c>
      <c r="I204" s="1002">
        <v>0</v>
      </c>
      <c r="J204" s="1002">
        <v>18.3</v>
      </c>
      <c r="K204" s="1002">
        <v>18.25</v>
      </c>
      <c r="L204" s="1002">
        <v>0</v>
      </c>
      <c r="M204" s="1002">
        <v>0</v>
      </c>
      <c r="N204" s="1002">
        <v>0</v>
      </c>
      <c r="O204" s="1002">
        <v>0</v>
      </c>
      <c r="P204" s="1002">
        <v>18.25</v>
      </c>
    </row>
    <row r="205" spans="1:16" hidden="1" x14ac:dyDescent="0.35">
      <c r="A205" t="s">
        <v>650</v>
      </c>
      <c r="B205" t="s">
        <v>740</v>
      </c>
      <c r="C205" t="s">
        <v>766</v>
      </c>
      <c r="D205" t="s">
        <v>776</v>
      </c>
      <c r="E205" s="1002">
        <v>1.2649999999999999</v>
      </c>
      <c r="F205" s="1002">
        <v>0</v>
      </c>
      <c r="G205" s="1002">
        <v>0</v>
      </c>
      <c r="H205" s="1002">
        <v>0</v>
      </c>
      <c r="I205" s="1002">
        <v>0</v>
      </c>
      <c r="J205" s="1002">
        <v>1.2649999999999999</v>
      </c>
      <c r="K205" s="1002">
        <v>1.2649999999999999</v>
      </c>
      <c r="L205" s="1002">
        <v>0</v>
      </c>
      <c r="M205" s="1002">
        <v>0</v>
      </c>
      <c r="N205" s="1002">
        <v>0</v>
      </c>
      <c r="O205" s="1002">
        <v>0</v>
      </c>
      <c r="P205" s="1002">
        <v>1.2649999999999999</v>
      </c>
    </row>
    <row r="206" spans="1:16" hidden="1" x14ac:dyDescent="0.35">
      <c r="A206" t="s">
        <v>650</v>
      </c>
      <c r="B206" t="s">
        <v>740</v>
      </c>
      <c r="C206" t="s">
        <v>766</v>
      </c>
      <c r="D206" t="s">
        <v>778</v>
      </c>
      <c r="E206" s="1002">
        <v>3.48</v>
      </c>
      <c r="F206" s="1002">
        <v>0</v>
      </c>
      <c r="G206" s="1002">
        <v>0</v>
      </c>
      <c r="H206" s="1002">
        <v>0</v>
      </c>
      <c r="I206" s="1002">
        <v>0</v>
      </c>
      <c r="J206" s="1002">
        <v>3.48</v>
      </c>
      <c r="K206" s="1002">
        <v>5.88</v>
      </c>
      <c r="L206" s="1002">
        <v>0</v>
      </c>
      <c r="M206" s="1002">
        <v>0</v>
      </c>
      <c r="N206" s="1002">
        <v>0</v>
      </c>
      <c r="O206" s="1002">
        <v>0</v>
      </c>
      <c r="P206" s="1002">
        <v>5.88</v>
      </c>
    </row>
    <row r="207" spans="1:16" hidden="1" x14ac:dyDescent="0.35">
      <c r="A207" t="s">
        <v>650</v>
      </c>
      <c r="B207" t="s">
        <v>740</v>
      </c>
      <c r="C207" t="s">
        <v>766</v>
      </c>
      <c r="D207" t="s">
        <v>781</v>
      </c>
      <c r="E207" s="1002">
        <v>0.54900000000000004</v>
      </c>
      <c r="F207" s="1002">
        <v>0</v>
      </c>
      <c r="G207" s="1002">
        <v>0</v>
      </c>
      <c r="H207" s="1002">
        <v>0</v>
      </c>
      <c r="I207" s="1002">
        <v>0</v>
      </c>
      <c r="J207" s="1002">
        <v>0.54900000000000004</v>
      </c>
      <c r="K207" s="1002">
        <v>0.54900000000000004</v>
      </c>
      <c r="L207" s="1002">
        <v>0</v>
      </c>
      <c r="M207" s="1002">
        <v>0</v>
      </c>
      <c r="N207" s="1002">
        <v>0</v>
      </c>
      <c r="O207" s="1002">
        <v>0</v>
      </c>
      <c r="P207" s="1002">
        <v>0.54900000000000004</v>
      </c>
    </row>
    <row r="208" spans="1:16" hidden="1" x14ac:dyDescent="0.35">
      <c r="A208" t="s">
        <v>650</v>
      </c>
      <c r="B208" t="s">
        <v>740</v>
      </c>
      <c r="C208" t="s">
        <v>784</v>
      </c>
      <c r="D208" t="s">
        <v>785</v>
      </c>
      <c r="E208" s="1002">
        <v>13.478</v>
      </c>
      <c r="F208" s="1002">
        <v>8.8000000000000007</v>
      </c>
      <c r="G208" s="1002">
        <v>7</v>
      </c>
      <c r="H208" s="1002">
        <v>0</v>
      </c>
      <c r="I208" s="1002">
        <v>0</v>
      </c>
      <c r="J208" s="1002">
        <v>29.277999999999999</v>
      </c>
      <c r="K208" s="1002">
        <v>8.0079999999999991</v>
      </c>
      <c r="L208" s="1002">
        <v>7.5</v>
      </c>
      <c r="M208" s="1002">
        <v>9.4</v>
      </c>
      <c r="N208" s="1002">
        <v>0</v>
      </c>
      <c r="O208" s="1002">
        <v>0.91400000000000003</v>
      </c>
      <c r="P208" s="1002">
        <v>25.822000000000003</v>
      </c>
    </row>
    <row r="209" spans="1:16" hidden="1" x14ac:dyDescent="0.35">
      <c r="A209" t="s">
        <v>650</v>
      </c>
      <c r="B209" t="s">
        <v>740</v>
      </c>
      <c r="C209" t="s">
        <v>789</v>
      </c>
      <c r="D209" t="s">
        <v>790</v>
      </c>
      <c r="E209" s="1002">
        <v>20.334</v>
      </c>
      <c r="F209" s="1002">
        <v>0.755</v>
      </c>
      <c r="G209" s="1002">
        <v>0</v>
      </c>
      <c r="H209" s="1002">
        <v>0</v>
      </c>
      <c r="I209" s="1002">
        <v>0</v>
      </c>
      <c r="J209" s="1002">
        <v>21.088999999999999</v>
      </c>
      <c r="K209" s="1002">
        <v>15.340999999999999</v>
      </c>
      <c r="L209" s="1002">
        <v>0.114</v>
      </c>
      <c r="M209" s="1002">
        <v>0.16200000000000001</v>
      </c>
      <c r="N209" s="1002">
        <v>0</v>
      </c>
      <c r="O209" s="1002">
        <v>0</v>
      </c>
      <c r="P209" s="1002">
        <v>15.617000000000001</v>
      </c>
    </row>
    <row r="210" spans="1:16" hidden="1" x14ac:dyDescent="0.35">
      <c r="A210" t="s">
        <v>650</v>
      </c>
      <c r="B210" t="s">
        <v>740</v>
      </c>
      <c r="C210" t="s">
        <v>789</v>
      </c>
      <c r="D210" t="s">
        <v>793</v>
      </c>
      <c r="E210" s="1002">
        <v>4.8860000000000001</v>
      </c>
      <c r="F210" s="1002">
        <v>0</v>
      </c>
      <c r="G210" s="1002">
        <v>0</v>
      </c>
      <c r="H210" s="1002">
        <v>0</v>
      </c>
      <c r="I210" s="1002">
        <v>0</v>
      </c>
      <c r="J210" s="1002">
        <v>4.8860000000000001</v>
      </c>
      <c r="K210" s="1002">
        <v>39.091999999999999</v>
      </c>
      <c r="L210" s="1002">
        <v>0</v>
      </c>
      <c r="M210" s="1002">
        <v>0</v>
      </c>
      <c r="N210" s="1002">
        <v>0</v>
      </c>
      <c r="O210" s="1002">
        <v>0</v>
      </c>
      <c r="P210" s="1002">
        <v>39.091999999999999</v>
      </c>
    </row>
    <row r="211" spans="1:16" hidden="1" x14ac:dyDescent="0.35">
      <c r="A211" t="s">
        <v>650</v>
      </c>
      <c r="B211" t="s">
        <v>740</v>
      </c>
      <c r="C211" t="s">
        <v>797</v>
      </c>
      <c r="D211" t="s">
        <v>798</v>
      </c>
      <c r="E211" s="1002">
        <v>0</v>
      </c>
      <c r="F211" s="1002">
        <v>0</v>
      </c>
      <c r="G211" s="1002">
        <v>0</v>
      </c>
      <c r="H211" s="1002">
        <v>0</v>
      </c>
      <c r="I211" s="1002">
        <v>0</v>
      </c>
      <c r="J211" s="1002">
        <v>0</v>
      </c>
      <c r="K211" s="1002">
        <v>0</v>
      </c>
      <c r="L211" s="1002">
        <v>0</v>
      </c>
      <c r="M211" s="1002">
        <v>0</v>
      </c>
      <c r="N211" s="1002">
        <v>0</v>
      </c>
      <c r="O211" s="1002">
        <v>0</v>
      </c>
      <c r="P211" s="1002">
        <v>0</v>
      </c>
    </row>
    <row r="212" spans="1:16" hidden="1" x14ac:dyDescent="0.35">
      <c r="A212" t="s">
        <v>650</v>
      </c>
      <c r="B212" t="s">
        <v>740</v>
      </c>
      <c r="C212" t="s">
        <v>797</v>
      </c>
      <c r="D212" t="s">
        <v>800</v>
      </c>
      <c r="E212" s="1002">
        <v>0.55200000000000005</v>
      </c>
      <c r="F212" s="1002">
        <v>0</v>
      </c>
      <c r="G212" s="1002">
        <v>0</v>
      </c>
      <c r="H212" s="1002">
        <v>0</v>
      </c>
      <c r="I212" s="1002">
        <v>0</v>
      </c>
      <c r="J212" s="1002">
        <v>0.55200000000000005</v>
      </c>
      <c r="K212" s="1002">
        <v>0.55200000000000005</v>
      </c>
      <c r="L212" s="1002">
        <v>0</v>
      </c>
      <c r="M212" s="1002">
        <v>0</v>
      </c>
      <c r="N212" s="1002">
        <v>0</v>
      </c>
      <c r="O212" s="1002">
        <v>0</v>
      </c>
      <c r="P212" s="1002">
        <v>0.55200000000000005</v>
      </c>
    </row>
    <row r="213" spans="1:16" hidden="1" x14ac:dyDescent="0.35">
      <c r="A213" t="s">
        <v>650</v>
      </c>
      <c r="B213" t="s">
        <v>740</v>
      </c>
      <c r="C213" t="s">
        <v>797</v>
      </c>
      <c r="D213" t="s">
        <v>802</v>
      </c>
      <c r="E213" s="1002">
        <v>21.175999999999998</v>
      </c>
      <c r="F213" s="1002">
        <v>0</v>
      </c>
      <c r="G213" s="1002">
        <v>0</v>
      </c>
      <c r="H213" s="1002">
        <v>0</v>
      </c>
      <c r="I213" s="1002">
        <v>0</v>
      </c>
      <c r="J213" s="1002">
        <v>21.175999999999998</v>
      </c>
      <c r="K213" s="1002">
        <v>36.643000000000001</v>
      </c>
      <c r="L213" s="1002">
        <v>0</v>
      </c>
      <c r="M213" s="1002">
        <v>0</v>
      </c>
      <c r="N213" s="1002">
        <v>0</v>
      </c>
      <c r="O213" s="1002">
        <v>0</v>
      </c>
      <c r="P213" s="1002">
        <v>36.643000000000001</v>
      </c>
    </row>
    <row r="214" spans="1:16" hidden="1" x14ac:dyDescent="0.35">
      <c r="A214" t="s">
        <v>650</v>
      </c>
      <c r="B214" t="s">
        <v>740</v>
      </c>
      <c r="C214" t="s">
        <v>797</v>
      </c>
      <c r="D214" t="s">
        <v>805</v>
      </c>
      <c r="E214" s="1002">
        <v>16.454999999999998</v>
      </c>
      <c r="F214" s="1002">
        <v>0</v>
      </c>
      <c r="G214" s="1002">
        <v>0</v>
      </c>
      <c r="H214" s="1002">
        <v>0</v>
      </c>
      <c r="I214" s="1002">
        <v>0</v>
      </c>
      <c r="J214" s="1002">
        <v>16.454999999999998</v>
      </c>
      <c r="K214" s="1002">
        <v>50</v>
      </c>
      <c r="L214" s="1002">
        <v>0</v>
      </c>
      <c r="M214" s="1002">
        <v>0</v>
      </c>
      <c r="N214" s="1002">
        <v>0</v>
      </c>
      <c r="O214" s="1002">
        <v>0</v>
      </c>
      <c r="P214" s="1002">
        <v>50</v>
      </c>
    </row>
    <row r="215" spans="1:16" hidden="1" x14ac:dyDescent="0.35">
      <c r="A215" t="s">
        <v>650</v>
      </c>
      <c r="B215" t="s">
        <v>740</v>
      </c>
      <c r="C215" t="s">
        <v>809</v>
      </c>
      <c r="D215" t="s">
        <v>810</v>
      </c>
      <c r="E215" s="1002">
        <v>8.59</v>
      </c>
      <c r="F215" s="1002">
        <v>0</v>
      </c>
      <c r="G215" s="1002">
        <v>5.3070000000000004</v>
      </c>
      <c r="H215" s="1002">
        <v>0</v>
      </c>
      <c r="I215" s="1002">
        <v>0</v>
      </c>
      <c r="J215" s="1002">
        <v>13.897</v>
      </c>
      <c r="K215" s="1002">
        <v>36.616999999999997</v>
      </c>
      <c r="L215" s="1002">
        <v>0</v>
      </c>
      <c r="M215" s="1002">
        <v>0.23</v>
      </c>
      <c r="N215" s="1002">
        <v>0</v>
      </c>
      <c r="O215" s="1002">
        <v>0</v>
      </c>
      <c r="P215" s="1002">
        <v>36.846999999999994</v>
      </c>
    </row>
    <row r="216" spans="1:16" hidden="1" x14ac:dyDescent="0.35">
      <c r="A216" t="s">
        <v>650</v>
      </c>
      <c r="B216" t="s">
        <v>740</v>
      </c>
      <c r="C216" t="s">
        <v>809</v>
      </c>
      <c r="D216" t="s">
        <v>813</v>
      </c>
      <c r="E216" s="1002">
        <v>16.166</v>
      </c>
      <c r="F216" s="1002">
        <v>0</v>
      </c>
      <c r="G216" s="1002">
        <v>4.7050000000000001</v>
      </c>
      <c r="H216" s="1002">
        <v>0</v>
      </c>
      <c r="I216" s="1002">
        <v>0</v>
      </c>
      <c r="J216" s="1002">
        <v>20.871000000000002</v>
      </c>
      <c r="K216" s="1002">
        <v>18.381</v>
      </c>
      <c r="L216" s="1002">
        <v>0</v>
      </c>
      <c r="M216" s="1002">
        <v>7</v>
      </c>
      <c r="N216" s="1002">
        <v>0</v>
      </c>
      <c r="O216" s="1002">
        <v>0</v>
      </c>
      <c r="P216" s="1002">
        <v>25.381</v>
      </c>
    </row>
    <row r="217" spans="1:16" hidden="1" x14ac:dyDescent="0.35">
      <c r="A217" t="s">
        <v>650</v>
      </c>
      <c r="B217" t="s">
        <v>740</v>
      </c>
      <c r="C217" t="s">
        <v>809</v>
      </c>
      <c r="D217" t="s">
        <v>816</v>
      </c>
      <c r="E217" s="1002">
        <v>0</v>
      </c>
      <c r="F217" s="1002">
        <v>0</v>
      </c>
      <c r="G217" s="1002">
        <v>0</v>
      </c>
      <c r="H217" s="1002">
        <v>0</v>
      </c>
      <c r="I217" s="1002">
        <v>0</v>
      </c>
      <c r="J217" s="1002">
        <v>0</v>
      </c>
      <c r="K217" s="1002">
        <v>21.75</v>
      </c>
      <c r="L217" s="1002">
        <v>0</v>
      </c>
      <c r="M217" s="1002">
        <v>0</v>
      </c>
      <c r="N217" s="1002">
        <v>0</v>
      </c>
      <c r="O217" s="1002">
        <v>0</v>
      </c>
      <c r="P217" s="1002">
        <v>21.75</v>
      </c>
    </row>
    <row r="218" spans="1:16" hidden="1" x14ac:dyDescent="0.35">
      <c r="A218" t="s">
        <v>650</v>
      </c>
      <c r="B218" t="s">
        <v>821</v>
      </c>
      <c r="C218" t="s">
        <v>823</v>
      </c>
      <c r="D218" t="s">
        <v>823</v>
      </c>
      <c r="E218" s="1002">
        <v>321.60899999999998</v>
      </c>
      <c r="F218" s="1002">
        <v>0</v>
      </c>
      <c r="G218" s="1002">
        <v>0</v>
      </c>
      <c r="H218" s="1002">
        <v>0</v>
      </c>
      <c r="I218" s="1002">
        <v>0</v>
      </c>
      <c r="J218" s="1002">
        <v>321.60899999999998</v>
      </c>
      <c r="K218" s="1002">
        <v>287.80900000000003</v>
      </c>
      <c r="L218" s="1002">
        <v>0</v>
      </c>
      <c r="M218" s="1002">
        <v>0</v>
      </c>
      <c r="N218" s="1002">
        <v>0</v>
      </c>
      <c r="O218" s="1002">
        <v>0</v>
      </c>
      <c r="P218" s="1002">
        <v>287.80900000000003</v>
      </c>
    </row>
    <row r="219" spans="1:16" hidden="1" x14ac:dyDescent="0.35">
      <c r="A219" t="s">
        <v>650</v>
      </c>
      <c r="B219" t="s">
        <v>821</v>
      </c>
      <c r="C219" t="s">
        <v>826</v>
      </c>
      <c r="D219" t="s">
        <v>826</v>
      </c>
      <c r="E219" s="1002">
        <v>6.4</v>
      </c>
      <c r="F219" s="1002">
        <v>0</v>
      </c>
      <c r="G219" s="1002">
        <v>0</v>
      </c>
      <c r="H219" s="1002">
        <v>0</v>
      </c>
      <c r="I219" s="1002">
        <v>0</v>
      </c>
      <c r="J219" s="1002">
        <v>6.4</v>
      </c>
      <c r="K219" s="1002">
        <v>5.4</v>
      </c>
      <c r="L219" s="1002">
        <v>0</v>
      </c>
      <c r="M219" s="1002">
        <v>0</v>
      </c>
      <c r="N219" s="1002">
        <v>0</v>
      </c>
      <c r="O219" s="1002">
        <v>0</v>
      </c>
      <c r="P219" s="1002">
        <v>5.4</v>
      </c>
    </row>
    <row r="220" spans="1:16" hidden="1" x14ac:dyDescent="0.35">
      <c r="A220" t="s">
        <v>650</v>
      </c>
      <c r="B220" t="s">
        <v>821</v>
      </c>
      <c r="C220" t="s">
        <v>829</v>
      </c>
      <c r="D220" t="s">
        <v>829</v>
      </c>
      <c r="E220" s="1002">
        <v>4.8</v>
      </c>
      <c r="F220" s="1002">
        <v>0</v>
      </c>
      <c r="G220" s="1002">
        <v>0</v>
      </c>
      <c r="H220" s="1002">
        <v>0</v>
      </c>
      <c r="I220" s="1002">
        <v>0</v>
      </c>
      <c r="J220" s="1002">
        <v>4.8</v>
      </c>
      <c r="K220" s="1002">
        <v>3.3</v>
      </c>
      <c r="L220" s="1002">
        <v>0</v>
      </c>
      <c r="M220" s="1002">
        <v>0</v>
      </c>
      <c r="N220" s="1002">
        <v>0</v>
      </c>
      <c r="O220" s="1002">
        <v>0</v>
      </c>
      <c r="P220" s="1002">
        <v>3.3</v>
      </c>
    </row>
    <row r="221" spans="1:16" hidden="1" x14ac:dyDescent="0.35">
      <c r="A221" t="s">
        <v>650</v>
      </c>
      <c r="B221" t="s">
        <v>821</v>
      </c>
      <c r="C221" t="s">
        <v>831</v>
      </c>
      <c r="D221" t="s">
        <v>831</v>
      </c>
      <c r="E221" s="1002">
        <v>0</v>
      </c>
      <c r="F221" s="1002">
        <v>344.178</v>
      </c>
      <c r="G221" s="1002">
        <v>0</v>
      </c>
      <c r="H221" s="1002">
        <v>0</v>
      </c>
      <c r="I221" s="1002">
        <v>0</v>
      </c>
      <c r="J221" s="1002">
        <v>344.178</v>
      </c>
      <c r="K221" s="1002">
        <v>0</v>
      </c>
      <c r="L221" s="1002">
        <v>-396.65100000000001</v>
      </c>
      <c r="M221" s="1002">
        <v>0</v>
      </c>
      <c r="N221" s="1002">
        <v>0</v>
      </c>
      <c r="O221" s="1002">
        <v>0</v>
      </c>
      <c r="P221" s="1002">
        <v>-396.65100000000001</v>
      </c>
    </row>
    <row r="222" spans="1:16" hidden="1" x14ac:dyDescent="0.35">
      <c r="A222" t="s">
        <v>650</v>
      </c>
      <c r="B222" t="s">
        <v>821</v>
      </c>
      <c r="C222" t="s">
        <v>834</v>
      </c>
      <c r="D222" t="s">
        <v>834</v>
      </c>
      <c r="E222" s="1002">
        <v>11.802</v>
      </c>
      <c r="F222" s="1002">
        <v>2.319</v>
      </c>
      <c r="G222" s="1002">
        <v>0</v>
      </c>
      <c r="H222" s="1002">
        <v>0</v>
      </c>
      <c r="I222" s="1002">
        <v>0</v>
      </c>
      <c r="J222" s="1002">
        <v>14.120999999999999</v>
      </c>
      <c r="K222" s="1002">
        <v>11.13</v>
      </c>
      <c r="L222" s="1002">
        <v>3.597</v>
      </c>
      <c r="M222" s="1002">
        <v>0</v>
      </c>
      <c r="N222" s="1002">
        <v>0</v>
      </c>
      <c r="O222" s="1002">
        <v>0</v>
      </c>
      <c r="P222" s="1002">
        <v>14.727</v>
      </c>
    </row>
    <row r="223" spans="1:16" hidden="1" x14ac:dyDescent="0.35">
      <c r="A223" t="s">
        <v>650</v>
      </c>
      <c r="B223" t="s">
        <v>821</v>
      </c>
      <c r="C223" t="s">
        <v>837</v>
      </c>
      <c r="D223" t="s">
        <v>837</v>
      </c>
      <c r="E223" s="1002">
        <v>0</v>
      </c>
      <c r="F223" s="1002">
        <v>0</v>
      </c>
      <c r="G223" s="1002">
        <v>6.9</v>
      </c>
      <c r="H223" s="1002">
        <v>0</v>
      </c>
      <c r="I223" s="1002">
        <v>0</v>
      </c>
      <c r="J223" s="1002">
        <v>6.9</v>
      </c>
      <c r="K223" s="1002">
        <v>0</v>
      </c>
      <c r="L223" s="1002">
        <v>0</v>
      </c>
      <c r="M223" s="1002">
        <v>6.9</v>
      </c>
      <c r="N223" s="1002">
        <v>0</v>
      </c>
      <c r="O223" s="1002">
        <v>0</v>
      </c>
      <c r="P223" s="1002">
        <v>6.9</v>
      </c>
    </row>
    <row r="224" spans="1:16" hidden="1" x14ac:dyDescent="0.35">
      <c r="A224" t="s">
        <v>650</v>
      </c>
      <c r="B224" t="s">
        <v>821</v>
      </c>
      <c r="C224" t="s">
        <v>840</v>
      </c>
      <c r="D224" t="s">
        <v>840</v>
      </c>
      <c r="E224" s="1002">
        <v>0</v>
      </c>
      <c r="F224" s="1002">
        <v>0</v>
      </c>
      <c r="G224" s="1002">
        <v>0</v>
      </c>
      <c r="H224" s="1002">
        <v>0</v>
      </c>
      <c r="I224" s="1002">
        <v>865</v>
      </c>
      <c r="J224" s="1002">
        <v>865</v>
      </c>
      <c r="K224" s="1002">
        <v>0</v>
      </c>
      <c r="L224" s="1002">
        <v>0</v>
      </c>
      <c r="M224" s="1002">
        <v>0</v>
      </c>
      <c r="N224" s="1002">
        <v>0</v>
      </c>
      <c r="O224" s="1002">
        <v>935</v>
      </c>
      <c r="P224" s="1002">
        <v>935</v>
      </c>
    </row>
    <row r="225" spans="1:16" hidden="1" x14ac:dyDescent="0.35">
      <c r="A225" t="s">
        <v>650</v>
      </c>
      <c r="B225" t="s">
        <v>821</v>
      </c>
      <c r="C225" t="s">
        <v>843</v>
      </c>
      <c r="D225" t="s">
        <v>843</v>
      </c>
      <c r="E225" s="1002">
        <v>0</v>
      </c>
      <c r="F225" s="1002">
        <v>0</v>
      </c>
      <c r="G225" s="1002">
        <v>0</v>
      </c>
      <c r="H225" s="1002">
        <v>0</v>
      </c>
      <c r="I225" s="1002">
        <v>-200</v>
      </c>
      <c r="J225" s="1002">
        <v>-200</v>
      </c>
      <c r="K225" s="1002">
        <v>0</v>
      </c>
      <c r="L225" s="1002">
        <v>0</v>
      </c>
      <c r="M225" s="1002">
        <v>0</v>
      </c>
      <c r="N225" s="1002">
        <v>0</v>
      </c>
      <c r="O225" s="1002">
        <v>-272</v>
      </c>
      <c r="P225" s="1002">
        <v>-272</v>
      </c>
    </row>
    <row r="226" spans="1:16" hidden="1" x14ac:dyDescent="0.35">
      <c r="A226" t="s">
        <v>650</v>
      </c>
      <c r="B226" t="s">
        <v>821</v>
      </c>
      <c r="C226" t="s">
        <v>846</v>
      </c>
      <c r="D226" t="s">
        <v>846</v>
      </c>
      <c r="E226" s="1002">
        <v>0</v>
      </c>
      <c r="F226" s="1002">
        <v>0</v>
      </c>
      <c r="G226" s="1002">
        <v>0</v>
      </c>
      <c r="H226" s="1002">
        <v>0</v>
      </c>
      <c r="I226" s="1002">
        <v>144.107</v>
      </c>
      <c r="J226" s="1002">
        <v>144.107</v>
      </c>
      <c r="K226" s="1002">
        <v>0</v>
      </c>
      <c r="L226" s="1002">
        <v>0</v>
      </c>
      <c r="M226" s="1002">
        <v>0</v>
      </c>
      <c r="N226" s="1002">
        <v>0</v>
      </c>
      <c r="O226" s="1002">
        <v>213.505</v>
      </c>
      <c r="P226" s="1002">
        <v>213.505</v>
      </c>
    </row>
    <row r="227" spans="1:16" hidden="1" x14ac:dyDescent="0.35">
      <c r="A227" t="s">
        <v>650</v>
      </c>
      <c r="B227" t="s">
        <v>821</v>
      </c>
      <c r="C227" t="s">
        <v>849</v>
      </c>
      <c r="D227" t="s">
        <v>849</v>
      </c>
      <c r="E227" s="1002">
        <v>0</v>
      </c>
      <c r="F227" s="1002">
        <v>0</v>
      </c>
      <c r="G227" s="1002">
        <v>0</v>
      </c>
      <c r="H227" s="1002">
        <v>0</v>
      </c>
      <c r="I227" s="1002">
        <v>-5</v>
      </c>
      <c r="J227" s="1002">
        <v>-5</v>
      </c>
      <c r="K227" s="1002">
        <v>0</v>
      </c>
      <c r="L227" s="1002">
        <v>0</v>
      </c>
      <c r="M227" s="1002">
        <v>0</v>
      </c>
      <c r="N227" s="1002">
        <v>0</v>
      </c>
      <c r="O227" s="1002">
        <v>-3.3</v>
      </c>
      <c r="P227" s="1002">
        <v>-3.3</v>
      </c>
    </row>
    <row r="228" spans="1:16" hidden="1" x14ac:dyDescent="0.35">
      <c r="A228" t="s">
        <v>650</v>
      </c>
      <c r="B228" t="s">
        <v>854</v>
      </c>
      <c r="C228" t="s">
        <v>855</v>
      </c>
      <c r="D228" t="s">
        <v>855</v>
      </c>
      <c r="E228" s="1002">
        <v>7.4260000000000002</v>
      </c>
      <c r="F228" s="1002">
        <v>0.15</v>
      </c>
      <c r="G228" s="1002">
        <v>0</v>
      </c>
      <c r="H228" s="1002">
        <v>0</v>
      </c>
      <c r="I228" s="1002">
        <v>0.04</v>
      </c>
      <c r="J228" s="1002">
        <v>7.6160000000000005</v>
      </c>
      <c r="K228" s="1002">
        <v>7.3769999999999998</v>
      </c>
      <c r="L228" s="1002">
        <v>0.47599999999999998</v>
      </c>
      <c r="M228" s="1002">
        <v>0.8</v>
      </c>
      <c r="N228" s="1002">
        <v>0</v>
      </c>
      <c r="O228" s="1002">
        <v>0</v>
      </c>
      <c r="P228" s="1002">
        <v>8.6530000000000005</v>
      </c>
    </row>
    <row r="229" spans="1:16" hidden="1" x14ac:dyDescent="0.35">
      <c r="A229" t="s">
        <v>650</v>
      </c>
      <c r="B229" t="s">
        <v>854</v>
      </c>
      <c r="C229" t="s">
        <v>858</v>
      </c>
      <c r="D229" t="s">
        <v>858</v>
      </c>
      <c r="E229" s="1002">
        <v>833.89800000000002</v>
      </c>
      <c r="F229" s="1002">
        <v>0</v>
      </c>
      <c r="G229" s="1002">
        <v>0</v>
      </c>
      <c r="H229" s="1002">
        <v>0</v>
      </c>
      <c r="I229" s="1002">
        <v>0</v>
      </c>
      <c r="J229" s="1002">
        <v>833.89800000000002</v>
      </c>
      <c r="K229" s="1034">
        <v>849.697</v>
      </c>
      <c r="L229" s="1002">
        <v>0</v>
      </c>
      <c r="M229" s="1002">
        <v>0</v>
      </c>
      <c r="N229" s="1002">
        <v>0</v>
      </c>
      <c r="O229" s="1002">
        <v>0</v>
      </c>
      <c r="P229" s="1034">
        <v>849.697</v>
      </c>
    </row>
    <row r="230" spans="1:16" hidden="1" x14ac:dyDescent="0.35">
      <c r="A230" t="s">
        <v>650</v>
      </c>
      <c r="B230" t="s">
        <v>854</v>
      </c>
      <c r="C230" t="s">
        <v>860</v>
      </c>
      <c r="D230" t="s">
        <v>860</v>
      </c>
      <c r="E230" s="1002">
        <v>-190</v>
      </c>
      <c r="F230" s="1002">
        <v>0</v>
      </c>
      <c r="G230" s="1002">
        <v>0</v>
      </c>
      <c r="H230" s="1002">
        <v>0</v>
      </c>
      <c r="I230" s="1002">
        <v>0</v>
      </c>
      <c r="J230" s="1002">
        <v>-190</v>
      </c>
      <c r="K230" s="1002">
        <v>-190</v>
      </c>
      <c r="L230" s="1002">
        <v>0</v>
      </c>
      <c r="M230" s="1002">
        <v>0</v>
      </c>
      <c r="N230" s="1002">
        <v>0</v>
      </c>
      <c r="O230" s="1002">
        <v>0</v>
      </c>
      <c r="P230" s="1002">
        <v>-190</v>
      </c>
    </row>
    <row r="231" spans="1:16" hidden="1" x14ac:dyDescent="0.35">
      <c r="A231" t="s">
        <v>650</v>
      </c>
      <c r="B231" t="s">
        <v>854</v>
      </c>
      <c r="C231" t="s">
        <v>864</v>
      </c>
      <c r="D231" t="s">
        <v>863</v>
      </c>
      <c r="E231" s="1002">
        <v>29.3</v>
      </c>
      <c r="F231" s="1002">
        <v>0</v>
      </c>
      <c r="G231" s="1002">
        <v>0</v>
      </c>
      <c r="H231" s="1002">
        <v>0</v>
      </c>
      <c r="I231" s="1002">
        <v>0</v>
      </c>
      <c r="J231" s="1002">
        <v>29.3</v>
      </c>
      <c r="K231" s="1002">
        <v>31.632000000000001</v>
      </c>
      <c r="L231" s="1002">
        <v>0</v>
      </c>
      <c r="M231" s="1002">
        <v>0</v>
      </c>
      <c r="N231" s="1002">
        <v>0</v>
      </c>
      <c r="O231" s="1002">
        <v>0</v>
      </c>
      <c r="P231" s="1002">
        <v>31.632000000000001</v>
      </c>
    </row>
    <row r="232" spans="1:16" hidden="1" x14ac:dyDescent="0.35">
      <c r="A232" t="s">
        <v>650</v>
      </c>
      <c r="B232" t="s">
        <v>854</v>
      </c>
      <c r="C232" t="s">
        <v>867</v>
      </c>
      <c r="D232" t="s">
        <v>867</v>
      </c>
      <c r="E232" s="1002">
        <v>0</v>
      </c>
      <c r="F232" s="1002">
        <v>31.809000000000001</v>
      </c>
      <c r="G232" s="1002">
        <v>0</v>
      </c>
      <c r="H232" s="1002">
        <v>0</v>
      </c>
      <c r="I232" s="1002">
        <v>0</v>
      </c>
      <c r="J232" s="1002">
        <v>31.809000000000001</v>
      </c>
      <c r="K232" s="1002">
        <v>0</v>
      </c>
      <c r="L232" s="1002">
        <v>35.613999999999997</v>
      </c>
      <c r="M232" s="1002">
        <v>0</v>
      </c>
      <c r="N232" s="1002">
        <v>0</v>
      </c>
      <c r="O232" s="1002">
        <v>0</v>
      </c>
      <c r="P232" s="1002">
        <v>35.613999999999997</v>
      </c>
    </row>
    <row r="233" spans="1:16" hidden="1" x14ac:dyDescent="0.35">
      <c r="A233" t="s">
        <v>650</v>
      </c>
      <c r="B233" t="s">
        <v>854</v>
      </c>
      <c r="C233" t="s">
        <v>870</v>
      </c>
      <c r="D233" t="s">
        <v>870</v>
      </c>
      <c r="E233" s="1002">
        <v>0</v>
      </c>
      <c r="F233" s="1002">
        <v>0</v>
      </c>
      <c r="G233" s="1002">
        <v>84.85</v>
      </c>
      <c r="H233" s="1002">
        <v>0</v>
      </c>
      <c r="I233" s="1002">
        <v>0</v>
      </c>
      <c r="J233" s="1002">
        <v>84.85</v>
      </c>
      <c r="K233" s="1002">
        <v>0</v>
      </c>
      <c r="L233" s="1002">
        <v>0</v>
      </c>
      <c r="M233" s="1002">
        <v>64.831999999999994</v>
      </c>
      <c r="N233" s="1002">
        <v>0</v>
      </c>
      <c r="O233" s="1002">
        <v>0</v>
      </c>
      <c r="P233" s="1002">
        <v>64.831999999999994</v>
      </c>
    </row>
    <row r="234" spans="1:16" hidden="1" x14ac:dyDescent="0.35">
      <c r="A234" t="s">
        <v>650</v>
      </c>
      <c r="B234" t="s">
        <v>854</v>
      </c>
      <c r="C234" t="s">
        <v>873</v>
      </c>
      <c r="D234" t="s">
        <v>873</v>
      </c>
      <c r="E234" s="1002">
        <v>0</v>
      </c>
      <c r="F234" s="1002">
        <v>0</v>
      </c>
      <c r="G234" s="1002">
        <v>0</v>
      </c>
      <c r="H234" s="1002">
        <v>0</v>
      </c>
      <c r="I234" s="1002">
        <v>0</v>
      </c>
      <c r="J234" s="1002">
        <v>0</v>
      </c>
      <c r="K234" s="1002">
        <v>0</v>
      </c>
      <c r="L234" s="1002">
        <v>0</v>
      </c>
      <c r="M234" s="1002">
        <v>0</v>
      </c>
      <c r="N234" s="1002">
        <v>0</v>
      </c>
      <c r="O234" s="1002">
        <v>0</v>
      </c>
      <c r="P234" s="1002">
        <v>0</v>
      </c>
    </row>
    <row r="235" spans="1:16" hidden="1" x14ac:dyDescent="0.35">
      <c r="A235" t="s">
        <v>650</v>
      </c>
      <c r="B235" t="s">
        <v>854</v>
      </c>
      <c r="C235" t="s">
        <v>876</v>
      </c>
      <c r="D235" t="s">
        <v>876</v>
      </c>
      <c r="E235" s="1002">
        <v>810.47199999999998</v>
      </c>
      <c r="F235" s="1002">
        <v>0</v>
      </c>
      <c r="G235" s="1002">
        <v>0</v>
      </c>
      <c r="H235" s="1002">
        <v>0</v>
      </c>
      <c r="I235" s="1002">
        <v>0</v>
      </c>
      <c r="J235" s="1002">
        <v>810.47199999999998</v>
      </c>
      <c r="K235" s="1002">
        <v>773.59</v>
      </c>
      <c r="L235" s="1002">
        <v>0</v>
      </c>
      <c r="M235" s="1002">
        <v>0</v>
      </c>
      <c r="N235" s="1002">
        <v>0</v>
      </c>
      <c r="O235" s="1002">
        <v>0</v>
      </c>
      <c r="P235" s="1002">
        <v>773.59</v>
      </c>
    </row>
    <row r="236" spans="1:16" hidden="1" x14ac:dyDescent="0.35">
      <c r="A236" t="s">
        <v>650</v>
      </c>
      <c r="B236" t="s">
        <v>854</v>
      </c>
      <c r="C236" t="s">
        <v>879</v>
      </c>
      <c r="D236" t="s">
        <v>879</v>
      </c>
      <c r="E236" s="1002">
        <v>0</v>
      </c>
      <c r="F236" s="1002">
        <v>0</v>
      </c>
      <c r="G236" s="1002">
        <v>356.89</v>
      </c>
      <c r="H236" s="1002">
        <v>0</v>
      </c>
      <c r="I236" s="1002">
        <v>0</v>
      </c>
      <c r="J236" s="1002">
        <v>356.89</v>
      </c>
      <c r="K236" s="1002">
        <v>0</v>
      </c>
      <c r="L236" s="1002">
        <v>0</v>
      </c>
      <c r="M236" s="1002">
        <v>368.27</v>
      </c>
      <c r="N236" s="1002">
        <v>0</v>
      </c>
      <c r="O236" s="1002">
        <v>0</v>
      </c>
      <c r="P236" s="1002">
        <v>368.27</v>
      </c>
    </row>
    <row r="237" spans="1:16" hidden="1" x14ac:dyDescent="0.35">
      <c r="A237" t="s">
        <v>650</v>
      </c>
      <c r="B237" t="s">
        <v>854</v>
      </c>
      <c r="C237" t="s">
        <v>882</v>
      </c>
      <c r="D237" t="s">
        <v>882</v>
      </c>
      <c r="E237" s="1002">
        <v>0</v>
      </c>
      <c r="F237" s="1002">
        <v>0</v>
      </c>
      <c r="G237" s="1002">
        <v>0</v>
      </c>
      <c r="H237" s="1002">
        <v>0</v>
      </c>
      <c r="I237" s="1002">
        <v>0</v>
      </c>
      <c r="J237" s="1002">
        <v>0</v>
      </c>
      <c r="K237" s="1002">
        <v>0</v>
      </c>
      <c r="L237" s="1002">
        <v>0</v>
      </c>
      <c r="M237" s="1002">
        <v>0</v>
      </c>
      <c r="N237" s="1002">
        <v>0</v>
      </c>
      <c r="O237" s="1002">
        <v>0</v>
      </c>
      <c r="P237" s="1002">
        <v>0</v>
      </c>
    </row>
    <row r="238" spans="1:16" hidden="1" x14ac:dyDescent="0.35">
      <c r="A238" t="s">
        <v>650</v>
      </c>
      <c r="B238" t="s">
        <v>854</v>
      </c>
      <c r="C238" t="s">
        <v>883</v>
      </c>
      <c r="D238" t="s">
        <v>883</v>
      </c>
      <c r="E238" s="1002">
        <v>0</v>
      </c>
      <c r="F238" s="1002">
        <v>0</v>
      </c>
      <c r="G238" s="1002">
        <v>0</v>
      </c>
      <c r="H238" s="1002">
        <v>-8.9</v>
      </c>
      <c r="I238" s="1002">
        <v>0</v>
      </c>
      <c r="J238" s="1002">
        <v>-8.9</v>
      </c>
      <c r="K238" s="1002">
        <v>0</v>
      </c>
      <c r="L238" s="1002">
        <v>0</v>
      </c>
      <c r="M238" s="1002">
        <v>0</v>
      </c>
      <c r="N238" s="1002">
        <v>-12.2</v>
      </c>
      <c r="O238" s="1002">
        <v>0</v>
      </c>
      <c r="P238" s="1002">
        <v>-12.2</v>
      </c>
    </row>
    <row r="239" spans="1:16" hidden="1" x14ac:dyDescent="0.35">
      <c r="A239" t="s">
        <v>650</v>
      </c>
      <c r="B239" t="s">
        <v>887</v>
      </c>
      <c r="C239" t="s">
        <v>888</v>
      </c>
      <c r="D239" t="s">
        <v>889</v>
      </c>
      <c r="E239" s="1002">
        <v>0.61299999999999999</v>
      </c>
      <c r="F239" s="1002">
        <v>0</v>
      </c>
      <c r="G239" s="1002">
        <v>0</v>
      </c>
      <c r="H239" s="1002">
        <v>0</v>
      </c>
      <c r="I239" s="1002">
        <v>0</v>
      </c>
      <c r="J239" s="1002">
        <v>0.61299999999999999</v>
      </c>
      <c r="K239" s="1002">
        <v>1</v>
      </c>
      <c r="L239" s="1002">
        <v>0</v>
      </c>
      <c r="M239" s="1002">
        <v>0</v>
      </c>
      <c r="N239" s="1002">
        <v>0</v>
      </c>
      <c r="O239" s="1002">
        <v>0</v>
      </c>
      <c r="P239" s="1002">
        <v>1</v>
      </c>
    </row>
    <row r="240" spans="1:16" hidden="1" x14ac:dyDescent="0.35">
      <c r="A240" t="s">
        <v>650</v>
      </c>
      <c r="B240" t="s">
        <v>887</v>
      </c>
      <c r="C240" t="s">
        <v>888</v>
      </c>
      <c r="D240" t="s">
        <v>892</v>
      </c>
      <c r="E240" s="1002">
        <v>0.46</v>
      </c>
      <c r="F240" s="1002">
        <v>0</v>
      </c>
      <c r="G240" s="1002">
        <v>0</v>
      </c>
      <c r="H240" s="1002">
        <v>0</v>
      </c>
      <c r="I240" s="1002">
        <v>0</v>
      </c>
      <c r="J240" s="1002">
        <v>0.46</v>
      </c>
      <c r="K240" s="1002">
        <v>0.46</v>
      </c>
      <c r="L240" s="1002">
        <v>0</v>
      </c>
      <c r="M240" s="1002">
        <v>0</v>
      </c>
      <c r="N240" s="1002">
        <v>0</v>
      </c>
      <c r="O240" s="1002">
        <v>0</v>
      </c>
      <c r="P240" s="1002">
        <v>0.46</v>
      </c>
    </row>
    <row r="241" spans="1:16" hidden="1" x14ac:dyDescent="0.35">
      <c r="A241" t="s">
        <v>650</v>
      </c>
      <c r="B241" t="s">
        <v>887</v>
      </c>
      <c r="C241" t="s">
        <v>888</v>
      </c>
      <c r="D241" t="s">
        <v>894</v>
      </c>
      <c r="E241" s="1002">
        <v>2.2290000000000001</v>
      </c>
      <c r="F241" s="1002">
        <v>0</v>
      </c>
      <c r="G241" s="1002">
        <v>0</v>
      </c>
      <c r="H241" s="1002">
        <v>0</v>
      </c>
      <c r="I241" s="1002">
        <v>0</v>
      </c>
      <c r="J241" s="1002">
        <v>2.2290000000000001</v>
      </c>
      <c r="K241" s="1002">
        <v>2.1619999999999999</v>
      </c>
      <c r="L241" s="1002">
        <v>0</v>
      </c>
      <c r="M241" s="1002">
        <v>0</v>
      </c>
      <c r="N241" s="1002">
        <v>0</v>
      </c>
      <c r="O241" s="1002">
        <v>0</v>
      </c>
      <c r="P241" s="1002">
        <v>2.1619999999999999</v>
      </c>
    </row>
    <row r="242" spans="1:16" hidden="1" x14ac:dyDescent="0.35">
      <c r="A242" t="s">
        <v>650</v>
      </c>
      <c r="B242" t="s">
        <v>887</v>
      </c>
      <c r="C242" t="s">
        <v>888</v>
      </c>
      <c r="D242" t="s">
        <v>897</v>
      </c>
      <c r="E242" s="1002">
        <v>9.9000000000000005E-2</v>
      </c>
      <c r="F242" s="1002">
        <v>0</v>
      </c>
      <c r="G242" s="1002">
        <v>0</v>
      </c>
      <c r="H242" s="1002">
        <v>0</v>
      </c>
      <c r="I242" s="1002">
        <v>0</v>
      </c>
      <c r="J242" s="1002">
        <v>9.9000000000000005E-2</v>
      </c>
      <c r="K242" s="1002">
        <v>2.718</v>
      </c>
      <c r="L242" s="1002">
        <v>0</v>
      </c>
      <c r="M242" s="1002">
        <v>0</v>
      </c>
      <c r="N242" s="1002">
        <v>0</v>
      </c>
      <c r="O242" s="1002">
        <v>0</v>
      </c>
      <c r="P242" s="1002">
        <v>2.718</v>
      </c>
    </row>
    <row r="243" spans="1:16" hidden="1" x14ac:dyDescent="0.35">
      <c r="A243" t="s">
        <v>650</v>
      </c>
      <c r="B243" t="s">
        <v>887</v>
      </c>
      <c r="C243" t="s">
        <v>888</v>
      </c>
      <c r="D243" t="s">
        <v>900</v>
      </c>
      <c r="E243" s="1002">
        <v>0.86299999999999999</v>
      </c>
      <c r="F243" s="1002">
        <v>0</v>
      </c>
      <c r="G243" s="1002">
        <v>0</v>
      </c>
      <c r="H243" s="1002">
        <v>0</v>
      </c>
      <c r="I243" s="1002">
        <v>0</v>
      </c>
      <c r="J243" s="1002">
        <v>0.86299999999999999</v>
      </c>
      <c r="K243" s="1034">
        <v>2.7480000000000002</v>
      </c>
      <c r="L243" s="1002">
        <v>0</v>
      </c>
      <c r="M243" s="1002">
        <v>0</v>
      </c>
      <c r="N243" s="1002">
        <v>0</v>
      </c>
      <c r="O243" s="1002">
        <v>0</v>
      </c>
      <c r="P243" s="1034">
        <v>2.7480000000000002</v>
      </c>
    </row>
    <row r="244" spans="1:16" hidden="1" x14ac:dyDescent="0.35">
      <c r="A244" t="s">
        <v>650</v>
      </c>
      <c r="B244" t="s">
        <v>887</v>
      </c>
      <c r="C244" t="s">
        <v>888</v>
      </c>
      <c r="D244" t="s">
        <v>902</v>
      </c>
      <c r="E244" s="1002">
        <v>8.3420000000000005</v>
      </c>
      <c r="F244" s="1002">
        <v>0</v>
      </c>
      <c r="G244" s="1002">
        <v>0</v>
      </c>
      <c r="H244" s="1002">
        <v>0</v>
      </c>
      <c r="I244" s="1002">
        <v>0</v>
      </c>
      <c r="J244" s="1002">
        <v>8.3420000000000005</v>
      </c>
      <c r="K244" s="1002">
        <v>9.1660000000000004</v>
      </c>
      <c r="L244" s="1002">
        <v>0</v>
      </c>
      <c r="M244" s="1002">
        <v>0</v>
      </c>
      <c r="N244" s="1002">
        <v>0</v>
      </c>
      <c r="O244" s="1002">
        <v>0</v>
      </c>
      <c r="P244" s="1002">
        <v>9.1660000000000004</v>
      </c>
    </row>
    <row r="245" spans="1:16" hidden="1" x14ac:dyDescent="0.35">
      <c r="A245" t="s">
        <v>650</v>
      </c>
      <c r="B245" t="s">
        <v>887</v>
      </c>
      <c r="C245" t="s">
        <v>906</v>
      </c>
      <c r="D245" t="s">
        <v>907</v>
      </c>
      <c r="E245" s="1002">
        <v>16.356999999999999</v>
      </c>
      <c r="F245" s="1002">
        <v>0</v>
      </c>
      <c r="G245" s="1002">
        <v>0</v>
      </c>
      <c r="H245" s="1002">
        <v>0</v>
      </c>
      <c r="I245" s="1002">
        <v>0</v>
      </c>
      <c r="J245" s="1002">
        <v>16.356999999999999</v>
      </c>
      <c r="K245" s="1002">
        <v>16.628</v>
      </c>
      <c r="L245" s="1002">
        <v>0</v>
      </c>
      <c r="M245" s="1002">
        <v>0</v>
      </c>
      <c r="N245" s="1002">
        <v>0</v>
      </c>
      <c r="O245" s="1002">
        <v>0</v>
      </c>
      <c r="P245" s="1002">
        <v>16.628</v>
      </c>
    </row>
    <row r="246" spans="1:16" hidden="1" x14ac:dyDescent="0.35">
      <c r="A246" t="s">
        <v>650</v>
      </c>
      <c r="B246" t="s">
        <v>887</v>
      </c>
      <c r="C246" t="s">
        <v>906</v>
      </c>
      <c r="D246" t="s">
        <v>910</v>
      </c>
      <c r="E246" s="1002">
        <v>18.959</v>
      </c>
      <c r="F246" s="1002">
        <v>0</v>
      </c>
      <c r="G246" s="1002">
        <v>0</v>
      </c>
      <c r="H246" s="1002">
        <v>0</v>
      </c>
      <c r="I246" s="1002">
        <v>0</v>
      </c>
      <c r="J246" s="1002">
        <v>18.959</v>
      </c>
      <c r="K246" s="1002">
        <v>18.7</v>
      </c>
      <c r="L246" s="1002">
        <v>0</v>
      </c>
      <c r="M246" s="1002">
        <v>0</v>
      </c>
      <c r="N246" s="1002">
        <v>0</v>
      </c>
      <c r="O246" s="1002">
        <v>0</v>
      </c>
      <c r="P246" s="1002">
        <v>18.7</v>
      </c>
    </row>
    <row r="247" spans="1:16" hidden="1" x14ac:dyDescent="0.35">
      <c r="A247" t="s">
        <v>650</v>
      </c>
      <c r="B247" t="s">
        <v>887</v>
      </c>
      <c r="C247" t="s">
        <v>914</v>
      </c>
      <c r="D247" t="s">
        <v>914</v>
      </c>
      <c r="E247" s="1002">
        <v>198.822</v>
      </c>
      <c r="F247" s="1002">
        <v>3.3759999999999999</v>
      </c>
      <c r="G247" s="1002">
        <v>0.19400000000000001</v>
      </c>
      <c r="H247" s="1002">
        <v>0</v>
      </c>
      <c r="I247" s="1002">
        <v>0</v>
      </c>
      <c r="J247" s="1002">
        <v>202.392</v>
      </c>
      <c r="K247" s="1002">
        <v>199.22200000000001</v>
      </c>
      <c r="L247" s="1002">
        <v>2.887</v>
      </c>
      <c r="M247" s="1002">
        <v>0.17499999999999999</v>
      </c>
      <c r="N247" s="1002">
        <v>0</v>
      </c>
      <c r="O247" s="1002">
        <v>0</v>
      </c>
      <c r="P247" s="1002">
        <v>202.28400000000002</v>
      </c>
    </row>
    <row r="248" spans="1:16" hidden="1" x14ac:dyDescent="0.35">
      <c r="A248" t="s">
        <v>345</v>
      </c>
      <c r="B248" t="s">
        <v>346</v>
      </c>
      <c r="C248" t="s">
        <v>347</v>
      </c>
      <c r="D248" t="s">
        <v>348</v>
      </c>
      <c r="E248" s="1002">
        <v>7.05</v>
      </c>
      <c r="F248" s="1002">
        <v>0</v>
      </c>
      <c r="G248" s="1002">
        <v>0</v>
      </c>
      <c r="H248" s="1002">
        <v>0</v>
      </c>
      <c r="I248" s="1002">
        <v>0</v>
      </c>
      <c r="J248" s="1002">
        <v>7.05</v>
      </c>
      <c r="K248" s="1002">
        <v>8.1999999999999993</v>
      </c>
      <c r="L248" s="1002">
        <v>0</v>
      </c>
      <c r="M248" s="1002">
        <v>0</v>
      </c>
      <c r="N248" s="1002">
        <v>0</v>
      </c>
      <c r="O248" s="1002">
        <v>0</v>
      </c>
      <c r="P248" s="1002">
        <v>8.1999999999999993</v>
      </c>
    </row>
    <row r="249" spans="1:16" hidden="1" x14ac:dyDescent="0.35">
      <c r="A249" t="s">
        <v>345</v>
      </c>
      <c r="B249" t="s">
        <v>346</v>
      </c>
      <c r="C249" t="s">
        <v>352</v>
      </c>
      <c r="D249" t="s">
        <v>353</v>
      </c>
      <c r="E249" s="1002">
        <v>5</v>
      </c>
      <c r="F249" s="1002">
        <v>0</v>
      </c>
      <c r="G249" s="1002">
        <v>0</v>
      </c>
      <c r="H249" s="1002">
        <v>0</v>
      </c>
      <c r="I249" s="1002">
        <v>0</v>
      </c>
      <c r="J249" s="1002">
        <v>5</v>
      </c>
      <c r="K249" s="1002">
        <v>5.5</v>
      </c>
      <c r="L249" s="1002">
        <v>0</v>
      </c>
      <c r="M249" s="1002">
        <v>0</v>
      </c>
      <c r="N249" s="1002">
        <v>0</v>
      </c>
      <c r="O249" s="1002">
        <v>0</v>
      </c>
      <c r="P249" s="1002">
        <v>5.5</v>
      </c>
    </row>
    <row r="250" spans="1:16" hidden="1" x14ac:dyDescent="0.35">
      <c r="A250" t="s">
        <v>345</v>
      </c>
      <c r="B250" t="s">
        <v>346</v>
      </c>
      <c r="C250" t="s">
        <v>352</v>
      </c>
      <c r="D250" t="s">
        <v>356</v>
      </c>
      <c r="E250" s="1002">
        <v>3.9249999999999998</v>
      </c>
      <c r="F250" s="1002">
        <v>1.0999999999999999E-2</v>
      </c>
      <c r="G250" s="1002">
        <v>0</v>
      </c>
      <c r="H250" s="1002">
        <v>0</v>
      </c>
      <c r="I250" s="1002">
        <v>0</v>
      </c>
      <c r="J250" s="1002">
        <v>3.9359999999999999</v>
      </c>
      <c r="K250" s="1002">
        <v>3.82</v>
      </c>
      <c r="L250" s="1002">
        <v>8.0000000000000002E-3</v>
      </c>
      <c r="M250" s="1002">
        <v>0</v>
      </c>
      <c r="N250" s="1002">
        <v>0</v>
      </c>
      <c r="O250" s="1002">
        <v>0</v>
      </c>
      <c r="P250" s="1002">
        <v>3.8279999999999998</v>
      </c>
    </row>
    <row r="251" spans="1:16" hidden="1" x14ac:dyDescent="0.35">
      <c r="A251" t="s">
        <v>345</v>
      </c>
      <c r="B251" t="s">
        <v>346</v>
      </c>
      <c r="C251" t="s">
        <v>352</v>
      </c>
      <c r="D251" t="s">
        <v>359</v>
      </c>
      <c r="E251" s="1002">
        <v>2.1869999999999998</v>
      </c>
      <c r="F251" s="1002">
        <v>7.0999999999999994E-2</v>
      </c>
      <c r="G251" s="1002">
        <v>0</v>
      </c>
      <c r="H251" s="1002">
        <v>0</v>
      </c>
      <c r="I251" s="1002">
        <v>0</v>
      </c>
      <c r="J251" s="1002">
        <v>2.258</v>
      </c>
      <c r="K251" s="1002">
        <v>2.2469999999999999</v>
      </c>
      <c r="L251" s="1002">
        <v>5.6000000000000001E-2</v>
      </c>
      <c r="M251" s="1002">
        <v>0</v>
      </c>
      <c r="N251" s="1002">
        <v>0</v>
      </c>
      <c r="O251" s="1002">
        <v>0</v>
      </c>
      <c r="P251" s="1002">
        <v>2.3029999999999999</v>
      </c>
    </row>
    <row r="252" spans="1:16" hidden="1" x14ac:dyDescent="0.35">
      <c r="A252" t="s">
        <v>345</v>
      </c>
      <c r="B252" t="s">
        <v>346</v>
      </c>
      <c r="C252" t="s">
        <v>352</v>
      </c>
      <c r="D252" t="s">
        <v>362</v>
      </c>
      <c r="E252" s="1002">
        <v>3.4049999999999998</v>
      </c>
      <c r="F252" s="1002">
        <v>0</v>
      </c>
      <c r="G252" s="1002">
        <v>0</v>
      </c>
      <c r="H252" s="1002">
        <v>0</v>
      </c>
      <c r="I252" s="1002">
        <v>0</v>
      </c>
      <c r="J252" s="1002">
        <v>3.4049999999999998</v>
      </c>
      <c r="K252" s="1002">
        <v>3.8</v>
      </c>
      <c r="L252" s="1002">
        <v>0</v>
      </c>
      <c r="M252" s="1002">
        <v>0</v>
      </c>
      <c r="N252" s="1002">
        <v>0</v>
      </c>
      <c r="O252" s="1002">
        <v>0</v>
      </c>
      <c r="P252" s="1002">
        <v>3.8</v>
      </c>
    </row>
    <row r="253" spans="1:16" hidden="1" x14ac:dyDescent="0.35">
      <c r="A253" t="s">
        <v>345</v>
      </c>
      <c r="B253" t="s">
        <v>346</v>
      </c>
      <c r="C253" t="s">
        <v>352</v>
      </c>
      <c r="D253" t="s">
        <v>365</v>
      </c>
      <c r="E253" s="1002">
        <v>1.169</v>
      </c>
      <c r="F253" s="1002">
        <v>0</v>
      </c>
      <c r="G253" s="1002">
        <v>0</v>
      </c>
      <c r="H253" s="1002">
        <v>0</v>
      </c>
      <c r="I253" s="1002">
        <v>0</v>
      </c>
      <c r="J253" s="1002">
        <v>1.169</v>
      </c>
      <c r="K253" s="1002">
        <v>1.27</v>
      </c>
      <c r="L253" s="1002">
        <v>0</v>
      </c>
      <c r="M253" s="1002">
        <v>0</v>
      </c>
      <c r="N253" s="1002">
        <v>0</v>
      </c>
      <c r="O253" s="1002">
        <v>0</v>
      </c>
      <c r="P253" s="1002">
        <v>1.27</v>
      </c>
    </row>
    <row r="254" spans="1:16" hidden="1" x14ac:dyDescent="0.35">
      <c r="A254" t="s">
        <v>345</v>
      </c>
      <c r="B254" t="s">
        <v>346</v>
      </c>
      <c r="C254" t="s">
        <v>352</v>
      </c>
      <c r="D254" t="s">
        <v>368</v>
      </c>
      <c r="E254" s="1002">
        <v>57.033000000000001</v>
      </c>
      <c r="F254" s="1002">
        <v>0</v>
      </c>
      <c r="G254" s="1002">
        <v>0</v>
      </c>
      <c r="H254" s="1002">
        <v>0</v>
      </c>
      <c r="I254" s="1002">
        <v>0</v>
      </c>
      <c r="J254" s="1002">
        <v>57.033000000000001</v>
      </c>
      <c r="K254" s="1002">
        <v>67.318999999999988</v>
      </c>
      <c r="L254" s="1002">
        <v>0</v>
      </c>
      <c r="M254" s="1002">
        <v>0</v>
      </c>
      <c r="N254" s="1002">
        <v>0</v>
      </c>
      <c r="O254" s="1002">
        <v>0</v>
      </c>
      <c r="P254" s="1002">
        <v>67.318999999999988</v>
      </c>
    </row>
    <row r="255" spans="1:16" hidden="1" x14ac:dyDescent="0.35">
      <c r="A255" t="s">
        <v>345</v>
      </c>
      <c r="B255" t="s">
        <v>373</v>
      </c>
      <c r="C255" t="s">
        <v>374</v>
      </c>
      <c r="D255" t="s">
        <v>374</v>
      </c>
      <c r="E255" s="1002">
        <v>36.320999999999998</v>
      </c>
      <c r="F255" s="1002">
        <v>0</v>
      </c>
      <c r="G255" s="1002">
        <v>0</v>
      </c>
      <c r="H255" s="1002">
        <v>0</v>
      </c>
      <c r="I255" s="1002">
        <v>0</v>
      </c>
      <c r="J255" s="1002">
        <v>36.320999999999998</v>
      </c>
      <c r="K255" s="1002">
        <v>42.371000000000002</v>
      </c>
      <c r="L255" s="1002">
        <v>0</v>
      </c>
      <c r="M255" s="1002">
        <v>0</v>
      </c>
      <c r="N255" s="1002">
        <v>0</v>
      </c>
      <c r="O255" s="1002">
        <v>0</v>
      </c>
      <c r="P255" s="1002">
        <v>42.371000000000002</v>
      </c>
    </row>
    <row r="256" spans="1:16" hidden="1" x14ac:dyDescent="0.35">
      <c r="A256" t="s">
        <v>345</v>
      </c>
      <c r="B256" t="s">
        <v>373</v>
      </c>
      <c r="C256" t="s">
        <v>373</v>
      </c>
      <c r="D256" t="s">
        <v>378</v>
      </c>
      <c r="E256" s="1002">
        <v>1.8240000000000001</v>
      </c>
      <c r="F256" s="1002">
        <v>0</v>
      </c>
      <c r="G256" s="1002">
        <v>0</v>
      </c>
      <c r="H256" s="1002">
        <v>0</v>
      </c>
      <c r="I256" s="1002">
        <v>0</v>
      </c>
      <c r="J256" s="1002">
        <v>1.8240000000000001</v>
      </c>
      <c r="K256" s="1002">
        <v>0.95</v>
      </c>
      <c r="L256" s="1002">
        <v>0</v>
      </c>
      <c r="M256" s="1002">
        <v>0</v>
      </c>
      <c r="N256" s="1002">
        <v>0</v>
      </c>
      <c r="O256" s="1002">
        <v>0</v>
      </c>
      <c r="P256" s="1002">
        <v>0.95</v>
      </c>
    </row>
    <row r="257" spans="1:16" hidden="1" x14ac:dyDescent="0.35">
      <c r="A257" t="s">
        <v>345</v>
      </c>
      <c r="B257" t="s">
        <v>373</v>
      </c>
      <c r="C257" t="s">
        <v>373</v>
      </c>
      <c r="D257" t="s">
        <v>381</v>
      </c>
      <c r="E257" s="1002">
        <v>3.5880000000000001</v>
      </c>
      <c r="F257" s="1002">
        <v>0</v>
      </c>
      <c r="G257" s="1002">
        <v>0</v>
      </c>
      <c r="H257" s="1002">
        <v>0</v>
      </c>
      <c r="I257" s="1002">
        <v>0</v>
      </c>
      <c r="J257" s="1002">
        <v>3.5880000000000001</v>
      </c>
      <c r="K257" s="1002">
        <v>4.7</v>
      </c>
      <c r="L257" s="1002">
        <v>0</v>
      </c>
      <c r="M257" s="1002">
        <v>0</v>
      </c>
      <c r="N257" s="1002">
        <v>0</v>
      </c>
      <c r="O257" s="1002">
        <v>0</v>
      </c>
      <c r="P257" s="1002">
        <v>4.7</v>
      </c>
    </row>
    <row r="258" spans="1:16" hidden="1" x14ac:dyDescent="0.35">
      <c r="A258" t="s">
        <v>345</v>
      </c>
      <c r="B258" t="s">
        <v>373</v>
      </c>
      <c r="C258" t="s">
        <v>373</v>
      </c>
      <c r="D258" t="s">
        <v>384</v>
      </c>
      <c r="E258" s="1002">
        <v>0.34100000000000003</v>
      </c>
      <c r="F258" s="1002">
        <v>0</v>
      </c>
      <c r="G258" s="1002">
        <v>0</v>
      </c>
      <c r="H258" s="1002">
        <v>0</v>
      </c>
      <c r="I258" s="1002">
        <v>0</v>
      </c>
      <c r="J258" s="1002">
        <v>0.34100000000000003</v>
      </c>
      <c r="K258" s="1002">
        <v>0.106</v>
      </c>
      <c r="L258" s="1002">
        <v>0</v>
      </c>
      <c r="M258" s="1002">
        <v>0</v>
      </c>
      <c r="N258" s="1002">
        <v>0</v>
      </c>
      <c r="O258" s="1002">
        <v>0</v>
      </c>
      <c r="P258" s="1002">
        <v>0.106</v>
      </c>
    </row>
    <row r="259" spans="1:16" hidden="1" x14ac:dyDescent="0.35">
      <c r="A259" t="s">
        <v>345</v>
      </c>
      <c r="B259" t="s">
        <v>373</v>
      </c>
      <c r="C259" t="s">
        <v>373</v>
      </c>
      <c r="D259" t="s">
        <v>387</v>
      </c>
      <c r="E259" s="1002">
        <v>-0.06</v>
      </c>
      <c r="F259" s="1002">
        <v>0</v>
      </c>
      <c r="G259" s="1002">
        <v>0</v>
      </c>
      <c r="H259" s="1002">
        <v>0</v>
      </c>
      <c r="I259" s="1002">
        <v>0</v>
      </c>
      <c r="J259" s="1002">
        <v>-0.06</v>
      </c>
      <c r="K259" s="1002">
        <v>-0.06</v>
      </c>
      <c r="L259" s="1002">
        <v>0</v>
      </c>
      <c r="M259" s="1002">
        <v>0</v>
      </c>
      <c r="N259" s="1002">
        <v>0</v>
      </c>
      <c r="O259" s="1002">
        <v>0</v>
      </c>
      <c r="P259" s="1002">
        <v>-0.06</v>
      </c>
    </row>
    <row r="260" spans="1:16" hidden="1" x14ac:dyDescent="0.35">
      <c r="A260" t="s">
        <v>345</v>
      </c>
      <c r="B260" t="s">
        <v>391</v>
      </c>
      <c r="C260" t="s">
        <v>392</v>
      </c>
      <c r="D260" t="s">
        <v>392</v>
      </c>
      <c r="E260" s="1002">
        <v>16.826000000000001</v>
      </c>
      <c r="F260" s="1002">
        <v>0</v>
      </c>
      <c r="G260" s="1002">
        <v>0</v>
      </c>
      <c r="H260" s="1002">
        <v>0</v>
      </c>
      <c r="I260" s="1002">
        <v>0</v>
      </c>
      <c r="J260" s="1002">
        <v>16.826000000000001</v>
      </c>
      <c r="K260" s="1002">
        <v>20.295000000000002</v>
      </c>
      <c r="L260" s="1002">
        <v>0</v>
      </c>
      <c r="M260" s="1002">
        <v>0</v>
      </c>
      <c r="N260" s="1002">
        <v>0</v>
      </c>
      <c r="O260" s="1002">
        <v>0</v>
      </c>
      <c r="P260" s="1002">
        <v>20.295000000000002</v>
      </c>
    </row>
    <row r="261" spans="1:16" hidden="1" x14ac:dyDescent="0.35">
      <c r="A261" t="s">
        <v>345</v>
      </c>
      <c r="B261" t="s">
        <v>391</v>
      </c>
      <c r="C261" t="s">
        <v>395</v>
      </c>
      <c r="D261" t="s">
        <v>395</v>
      </c>
      <c r="E261" s="1002">
        <v>1.819</v>
      </c>
      <c r="F261" s="1002">
        <v>0</v>
      </c>
      <c r="G261" s="1002">
        <v>0</v>
      </c>
      <c r="H261" s="1002">
        <v>0</v>
      </c>
      <c r="I261" s="1002">
        <v>0</v>
      </c>
      <c r="J261" s="1002">
        <v>1.819</v>
      </c>
      <c r="K261" s="1002">
        <v>2.609</v>
      </c>
      <c r="L261" s="1002">
        <v>0</v>
      </c>
      <c r="M261" s="1002">
        <v>0</v>
      </c>
      <c r="N261" s="1002">
        <v>0</v>
      </c>
      <c r="O261" s="1002">
        <v>0</v>
      </c>
      <c r="P261" s="1002">
        <v>2.609</v>
      </c>
    </row>
    <row r="262" spans="1:16" hidden="1" x14ac:dyDescent="0.35">
      <c r="A262" t="s">
        <v>345</v>
      </c>
      <c r="B262" t="s">
        <v>399</v>
      </c>
      <c r="C262" t="s">
        <v>400</v>
      </c>
      <c r="D262" t="s">
        <v>400</v>
      </c>
      <c r="E262" s="1002">
        <v>14.5</v>
      </c>
      <c r="F262" s="1002">
        <v>0.55000000000000004</v>
      </c>
      <c r="G262" s="1002">
        <v>0.1</v>
      </c>
      <c r="H262" s="1002">
        <v>0</v>
      </c>
      <c r="I262" s="1002">
        <v>0</v>
      </c>
      <c r="J262" s="1002">
        <v>15.15</v>
      </c>
      <c r="K262" s="1002">
        <v>15.85</v>
      </c>
      <c r="L262" s="1002">
        <v>6.5</v>
      </c>
      <c r="M262" s="1002">
        <v>0.1</v>
      </c>
      <c r="N262" s="1002">
        <v>0</v>
      </c>
      <c r="O262" s="1002">
        <v>0</v>
      </c>
      <c r="P262" s="1002">
        <v>22.450000000000003</v>
      </c>
    </row>
    <row r="263" spans="1:16" hidden="1" x14ac:dyDescent="0.35">
      <c r="A263" t="s">
        <v>345</v>
      </c>
      <c r="B263" t="s">
        <v>399</v>
      </c>
      <c r="C263" t="s">
        <v>403</v>
      </c>
      <c r="D263" t="s">
        <v>403</v>
      </c>
      <c r="E263" s="1002">
        <v>141.154</v>
      </c>
      <c r="F263" s="1002">
        <v>0.2</v>
      </c>
      <c r="G263" s="1002">
        <v>0</v>
      </c>
      <c r="H263" s="1002">
        <v>0</v>
      </c>
      <c r="I263" s="1002">
        <v>0</v>
      </c>
      <c r="J263" s="1002">
        <v>141.35399999999998</v>
      </c>
      <c r="K263" s="1002">
        <v>155.05000000000001</v>
      </c>
      <c r="L263" s="1002">
        <v>0.44800000000000001</v>
      </c>
      <c r="M263" s="1002">
        <v>0</v>
      </c>
      <c r="N263" s="1002">
        <v>0</v>
      </c>
      <c r="O263" s="1002">
        <v>0.05</v>
      </c>
      <c r="P263" s="1002">
        <v>155.54800000000003</v>
      </c>
    </row>
    <row r="264" spans="1:16" hidden="1" x14ac:dyDescent="0.35">
      <c r="A264" t="s">
        <v>345</v>
      </c>
      <c r="B264" t="s">
        <v>407</v>
      </c>
      <c r="C264" t="s">
        <v>408</v>
      </c>
      <c r="D264" t="s">
        <v>409</v>
      </c>
      <c r="E264" s="1002">
        <v>45.662999999999997</v>
      </c>
      <c r="F264" s="1002">
        <v>0</v>
      </c>
      <c r="G264" s="1002">
        <v>11.3</v>
      </c>
      <c r="H264" s="1002">
        <v>0</v>
      </c>
      <c r="I264" s="1002">
        <v>0</v>
      </c>
      <c r="J264" s="1002">
        <v>56.962999999999994</v>
      </c>
      <c r="K264" s="1002">
        <v>46.058</v>
      </c>
      <c r="L264" s="1002">
        <v>0</v>
      </c>
      <c r="M264" s="1002">
        <v>13</v>
      </c>
      <c r="N264" s="1002">
        <v>0</v>
      </c>
      <c r="O264" s="1002">
        <v>0</v>
      </c>
      <c r="P264" s="1002">
        <v>59.058</v>
      </c>
    </row>
    <row r="265" spans="1:16" hidden="1" x14ac:dyDescent="0.35">
      <c r="A265" t="s">
        <v>345</v>
      </c>
      <c r="B265" t="s">
        <v>407</v>
      </c>
      <c r="C265" t="s">
        <v>408</v>
      </c>
      <c r="D265" t="s">
        <v>412</v>
      </c>
      <c r="E265" s="1002">
        <v>1.679</v>
      </c>
      <c r="F265" s="1002">
        <v>0</v>
      </c>
      <c r="G265" s="1002">
        <v>0</v>
      </c>
      <c r="H265" s="1002">
        <v>0</v>
      </c>
      <c r="I265" s="1002">
        <v>0</v>
      </c>
      <c r="J265" s="1002">
        <v>1.679</v>
      </c>
      <c r="K265" s="1002">
        <v>1.62</v>
      </c>
      <c r="L265" s="1002">
        <v>0</v>
      </c>
      <c r="M265" s="1002">
        <v>0</v>
      </c>
      <c r="N265" s="1002">
        <v>0</v>
      </c>
      <c r="O265" s="1002">
        <v>0</v>
      </c>
      <c r="P265" s="1002">
        <v>1.62</v>
      </c>
    </row>
    <row r="266" spans="1:16" hidden="1" x14ac:dyDescent="0.35">
      <c r="A266" t="s">
        <v>345</v>
      </c>
      <c r="B266" t="s">
        <v>407</v>
      </c>
      <c r="C266" t="s">
        <v>416</v>
      </c>
      <c r="D266" t="s">
        <v>416</v>
      </c>
      <c r="E266" s="1002">
        <v>7.1159999999999997</v>
      </c>
      <c r="F266" s="1002">
        <v>0.151</v>
      </c>
      <c r="G266" s="1002">
        <v>1.456</v>
      </c>
      <c r="H266" s="1002">
        <v>0</v>
      </c>
      <c r="I266" s="1002">
        <v>0</v>
      </c>
      <c r="J266" s="1002">
        <v>8.722999999999999</v>
      </c>
      <c r="K266" s="1002">
        <v>7.2750000000000004</v>
      </c>
      <c r="L266" s="1002">
        <v>0.16999999999999998</v>
      </c>
      <c r="M266" s="1002">
        <v>0</v>
      </c>
      <c r="N266" s="1002">
        <v>0</v>
      </c>
      <c r="O266" s="1002">
        <v>0</v>
      </c>
      <c r="P266" s="1002">
        <v>7.4450000000000003</v>
      </c>
    </row>
    <row r="267" spans="1:16" hidden="1" x14ac:dyDescent="0.35">
      <c r="A267" t="s">
        <v>345</v>
      </c>
      <c r="B267" t="s">
        <v>407</v>
      </c>
      <c r="C267" t="s">
        <v>420</v>
      </c>
      <c r="D267" t="s">
        <v>421</v>
      </c>
      <c r="E267" s="1002">
        <v>-2.0910000000000002</v>
      </c>
      <c r="F267" s="1002">
        <v>2.6</v>
      </c>
      <c r="G267" s="1002">
        <v>1</v>
      </c>
      <c r="H267" s="1002">
        <v>0</v>
      </c>
      <c r="I267" s="1002">
        <v>0</v>
      </c>
      <c r="J267" s="1002">
        <v>1.5089999999999999</v>
      </c>
      <c r="K267" s="1002">
        <v>-2.0910000000000002</v>
      </c>
      <c r="L267" s="1002">
        <v>2.9</v>
      </c>
      <c r="M267" s="1002">
        <v>0.2</v>
      </c>
      <c r="N267" s="1002">
        <v>0</v>
      </c>
      <c r="O267" s="1002">
        <v>0</v>
      </c>
      <c r="P267" s="1002">
        <v>1.0089999999999997</v>
      </c>
    </row>
    <row r="268" spans="1:16" hidden="1" x14ac:dyDescent="0.35">
      <c r="A268" t="s">
        <v>345</v>
      </c>
      <c r="B268" t="s">
        <v>426</v>
      </c>
      <c r="C268" t="s">
        <v>427</v>
      </c>
      <c r="D268" t="s">
        <v>427</v>
      </c>
      <c r="E268" s="1002">
        <v>6.5679999999999996</v>
      </c>
      <c r="F268" s="1002">
        <v>0</v>
      </c>
      <c r="G268" s="1002">
        <v>0</v>
      </c>
      <c r="H268" s="1002">
        <v>0</v>
      </c>
      <c r="I268" s="1002">
        <v>0</v>
      </c>
      <c r="J268" s="1002">
        <v>6.5679999999999996</v>
      </c>
      <c r="K268" s="1002">
        <v>6.6509999999999998</v>
      </c>
      <c r="L268" s="1002">
        <v>0</v>
      </c>
      <c r="M268" s="1002">
        <v>0</v>
      </c>
      <c r="N268" s="1002">
        <v>0</v>
      </c>
      <c r="O268" s="1002">
        <v>0</v>
      </c>
      <c r="P268" s="1002">
        <v>6.6509999999999998</v>
      </c>
    </row>
    <row r="269" spans="1:16" hidden="1" x14ac:dyDescent="0.35">
      <c r="A269" t="s">
        <v>345</v>
      </c>
      <c r="B269" t="s">
        <v>426</v>
      </c>
      <c r="C269" t="s">
        <v>429</v>
      </c>
      <c r="D269" t="s">
        <v>429</v>
      </c>
      <c r="E269" s="1002">
        <v>0.89200000000000002</v>
      </c>
      <c r="F269" s="1002">
        <v>0</v>
      </c>
      <c r="G269" s="1002">
        <v>0</v>
      </c>
      <c r="H269" s="1002">
        <v>0</v>
      </c>
      <c r="I269" s="1002">
        <v>0</v>
      </c>
      <c r="J269" s="1002">
        <v>0.89200000000000002</v>
      </c>
      <c r="K269" s="1002">
        <v>0.81799999999999995</v>
      </c>
      <c r="L269" s="1002">
        <v>0</v>
      </c>
      <c r="M269" s="1002">
        <v>0</v>
      </c>
      <c r="N269" s="1002">
        <v>0</v>
      </c>
      <c r="O269" s="1002">
        <v>0</v>
      </c>
      <c r="P269" s="1002">
        <v>0.81799999999999995</v>
      </c>
    </row>
    <row r="270" spans="1:16" hidden="1" x14ac:dyDescent="0.35">
      <c r="A270" t="s">
        <v>345</v>
      </c>
      <c r="B270" t="s">
        <v>433</v>
      </c>
      <c r="C270" t="s">
        <v>434</v>
      </c>
      <c r="D270" t="s">
        <v>434</v>
      </c>
      <c r="E270" s="1002">
        <v>507.4</v>
      </c>
      <c r="F270" s="1002">
        <v>0</v>
      </c>
      <c r="G270" s="1002">
        <v>0</v>
      </c>
      <c r="H270" s="1002">
        <v>0</v>
      </c>
      <c r="I270" s="1002">
        <v>0</v>
      </c>
      <c r="J270" s="1002">
        <v>507.4</v>
      </c>
      <c r="K270" s="1002">
        <v>504.4</v>
      </c>
      <c r="L270" s="1002">
        <v>0</v>
      </c>
      <c r="M270" s="1002">
        <v>0</v>
      </c>
      <c r="N270" s="1002">
        <v>0</v>
      </c>
      <c r="O270" s="1002">
        <v>0</v>
      </c>
      <c r="P270" s="1002">
        <v>504.4</v>
      </c>
    </row>
    <row r="271" spans="1:16" hidden="1" x14ac:dyDescent="0.35">
      <c r="A271" t="s">
        <v>345</v>
      </c>
      <c r="B271" t="s">
        <v>433</v>
      </c>
      <c r="C271" t="s">
        <v>437</v>
      </c>
      <c r="D271" t="s">
        <v>437</v>
      </c>
      <c r="E271" s="1002">
        <v>118.2</v>
      </c>
      <c r="F271" s="1002">
        <v>0</v>
      </c>
      <c r="G271" s="1002">
        <v>0</v>
      </c>
      <c r="H271" s="1002">
        <v>0</v>
      </c>
      <c r="I271" s="1002">
        <v>0</v>
      </c>
      <c r="J271" s="1002">
        <v>118.2</v>
      </c>
      <c r="K271" s="1002">
        <v>109.2</v>
      </c>
      <c r="L271" s="1002">
        <v>0</v>
      </c>
      <c r="M271" s="1002">
        <v>0</v>
      </c>
      <c r="N271" s="1002">
        <v>0</v>
      </c>
      <c r="O271" s="1002">
        <v>0</v>
      </c>
      <c r="P271" s="1002">
        <v>109.2</v>
      </c>
    </row>
    <row r="272" spans="1:16" hidden="1" x14ac:dyDescent="0.35">
      <c r="A272" t="s">
        <v>345</v>
      </c>
      <c r="B272" t="s">
        <v>440</v>
      </c>
      <c r="C272" t="s">
        <v>0</v>
      </c>
      <c r="D272" t="s">
        <v>0</v>
      </c>
      <c r="E272" s="1002">
        <v>436.55799999999999</v>
      </c>
      <c r="F272" s="1002">
        <v>44.720999999999997</v>
      </c>
      <c r="G272" s="1002">
        <v>0</v>
      </c>
      <c r="H272" s="1002">
        <v>0</v>
      </c>
      <c r="I272" s="1002">
        <v>0</v>
      </c>
      <c r="J272" s="1002">
        <v>481.279</v>
      </c>
      <c r="K272" s="1002">
        <v>481.5</v>
      </c>
      <c r="L272" s="1002">
        <v>44.55</v>
      </c>
      <c r="M272" s="1002">
        <v>0</v>
      </c>
      <c r="N272" s="1002">
        <v>0</v>
      </c>
      <c r="O272" s="1002">
        <v>0</v>
      </c>
      <c r="P272" s="1002">
        <v>526.04999999999995</v>
      </c>
    </row>
    <row r="273" spans="1:16" hidden="1" x14ac:dyDescent="0.35">
      <c r="A273" t="s">
        <v>345</v>
      </c>
      <c r="B273" t="s">
        <v>440</v>
      </c>
      <c r="C273" t="s">
        <v>443</v>
      </c>
      <c r="D273" t="s">
        <v>443</v>
      </c>
      <c r="E273" s="1002">
        <v>0</v>
      </c>
      <c r="F273" s="1002">
        <v>0</v>
      </c>
      <c r="G273" s="1002">
        <v>167</v>
      </c>
      <c r="H273" s="1002">
        <v>0</v>
      </c>
      <c r="I273" s="1002">
        <v>0</v>
      </c>
      <c r="J273" s="1002">
        <v>167</v>
      </c>
      <c r="K273" s="1002">
        <v>0</v>
      </c>
      <c r="L273" s="1002">
        <v>0</v>
      </c>
      <c r="M273" s="1002">
        <v>355</v>
      </c>
      <c r="N273" s="1002">
        <v>0</v>
      </c>
      <c r="O273" s="1002">
        <v>0</v>
      </c>
      <c r="P273" s="1002">
        <v>355</v>
      </c>
    </row>
    <row r="274" spans="1:16" hidden="1" x14ac:dyDescent="0.35">
      <c r="A274" t="s">
        <v>345</v>
      </c>
      <c r="B274" t="s">
        <v>447</v>
      </c>
      <c r="C274" t="s">
        <v>448</v>
      </c>
      <c r="D274" t="s">
        <v>449</v>
      </c>
      <c r="E274" s="1002">
        <v>4.0090000000000003</v>
      </c>
      <c r="F274" s="1002">
        <v>0</v>
      </c>
      <c r="G274" s="1002">
        <v>0</v>
      </c>
      <c r="H274" s="1002">
        <v>0</v>
      </c>
      <c r="I274" s="1002">
        <v>0</v>
      </c>
      <c r="J274" s="1002">
        <v>4.0090000000000003</v>
      </c>
      <c r="K274" s="1002">
        <v>4.7560000000000002</v>
      </c>
      <c r="L274" s="1002">
        <v>0</v>
      </c>
      <c r="M274" s="1002">
        <v>0</v>
      </c>
      <c r="N274" s="1002">
        <v>0</v>
      </c>
      <c r="O274" s="1002">
        <v>0</v>
      </c>
      <c r="P274" s="1002">
        <v>4.7560000000000002</v>
      </c>
    </row>
    <row r="275" spans="1:16" hidden="1" x14ac:dyDescent="0.35">
      <c r="A275" t="s">
        <v>345</v>
      </c>
      <c r="B275" t="s">
        <v>447</v>
      </c>
      <c r="C275" t="s">
        <v>453</v>
      </c>
      <c r="D275" t="s">
        <v>453</v>
      </c>
      <c r="E275" s="1002">
        <v>4.0549999999999997</v>
      </c>
      <c r="F275" s="1002">
        <v>0</v>
      </c>
      <c r="G275" s="1002">
        <v>0</v>
      </c>
      <c r="H275" s="1002">
        <v>0</v>
      </c>
      <c r="I275" s="1002">
        <v>0</v>
      </c>
      <c r="J275" s="1002">
        <v>4.0549999999999997</v>
      </c>
      <c r="K275" s="1002">
        <v>4.0549999999999997</v>
      </c>
      <c r="L275" s="1002">
        <v>0</v>
      </c>
      <c r="M275" s="1002">
        <v>0</v>
      </c>
      <c r="N275" s="1002">
        <v>0</v>
      </c>
      <c r="O275" s="1002">
        <v>0</v>
      </c>
      <c r="P275" s="1002">
        <v>4.0549999999999997</v>
      </c>
    </row>
    <row r="276" spans="1:16" hidden="1" x14ac:dyDescent="0.35">
      <c r="A276" t="s">
        <v>345</v>
      </c>
      <c r="B276" t="s">
        <v>447</v>
      </c>
      <c r="C276" t="s">
        <v>453</v>
      </c>
      <c r="D276" t="s">
        <v>455</v>
      </c>
      <c r="E276" s="1002">
        <v>1.0760000000000001</v>
      </c>
      <c r="F276" s="1002">
        <v>0</v>
      </c>
      <c r="G276" s="1002">
        <v>0</v>
      </c>
      <c r="H276" s="1002">
        <v>0</v>
      </c>
      <c r="I276" s="1002">
        <v>0</v>
      </c>
      <c r="J276" s="1002">
        <v>1.0760000000000001</v>
      </c>
      <c r="K276" s="1002">
        <v>1.0760000000000001</v>
      </c>
      <c r="L276" s="1002">
        <v>0</v>
      </c>
      <c r="M276" s="1002">
        <v>0</v>
      </c>
      <c r="N276" s="1002">
        <v>0</v>
      </c>
      <c r="O276" s="1002">
        <v>0</v>
      </c>
      <c r="P276" s="1002">
        <v>1.0760000000000001</v>
      </c>
    </row>
    <row r="277" spans="1:16" hidden="1" x14ac:dyDescent="0.35">
      <c r="A277" t="s">
        <v>345</v>
      </c>
      <c r="B277" t="s">
        <v>458</v>
      </c>
      <c r="C277" t="s">
        <v>458</v>
      </c>
      <c r="D277" t="s">
        <v>459</v>
      </c>
      <c r="E277" s="1002">
        <v>1.181</v>
      </c>
      <c r="F277" s="1002">
        <v>0.23100000000000001</v>
      </c>
      <c r="G277" s="1002">
        <v>0</v>
      </c>
      <c r="H277" s="1002">
        <v>0</v>
      </c>
      <c r="I277" s="1002">
        <v>0</v>
      </c>
      <c r="J277" s="1002">
        <v>1.4120000000000001</v>
      </c>
      <c r="K277" s="1002">
        <v>1.2</v>
      </c>
      <c r="L277" s="1002">
        <v>0.24399999999999999</v>
      </c>
      <c r="M277" s="1002">
        <v>0</v>
      </c>
      <c r="N277" s="1002">
        <v>0</v>
      </c>
      <c r="O277" s="1002">
        <v>0</v>
      </c>
      <c r="P277" s="1002">
        <v>1.444</v>
      </c>
    </row>
    <row r="278" spans="1:16" hidden="1" x14ac:dyDescent="0.35">
      <c r="A278" t="s">
        <v>345</v>
      </c>
      <c r="B278" t="s">
        <v>458</v>
      </c>
      <c r="C278" t="s">
        <v>458</v>
      </c>
      <c r="D278" t="s">
        <v>462</v>
      </c>
      <c r="E278" s="1002">
        <v>0.25800000000000001</v>
      </c>
      <c r="F278" s="1002">
        <v>0</v>
      </c>
      <c r="G278" s="1002">
        <v>0</v>
      </c>
      <c r="H278" s="1002">
        <v>0</v>
      </c>
      <c r="I278" s="1002">
        <v>0</v>
      </c>
      <c r="J278" s="1002">
        <v>0.25800000000000001</v>
      </c>
      <c r="K278" s="1002">
        <v>0.25800000000000001</v>
      </c>
      <c r="L278" s="1002">
        <v>0</v>
      </c>
      <c r="M278" s="1002">
        <v>0</v>
      </c>
      <c r="N278" s="1002">
        <v>0</v>
      </c>
      <c r="O278" s="1002">
        <v>0</v>
      </c>
      <c r="P278" s="1002">
        <v>0.25800000000000001</v>
      </c>
    </row>
    <row r="279" spans="1:16" hidden="1" x14ac:dyDescent="0.35">
      <c r="A279" t="s">
        <v>345</v>
      </c>
      <c r="B279" t="s">
        <v>458</v>
      </c>
      <c r="C279" t="s">
        <v>458</v>
      </c>
      <c r="D279" t="s">
        <v>464</v>
      </c>
      <c r="E279" s="1002">
        <v>1.643</v>
      </c>
      <c r="F279" s="1002">
        <v>0</v>
      </c>
      <c r="G279" s="1002">
        <v>0</v>
      </c>
      <c r="H279" s="1002">
        <v>0</v>
      </c>
      <c r="I279" s="1002">
        <v>0</v>
      </c>
      <c r="J279" s="1002">
        <v>1.643</v>
      </c>
      <c r="K279" s="1002">
        <v>1.4430000000000001</v>
      </c>
      <c r="L279" s="1002">
        <v>0</v>
      </c>
      <c r="M279" s="1002">
        <v>0</v>
      </c>
      <c r="N279" s="1002">
        <v>0</v>
      </c>
      <c r="O279" s="1002">
        <v>0</v>
      </c>
      <c r="P279" s="1002">
        <v>1.4430000000000001</v>
      </c>
    </row>
    <row r="280" spans="1:16" hidden="1" x14ac:dyDescent="0.35">
      <c r="A280" t="s">
        <v>345</v>
      </c>
      <c r="B280" t="s">
        <v>458</v>
      </c>
      <c r="C280" t="s">
        <v>458</v>
      </c>
      <c r="D280" t="s">
        <v>467</v>
      </c>
      <c r="E280" s="1002">
        <v>0.76500000000000001</v>
      </c>
      <c r="F280" s="1002">
        <v>0</v>
      </c>
      <c r="G280" s="1002">
        <v>0</v>
      </c>
      <c r="H280" s="1002">
        <v>0</v>
      </c>
      <c r="I280" s="1002">
        <v>0</v>
      </c>
      <c r="J280" s="1002">
        <v>0.76500000000000001</v>
      </c>
      <c r="K280" s="1002">
        <v>0.76500000000000001</v>
      </c>
      <c r="L280" s="1002">
        <v>0</v>
      </c>
      <c r="M280" s="1002">
        <v>0</v>
      </c>
      <c r="N280" s="1002">
        <v>0</v>
      </c>
      <c r="O280" s="1002">
        <v>0</v>
      </c>
      <c r="P280" s="1002">
        <v>0.76500000000000001</v>
      </c>
    </row>
    <row r="281" spans="1:16" hidden="1" x14ac:dyDescent="0.35">
      <c r="A281" t="s">
        <v>345</v>
      </c>
      <c r="B281" t="s">
        <v>458</v>
      </c>
      <c r="C281" t="s">
        <v>458</v>
      </c>
      <c r="D281" t="s">
        <v>469</v>
      </c>
      <c r="E281" s="1002">
        <v>1.216</v>
      </c>
      <c r="F281" s="1002">
        <v>0</v>
      </c>
      <c r="G281" s="1002">
        <v>0</v>
      </c>
      <c r="H281" s="1002">
        <v>0</v>
      </c>
      <c r="I281" s="1002">
        <v>0</v>
      </c>
      <c r="J281" s="1002">
        <v>1.216</v>
      </c>
      <c r="K281" s="1002">
        <v>1.25</v>
      </c>
      <c r="L281" s="1002">
        <v>0</v>
      </c>
      <c r="M281" s="1002">
        <v>0</v>
      </c>
      <c r="N281" s="1002">
        <v>0</v>
      </c>
      <c r="O281" s="1002">
        <v>0</v>
      </c>
      <c r="P281" s="1002">
        <v>1.25</v>
      </c>
    </row>
    <row r="282" spans="1:16" hidden="1" x14ac:dyDescent="0.35">
      <c r="A282" t="s">
        <v>345</v>
      </c>
      <c r="B282" t="s">
        <v>458</v>
      </c>
      <c r="C282" t="s">
        <v>458</v>
      </c>
      <c r="D282" t="s">
        <v>471</v>
      </c>
      <c r="E282" s="1002">
        <v>0.47799999999999998</v>
      </c>
      <c r="F282" s="1002">
        <v>0</v>
      </c>
      <c r="G282" s="1002">
        <v>0</v>
      </c>
      <c r="H282" s="1002">
        <v>0</v>
      </c>
      <c r="I282" s="1002">
        <v>0</v>
      </c>
      <c r="J282" s="1002">
        <v>0.47799999999999998</v>
      </c>
      <c r="K282" s="1002">
        <v>0.5</v>
      </c>
      <c r="L282" s="1002">
        <v>0</v>
      </c>
      <c r="M282" s="1002">
        <v>0</v>
      </c>
      <c r="N282" s="1002">
        <v>0</v>
      </c>
      <c r="O282" s="1002">
        <v>0</v>
      </c>
      <c r="P282" s="1002">
        <v>0.5</v>
      </c>
    </row>
    <row r="283" spans="1:16" hidden="1" x14ac:dyDescent="0.35">
      <c r="A283" t="s">
        <v>345</v>
      </c>
      <c r="B283" t="s">
        <v>458</v>
      </c>
      <c r="C283" t="s">
        <v>458</v>
      </c>
      <c r="D283" t="s">
        <v>474</v>
      </c>
      <c r="E283" s="1002">
        <v>7.2149999999999999</v>
      </c>
      <c r="F283" s="1002">
        <v>0</v>
      </c>
      <c r="G283" s="1002">
        <v>0</v>
      </c>
      <c r="H283" s="1002">
        <v>0</v>
      </c>
      <c r="I283" s="1002">
        <v>0</v>
      </c>
      <c r="J283" s="1002">
        <v>7.2149999999999999</v>
      </c>
      <c r="K283" s="1002">
        <v>8.08</v>
      </c>
      <c r="L283" s="1002">
        <v>0</v>
      </c>
      <c r="M283" s="1002">
        <v>0</v>
      </c>
      <c r="N283" s="1002">
        <v>0</v>
      </c>
      <c r="O283" s="1002">
        <v>0</v>
      </c>
      <c r="P283" s="1002">
        <v>8.08</v>
      </c>
    </row>
    <row r="284" spans="1:16" hidden="1" x14ac:dyDescent="0.35">
      <c r="A284" t="s">
        <v>345</v>
      </c>
      <c r="B284" t="s">
        <v>458</v>
      </c>
      <c r="C284" t="s">
        <v>458</v>
      </c>
      <c r="D284" t="s">
        <v>477</v>
      </c>
      <c r="E284" s="1002">
        <v>0.44600000000000001</v>
      </c>
      <c r="F284" s="1002">
        <v>0</v>
      </c>
      <c r="G284" s="1002">
        <v>0</v>
      </c>
      <c r="H284" s="1002">
        <v>0</v>
      </c>
      <c r="I284" s="1002">
        <v>0</v>
      </c>
      <c r="J284" s="1002">
        <v>0.44600000000000001</v>
      </c>
      <c r="K284" s="1002">
        <v>0.45900000000000002</v>
      </c>
      <c r="L284" s="1002">
        <v>0</v>
      </c>
      <c r="M284" s="1002">
        <v>0</v>
      </c>
      <c r="N284" s="1002">
        <v>0</v>
      </c>
      <c r="O284" s="1002">
        <v>0</v>
      </c>
      <c r="P284" s="1002">
        <v>0.45900000000000002</v>
      </c>
    </row>
    <row r="285" spans="1:16" hidden="1" x14ac:dyDescent="0.35">
      <c r="A285" t="s">
        <v>345</v>
      </c>
      <c r="B285" t="s">
        <v>480</v>
      </c>
      <c r="C285" t="s">
        <v>480</v>
      </c>
      <c r="D285" t="s">
        <v>480</v>
      </c>
      <c r="E285" s="1002">
        <v>5.82</v>
      </c>
      <c r="F285" s="1002">
        <v>0</v>
      </c>
      <c r="G285" s="1002">
        <v>0</v>
      </c>
      <c r="H285" s="1002">
        <v>0</v>
      </c>
      <c r="I285" s="1002">
        <v>0</v>
      </c>
      <c r="J285" s="1002">
        <v>5.82</v>
      </c>
      <c r="K285" s="1002">
        <v>20.3</v>
      </c>
      <c r="L285" s="1002">
        <v>0</v>
      </c>
      <c r="M285" s="1002">
        <v>0</v>
      </c>
      <c r="N285" s="1002">
        <v>0</v>
      </c>
      <c r="O285" s="1002">
        <v>0</v>
      </c>
      <c r="P285" s="1002">
        <v>20.3</v>
      </c>
    </row>
    <row r="286" spans="1:16" hidden="1" x14ac:dyDescent="0.35">
      <c r="A286" t="s">
        <v>345</v>
      </c>
      <c r="B286" t="s">
        <v>484</v>
      </c>
      <c r="C286" t="s">
        <v>484</v>
      </c>
      <c r="D286" t="s">
        <v>485</v>
      </c>
      <c r="E286" s="1002">
        <v>2.738</v>
      </c>
      <c r="F286" s="1002">
        <v>0</v>
      </c>
      <c r="G286" s="1002">
        <v>0</v>
      </c>
      <c r="H286" s="1002">
        <v>0</v>
      </c>
      <c r="I286" s="1002">
        <v>0</v>
      </c>
      <c r="J286" s="1002">
        <v>2.738</v>
      </c>
      <c r="K286" s="1002">
        <v>3.214</v>
      </c>
      <c r="L286" s="1002">
        <v>0</v>
      </c>
      <c r="M286" s="1002">
        <v>0</v>
      </c>
      <c r="N286" s="1002">
        <v>0</v>
      </c>
      <c r="O286" s="1002">
        <v>0</v>
      </c>
      <c r="P286" s="1002">
        <v>3.214</v>
      </c>
    </row>
    <row r="287" spans="1:16" hidden="1" x14ac:dyDescent="0.35">
      <c r="A287" t="s">
        <v>345</v>
      </c>
      <c r="B287" t="s">
        <v>484</v>
      </c>
      <c r="C287" t="s">
        <v>484</v>
      </c>
      <c r="D287" t="s">
        <v>487</v>
      </c>
      <c r="E287" s="1002">
        <v>0.90100000000000002</v>
      </c>
      <c r="F287" s="1002">
        <v>0</v>
      </c>
      <c r="G287" s="1002">
        <v>0</v>
      </c>
      <c r="H287" s="1002">
        <v>0</v>
      </c>
      <c r="I287" s="1002">
        <v>0</v>
      </c>
      <c r="J287" s="1002">
        <v>0.90100000000000002</v>
      </c>
      <c r="K287" s="1002">
        <v>0.90100000000000002</v>
      </c>
      <c r="L287" s="1002">
        <v>0</v>
      </c>
      <c r="M287" s="1002">
        <v>0</v>
      </c>
      <c r="N287" s="1002">
        <v>0</v>
      </c>
      <c r="O287" s="1002">
        <v>0</v>
      </c>
      <c r="P287" s="1002">
        <v>0.90100000000000002</v>
      </c>
    </row>
    <row r="288" spans="1:16" hidden="1" x14ac:dyDescent="0.35">
      <c r="A288" t="s">
        <v>345</v>
      </c>
      <c r="B288" t="s">
        <v>484</v>
      </c>
      <c r="C288" t="s">
        <v>484</v>
      </c>
      <c r="D288" t="s">
        <v>490</v>
      </c>
      <c r="E288" s="1002">
        <v>0.28899999999999998</v>
      </c>
      <c r="F288" s="1002">
        <v>0</v>
      </c>
      <c r="G288" s="1002">
        <v>0</v>
      </c>
      <c r="H288" s="1002">
        <v>0</v>
      </c>
      <c r="I288" s="1002">
        <v>0</v>
      </c>
      <c r="J288" s="1002">
        <v>0.28899999999999998</v>
      </c>
      <c r="K288" s="1002">
        <v>0.29799999999999999</v>
      </c>
      <c r="L288" s="1002">
        <v>0</v>
      </c>
      <c r="M288" s="1002">
        <v>0</v>
      </c>
      <c r="N288" s="1002">
        <v>0</v>
      </c>
      <c r="O288" s="1002">
        <v>0</v>
      </c>
      <c r="P288" s="1002">
        <v>0.29799999999999999</v>
      </c>
    </row>
    <row r="289" spans="1:16" hidden="1" x14ac:dyDescent="0.35">
      <c r="A289" t="s">
        <v>345</v>
      </c>
      <c r="B289" t="s">
        <v>492</v>
      </c>
      <c r="C289" t="s">
        <v>492</v>
      </c>
      <c r="D289" t="s">
        <v>493</v>
      </c>
      <c r="E289" s="1002">
        <v>18.734999999999999</v>
      </c>
      <c r="F289" s="1002">
        <v>0</v>
      </c>
      <c r="G289" s="1002">
        <v>0.5</v>
      </c>
      <c r="H289" s="1002">
        <v>0</v>
      </c>
      <c r="I289" s="1002">
        <v>0</v>
      </c>
      <c r="J289" s="1002">
        <v>19.234999999999999</v>
      </c>
      <c r="K289" s="1002">
        <v>25.09</v>
      </c>
      <c r="L289" s="1002">
        <v>0</v>
      </c>
      <c r="M289" s="1002">
        <v>1</v>
      </c>
      <c r="N289" s="1002">
        <v>0</v>
      </c>
      <c r="O289" s="1002">
        <v>0</v>
      </c>
      <c r="P289" s="1002">
        <v>26.09</v>
      </c>
    </row>
    <row r="290" spans="1:16" hidden="1" x14ac:dyDescent="0.35">
      <c r="A290" t="s">
        <v>345</v>
      </c>
      <c r="B290" t="s">
        <v>497</v>
      </c>
      <c r="C290" t="s">
        <v>0</v>
      </c>
      <c r="D290" t="s">
        <v>0</v>
      </c>
      <c r="E290" s="1002">
        <v>1419.22</v>
      </c>
      <c r="F290" s="1002">
        <v>67.302000000000007</v>
      </c>
      <c r="G290" s="1002">
        <v>0</v>
      </c>
      <c r="H290" s="1002">
        <v>0</v>
      </c>
      <c r="I290" s="1002">
        <v>0</v>
      </c>
      <c r="J290" s="1002">
        <v>1486.5219999999999</v>
      </c>
      <c r="K290" s="1002">
        <v>1475.73</v>
      </c>
      <c r="L290" s="1002">
        <v>69.891999999999996</v>
      </c>
      <c r="M290" s="1002">
        <v>0</v>
      </c>
      <c r="N290" s="1002">
        <v>0</v>
      </c>
      <c r="O290" s="1002">
        <v>0.23599999999999999</v>
      </c>
      <c r="P290" s="1002">
        <v>1545.8580000000002</v>
      </c>
    </row>
    <row r="291" spans="1:16" hidden="1" x14ac:dyDescent="0.35">
      <c r="A291" t="s">
        <v>345</v>
      </c>
      <c r="B291" t="s">
        <v>497</v>
      </c>
      <c r="C291" t="s">
        <v>1</v>
      </c>
      <c r="D291" t="s">
        <v>1</v>
      </c>
      <c r="E291" s="1002">
        <v>0</v>
      </c>
      <c r="F291" s="1002">
        <v>0</v>
      </c>
      <c r="G291" s="1002">
        <v>64.55</v>
      </c>
      <c r="H291" s="1002">
        <v>0</v>
      </c>
      <c r="I291" s="1002">
        <v>0.32600000000000001</v>
      </c>
      <c r="J291" s="1002">
        <v>64.875999999999991</v>
      </c>
      <c r="K291" s="1002">
        <v>0</v>
      </c>
      <c r="L291" s="1002">
        <v>0</v>
      </c>
      <c r="M291" s="1002">
        <v>75</v>
      </c>
      <c r="N291" s="1002">
        <v>0</v>
      </c>
      <c r="O291" s="1002">
        <v>0</v>
      </c>
      <c r="P291" s="1002">
        <v>75</v>
      </c>
    </row>
    <row r="292" spans="1:16" hidden="1" x14ac:dyDescent="0.35">
      <c r="A292" t="s">
        <v>345</v>
      </c>
      <c r="B292" t="s">
        <v>503</v>
      </c>
      <c r="C292" t="s">
        <v>504</v>
      </c>
      <c r="D292" t="s">
        <v>504</v>
      </c>
      <c r="E292" s="1002">
        <v>317.29500000000002</v>
      </c>
      <c r="F292" s="1002">
        <v>33</v>
      </c>
      <c r="G292" s="1002">
        <v>0</v>
      </c>
      <c r="H292" s="1002">
        <v>0</v>
      </c>
      <c r="I292" s="1002">
        <v>3.5000000000000003E-2</v>
      </c>
      <c r="J292" s="1002">
        <v>350.33000000000004</v>
      </c>
      <c r="K292" s="1002">
        <v>332.142</v>
      </c>
      <c r="L292" s="1002">
        <v>33</v>
      </c>
      <c r="M292" s="1002">
        <v>0</v>
      </c>
      <c r="N292" s="1002">
        <v>0</v>
      </c>
      <c r="O292" s="1002">
        <v>0.02</v>
      </c>
      <c r="P292" s="1002">
        <v>365.16199999999998</v>
      </c>
    </row>
    <row r="293" spans="1:16" hidden="1" x14ac:dyDescent="0.35">
      <c r="A293" t="s">
        <v>345</v>
      </c>
      <c r="B293" t="s">
        <v>503</v>
      </c>
      <c r="C293" t="s">
        <v>507</v>
      </c>
      <c r="D293" t="s">
        <v>507</v>
      </c>
      <c r="E293" s="1002">
        <v>0</v>
      </c>
      <c r="F293" s="1002">
        <v>0</v>
      </c>
      <c r="G293" s="1002">
        <v>43.026000000000003</v>
      </c>
      <c r="H293" s="1002">
        <v>0</v>
      </c>
      <c r="I293" s="1002">
        <v>0</v>
      </c>
      <c r="J293" s="1002">
        <v>43.026000000000003</v>
      </c>
      <c r="K293" s="1002">
        <v>0</v>
      </c>
      <c r="L293" s="1002">
        <v>0</v>
      </c>
      <c r="M293" s="1002">
        <v>47</v>
      </c>
      <c r="N293" s="1002">
        <v>0</v>
      </c>
      <c r="O293" s="1002">
        <v>0</v>
      </c>
      <c r="P293" s="1002">
        <v>47</v>
      </c>
    </row>
    <row r="294" spans="1:16" hidden="1" x14ac:dyDescent="0.35">
      <c r="A294" t="s">
        <v>345</v>
      </c>
      <c r="B294" t="s">
        <v>511</v>
      </c>
      <c r="C294" t="s">
        <v>0</v>
      </c>
      <c r="D294" t="s">
        <v>0</v>
      </c>
      <c r="E294" s="1002">
        <v>136.56700000000001</v>
      </c>
      <c r="F294" s="1002">
        <v>33.881</v>
      </c>
      <c r="G294" s="1002">
        <v>0</v>
      </c>
      <c r="H294" s="1002">
        <v>0</v>
      </c>
      <c r="I294" s="1002">
        <v>2.7149999999999999</v>
      </c>
      <c r="J294" s="1002">
        <v>173.16300000000001</v>
      </c>
      <c r="K294" s="1002">
        <v>123.242</v>
      </c>
      <c r="L294" s="1002">
        <v>34.14</v>
      </c>
      <c r="M294" s="1002">
        <v>0</v>
      </c>
      <c r="N294" s="1002">
        <v>0</v>
      </c>
      <c r="O294" s="1002">
        <v>0</v>
      </c>
      <c r="P294" s="1002">
        <v>157.38200000000001</v>
      </c>
    </row>
    <row r="295" spans="1:16" hidden="1" x14ac:dyDescent="0.35">
      <c r="A295" t="s">
        <v>345</v>
      </c>
      <c r="B295" t="s">
        <v>511</v>
      </c>
      <c r="C295" t="s">
        <v>443</v>
      </c>
      <c r="D295" t="s">
        <v>443</v>
      </c>
      <c r="E295" s="1002">
        <v>0</v>
      </c>
      <c r="F295" s="1002">
        <v>0</v>
      </c>
      <c r="G295" s="1002">
        <v>17.088999999999999</v>
      </c>
      <c r="H295" s="1002">
        <v>0</v>
      </c>
      <c r="I295" s="1002">
        <v>0</v>
      </c>
      <c r="J295" s="1002">
        <v>17.088999999999999</v>
      </c>
      <c r="K295" s="1002">
        <v>0</v>
      </c>
      <c r="L295" s="1002">
        <v>0</v>
      </c>
      <c r="M295" s="1002">
        <v>19.600000000000001</v>
      </c>
      <c r="N295" s="1002">
        <v>0</v>
      </c>
      <c r="O295" s="1002">
        <v>0</v>
      </c>
      <c r="P295" s="1002">
        <v>19.600000000000001</v>
      </c>
    </row>
    <row r="296" spans="1:16" hidden="1" x14ac:dyDescent="0.35">
      <c r="A296" t="s">
        <v>925</v>
      </c>
      <c r="B296" t="s">
        <v>1418</v>
      </c>
      <c r="C296" t="s">
        <v>1419</v>
      </c>
      <c r="D296" t="s">
        <v>1419</v>
      </c>
      <c r="E296" s="1002">
        <v>0</v>
      </c>
      <c r="F296" s="1002">
        <v>0</v>
      </c>
      <c r="G296" s="1002">
        <v>114.79</v>
      </c>
      <c r="H296" s="1002">
        <v>0</v>
      </c>
      <c r="I296" s="1002">
        <v>0</v>
      </c>
      <c r="J296" s="1002">
        <v>114.79</v>
      </c>
      <c r="K296" s="1002">
        <v>0</v>
      </c>
      <c r="L296" s="1002">
        <v>0</v>
      </c>
      <c r="M296" s="1002">
        <v>158.58799999999999</v>
      </c>
      <c r="N296" s="1002">
        <v>0</v>
      </c>
      <c r="O296" s="1002">
        <v>0</v>
      </c>
      <c r="P296" s="1002">
        <v>158.58799999999999</v>
      </c>
    </row>
    <row r="297" spans="1:16" hidden="1" x14ac:dyDescent="0.35">
      <c r="A297" t="s">
        <v>925</v>
      </c>
      <c r="B297" t="s">
        <v>1418</v>
      </c>
      <c r="C297" t="s">
        <v>1418</v>
      </c>
      <c r="D297" t="s">
        <v>1418</v>
      </c>
      <c r="E297" s="1002">
        <v>337.25099999999998</v>
      </c>
      <c r="F297" s="1002">
        <v>127.145</v>
      </c>
      <c r="G297" s="1002">
        <v>539.29300000000001</v>
      </c>
      <c r="H297" s="1002">
        <v>0</v>
      </c>
      <c r="I297" s="1002">
        <v>0.54</v>
      </c>
      <c r="J297" s="1002">
        <v>1004.2289999999999</v>
      </c>
      <c r="K297" s="1002">
        <v>346.25720000000001</v>
      </c>
      <c r="L297" s="1002">
        <v>119</v>
      </c>
      <c r="M297" s="1002">
        <v>431.79399999999998</v>
      </c>
      <c r="N297" s="1002">
        <v>0</v>
      </c>
      <c r="O297" s="1002">
        <v>0.52800000000000002</v>
      </c>
      <c r="P297" s="1002">
        <v>897.57920000000001</v>
      </c>
    </row>
    <row r="298" spans="1:16" hidden="1" x14ac:dyDescent="0.35">
      <c r="A298" t="s">
        <v>925</v>
      </c>
      <c r="B298" t="s">
        <v>1418</v>
      </c>
      <c r="C298" t="s">
        <v>1424</v>
      </c>
      <c r="D298" t="s">
        <v>1424</v>
      </c>
      <c r="E298" s="1002">
        <v>0</v>
      </c>
      <c r="F298" s="1002">
        <v>0</v>
      </c>
      <c r="G298" s="1002">
        <v>488.36</v>
      </c>
      <c r="H298" s="1002">
        <v>0</v>
      </c>
      <c r="I298" s="1002">
        <v>0</v>
      </c>
      <c r="J298" s="1002">
        <v>488.36</v>
      </c>
      <c r="K298" s="1002">
        <v>0</v>
      </c>
      <c r="L298" s="1002">
        <v>0</v>
      </c>
      <c r="M298" s="1002">
        <v>482</v>
      </c>
      <c r="N298" s="1002">
        <v>0</v>
      </c>
      <c r="O298" s="1002">
        <v>0</v>
      </c>
      <c r="P298" s="1002">
        <v>482</v>
      </c>
    </row>
    <row r="299" spans="1:16" hidden="1" x14ac:dyDescent="0.35">
      <c r="A299" t="s">
        <v>925</v>
      </c>
      <c r="B299" t="s">
        <v>1428</v>
      </c>
      <c r="C299" t="s">
        <v>1429</v>
      </c>
      <c r="D299" t="s">
        <v>1429</v>
      </c>
      <c r="E299" s="1002">
        <v>370.36399999999998</v>
      </c>
      <c r="F299" s="1002">
        <v>0</v>
      </c>
      <c r="G299" s="1002">
        <v>0</v>
      </c>
      <c r="H299" s="1002">
        <v>0</v>
      </c>
      <c r="I299" s="1002">
        <v>0</v>
      </c>
      <c r="J299" s="1002">
        <v>370.36399999999998</v>
      </c>
      <c r="K299" s="1034">
        <v>417.5</v>
      </c>
      <c r="L299" s="1002">
        <v>0</v>
      </c>
      <c r="M299" s="1002">
        <v>0</v>
      </c>
      <c r="N299" s="1002">
        <v>0</v>
      </c>
      <c r="O299" s="1002">
        <v>0</v>
      </c>
      <c r="P299" s="1034">
        <v>417.5</v>
      </c>
    </row>
    <row r="300" spans="1:16" hidden="1" x14ac:dyDescent="0.35">
      <c r="A300" t="s">
        <v>925</v>
      </c>
      <c r="B300" t="s">
        <v>1428</v>
      </c>
      <c r="C300" t="s">
        <v>1431</v>
      </c>
      <c r="D300" t="s">
        <v>1431</v>
      </c>
      <c r="E300" s="1002">
        <v>1.85</v>
      </c>
      <c r="F300" s="1002">
        <v>0</v>
      </c>
      <c r="G300" s="1002">
        <v>2</v>
      </c>
      <c r="H300" s="1002">
        <v>0</v>
      </c>
      <c r="I300" s="1002">
        <v>0</v>
      </c>
      <c r="J300" s="1002">
        <v>3.85</v>
      </c>
      <c r="K300" s="1002">
        <v>2.2000000000000002</v>
      </c>
      <c r="L300" s="1002">
        <v>0</v>
      </c>
      <c r="M300" s="1002">
        <v>2.0099999999999998</v>
      </c>
      <c r="N300" s="1002">
        <v>0</v>
      </c>
      <c r="O300" s="1002">
        <v>0</v>
      </c>
      <c r="P300" s="1002">
        <v>4.21</v>
      </c>
    </row>
    <row r="301" spans="1:16" hidden="1" x14ac:dyDescent="0.35">
      <c r="A301" t="s">
        <v>925</v>
      </c>
      <c r="B301" t="s">
        <v>1428</v>
      </c>
      <c r="C301" t="s">
        <v>1434</v>
      </c>
      <c r="D301" t="s">
        <v>1434</v>
      </c>
      <c r="E301" s="1002">
        <v>50.514000000000003</v>
      </c>
      <c r="F301" s="1002">
        <v>0</v>
      </c>
      <c r="G301" s="1002">
        <v>5</v>
      </c>
      <c r="H301" s="1002">
        <v>0</v>
      </c>
      <c r="I301" s="1002">
        <v>0</v>
      </c>
      <c r="J301" s="1002">
        <v>55.514000000000003</v>
      </c>
      <c r="K301" s="1002">
        <v>49.514000000000003</v>
      </c>
      <c r="L301" s="1002">
        <v>0</v>
      </c>
      <c r="M301" s="1002">
        <v>0</v>
      </c>
      <c r="N301" s="1002">
        <v>0</v>
      </c>
      <c r="O301" s="1002">
        <v>0</v>
      </c>
      <c r="P301" s="1002">
        <v>49.514000000000003</v>
      </c>
    </row>
    <row r="302" spans="1:16" hidden="1" x14ac:dyDescent="0.35">
      <c r="A302" t="s">
        <v>925</v>
      </c>
      <c r="B302" t="s">
        <v>1441</v>
      </c>
      <c r="C302" t="s">
        <v>1439</v>
      </c>
      <c r="D302" t="s">
        <v>1440</v>
      </c>
      <c r="E302" s="1002">
        <v>16.670999999999999</v>
      </c>
      <c r="F302" s="1002">
        <v>0</v>
      </c>
      <c r="G302" s="1002">
        <v>0</v>
      </c>
      <c r="H302" s="1002">
        <v>0</v>
      </c>
      <c r="I302" s="1002">
        <v>0</v>
      </c>
      <c r="J302" s="1002">
        <v>16.670999999999999</v>
      </c>
      <c r="K302" s="1002">
        <v>17.573</v>
      </c>
      <c r="L302" s="1002">
        <v>0</v>
      </c>
      <c r="M302" s="1002">
        <v>0</v>
      </c>
      <c r="N302" s="1002">
        <v>0</v>
      </c>
      <c r="O302" s="1002">
        <v>0</v>
      </c>
      <c r="P302" s="1002">
        <v>17.573</v>
      </c>
    </row>
    <row r="303" spans="1:16" hidden="1" x14ac:dyDescent="0.35">
      <c r="A303" t="s">
        <v>925</v>
      </c>
      <c r="B303" t="s">
        <v>1441</v>
      </c>
      <c r="C303" t="s">
        <v>1439</v>
      </c>
      <c r="D303" t="s">
        <v>1444</v>
      </c>
      <c r="E303" s="1002">
        <v>4.9029999999999996</v>
      </c>
      <c r="F303" s="1002">
        <v>4.1260000000000003</v>
      </c>
      <c r="G303" s="1002">
        <v>3.5</v>
      </c>
      <c r="H303" s="1002">
        <v>0</v>
      </c>
      <c r="I303" s="1002">
        <v>0</v>
      </c>
      <c r="J303" s="1002">
        <v>12.529</v>
      </c>
      <c r="K303" s="1002">
        <v>5.0010000000000003</v>
      </c>
      <c r="L303" s="1002">
        <v>3.1349999999999998</v>
      </c>
      <c r="M303" s="1002">
        <v>1</v>
      </c>
      <c r="N303" s="1002">
        <v>0</v>
      </c>
      <c r="O303" s="1002">
        <v>0</v>
      </c>
      <c r="P303" s="1002">
        <v>9.1359999999999992</v>
      </c>
    </row>
    <row r="304" spans="1:16" hidden="1" x14ac:dyDescent="0.35">
      <c r="A304" t="s">
        <v>925</v>
      </c>
      <c r="B304" t="s">
        <v>1441</v>
      </c>
      <c r="C304" t="s">
        <v>1448</v>
      </c>
      <c r="D304" t="s">
        <v>1449</v>
      </c>
      <c r="E304" s="1002">
        <v>11.845000000000001</v>
      </c>
      <c r="F304" s="1002">
        <v>11.25</v>
      </c>
      <c r="G304" s="1002">
        <v>0</v>
      </c>
      <c r="H304" s="1002">
        <v>0</v>
      </c>
      <c r="I304" s="1002">
        <v>0</v>
      </c>
      <c r="J304" s="1002">
        <v>23.094999999999999</v>
      </c>
      <c r="K304" s="1002">
        <v>12.845000000000001</v>
      </c>
      <c r="L304" s="1002">
        <v>18</v>
      </c>
      <c r="M304" s="1002">
        <v>0</v>
      </c>
      <c r="N304" s="1002">
        <v>0</v>
      </c>
      <c r="O304" s="1002">
        <v>0</v>
      </c>
      <c r="P304" s="1002">
        <v>30.844999999999999</v>
      </c>
    </row>
    <row r="305" spans="1:16" hidden="1" x14ac:dyDescent="0.35">
      <c r="A305" t="s">
        <v>925</v>
      </c>
      <c r="B305" t="s">
        <v>1441</v>
      </c>
      <c r="C305" t="s">
        <v>1448</v>
      </c>
      <c r="D305" t="s">
        <v>1452</v>
      </c>
      <c r="E305" s="1002">
        <v>0</v>
      </c>
      <c r="F305" s="1002">
        <v>0</v>
      </c>
      <c r="G305" s="1002">
        <v>12.2</v>
      </c>
      <c r="H305" s="1002">
        <v>0</v>
      </c>
      <c r="I305" s="1002">
        <v>0</v>
      </c>
      <c r="J305" s="1002">
        <v>12.2</v>
      </c>
      <c r="K305" s="1002">
        <v>0</v>
      </c>
      <c r="L305" s="1002">
        <v>0</v>
      </c>
      <c r="M305" s="1002">
        <v>12.6</v>
      </c>
      <c r="N305" s="1002">
        <v>0</v>
      </c>
      <c r="O305" s="1002">
        <v>0</v>
      </c>
      <c r="P305" s="1002">
        <v>12.6</v>
      </c>
    </row>
    <row r="306" spans="1:16" hidden="1" x14ac:dyDescent="0.35">
      <c r="A306" t="s">
        <v>925</v>
      </c>
      <c r="B306" t="s">
        <v>1441</v>
      </c>
      <c r="C306" t="s">
        <v>1455</v>
      </c>
      <c r="D306" t="s">
        <v>1455</v>
      </c>
      <c r="E306" s="1002">
        <v>0</v>
      </c>
      <c r="F306" s="1002">
        <v>0</v>
      </c>
      <c r="G306" s="1002">
        <v>0</v>
      </c>
      <c r="H306" s="1002">
        <v>0</v>
      </c>
      <c r="I306" s="1002">
        <v>0</v>
      </c>
      <c r="J306" s="1002">
        <v>0</v>
      </c>
      <c r="K306" s="1002">
        <v>0</v>
      </c>
      <c r="L306" s="1002">
        <v>0</v>
      </c>
      <c r="M306" s="1002">
        <v>0</v>
      </c>
      <c r="N306" s="1002">
        <v>0</v>
      </c>
      <c r="O306" s="1002">
        <v>0</v>
      </c>
      <c r="P306" s="1002">
        <v>0</v>
      </c>
    </row>
    <row r="307" spans="1:16" hidden="1" x14ac:dyDescent="0.35">
      <c r="A307" t="s">
        <v>925</v>
      </c>
      <c r="B307" t="s">
        <v>1441</v>
      </c>
      <c r="C307" t="s">
        <v>1459</v>
      </c>
      <c r="D307" t="s">
        <v>1458</v>
      </c>
      <c r="E307" s="1002">
        <v>40</v>
      </c>
      <c r="F307" s="1002">
        <v>0</v>
      </c>
      <c r="G307" s="1002">
        <v>145.44300000000001</v>
      </c>
      <c r="H307" s="1002">
        <v>0</v>
      </c>
      <c r="I307" s="1002">
        <v>0</v>
      </c>
      <c r="J307" s="1002">
        <v>185.44300000000001</v>
      </c>
      <c r="K307" s="1002">
        <v>12.4</v>
      </c>
      <c r="L307" s="1002">
        <v>0</v>
      </c>
      <c r="M307" s="1002">
        <v>152.4</v>
      </c>
      <c r="N307" s="1002">
        <v>0</v>
      </c>
      <c r="O307" s="1002">
        <v>0</v>
      </c>
      <c r="P307" s="1002">
        <v>164.8</v>
      </c>
    </row>
    <row r="308" spans="1:16" hidden="1" x14ac:dyDescent="0.35">
      <c r="A308" t="s">
        <v>925</v>
      </c>
      <c r="B308" t="s">
        <v>1441</v>
      </c>
      <c r="C308" t="s">
        <v>1462</v>
      </c>
      <c r="D308" t="s">
        <v>1463</v>
      </c>
      <c r="E308" s="1002">
        <v>0</v>
      </c>
      <c r="F308" s="1002">
        <v>0</v>
      </c>
      <c r="G308" s="1002">
        <v>0</v>
      </c>
      <c r="H308" s="1002">
        <v>15</v>
      </c>
      <c r="I308" s="1002">
        <v>0</v>
      </c>
      <c r="J308" s="1002">
        <v>15</v>
      </c>
      <c r="K308" s="1002">
        <v>0</v>
      </c>
      <c r="L308" s="1002">
        <v>0</v>
      </c>
      <c r="M308" s="1002">
        <v>0</v>
      </c>
      <c r="N308" s="1002">
        <v>20</v>
      </c>
      <c r="O308" s="1002">
        <v>0</v>
      </c>
      <c r="P308" s="1002">
        <v>20</v>
      </c>
    </row>
    <row r="309" spans="1:16" hidden="1" x14ac:dyDescent="0.35">
      <c r="A309" t="s">
        <v>925</v>
      </c>
      <c r="B309" t="s">
        <v>1441</v>
      </c>
      <c r="C309" t="s">
        <v>1462</v>
      </c>
      <c r="D309" t="s">
        <v>1465</v>
      </c>
      <c r="E309" s="1002">
        <v>0</v>
      </c>
      <c r="F309" s="1002">
        <v>0</v>
      </c>
      <c r="G309" s="1002">
        <v>0</v>
      </c>
      <c r="H309" s="1002">
        <v>-41.5</v>
      </c>
      <c r="I309" s="1002">
        <v>0</v>
      </c>
      <c r="J309" s="1002">
        <v>-41.5</v>
      </c>
      <c r="K309" s="1002">
        <v>0</v>
      </c>
      <c r="L309" s="1002">
        <v>0</v>
      </c>
      <c r="M309" s="1002">
        <v>0</v>
      </c>
      <c r="N309" s="1002">
        <v>-30</v>
      </c>
      <c r="O309" s="1002">
        <v>0</v>
      </c>
      <c r="P309" s="1002">
        <v>-30</v>
      </c>
    </row>
    <row r="310" spans="1:16" hidden="1" x14ac:dyDescent="0.35">
      <c r="A310" t="s">
        <v>925</v>
      </c>
      <c r="B310" t="s">
        <v>1441</v>
      </c>
      <c r="C310" t="s">
        <v>1468</v>
      </c>
      <c r="D310" t="s">
        <v>1469</v>
      </c>
      <c r="E310" s="1002">
        <v>2.5999999999999999E-2</v>
      </c>
      <c r="F310" s="1002">
        <v>0</v>
      </c>
      <c r="G310" s="1002">
        <v>35.956000000000003</v>
      </c>
      <c r="H310" s="1002">
        <v>0</v>
      </c>
      <c r="I310" s="1002">
        <v>0</v>
      </c>
      <c r="J310" s="1002">
        <v>35.982000000000006</v>
      </c>
      <c r="K310" s="1002">
        <v>0.5</v>
      </c>
      <c r="L310" s="1002">
        <v>0</v>
      </c>
      <c r="M310" s="1002">
        <v>53.9</v>
      </c>
      <c r="N310" s="1002">
        <v>0</v>
      </c>
      <c r="O310" s="1002">
        <v>0</v>
      </c>
      <c r="P310" s="1002">
        <v>54.4</v>
      </c>
    </row>
    <row r="311" spans="1:16" hidden="1" x14ac:dyDescent="0.35">
      <c r="A311" t="s">
        <v>925</v>
      </c>
      <c r="B311" t="s">
        <v>1441</v>
      </c>
      <c r="C311" t="s">
        <v>1473</v>
      </c>
      <c r="D311" t="s">
        <v>1473</v>
      </c>
      <c r="E311" s="1002">
        <v>0</v>
      </c>
      <c r="F311" s="1002">
        <v>0</v>
      </c>
      <c r="G311" s="1002">
        <v>0</v>
      </c>
      <c r="H311" s="1002">
        <v>0</v>
      </c>
      <c r="I311" s="1002">
        <v>0</v>
      </c>
      <c r="J311" s="1002">
        <v>0</v>
      </c>
      <c r="K311" s="1002">
        <v>0</v>
      </c>
      <c r="L311" s="1002">
        <v>0</v>
      </c>
      <c r="M311" s="1002">
        <v>0</v>
      </c>
      <c r="N311" s="1002">
        <v>0</v>
      </c>
      <c r="O311" s="1002">
        <v>0</v>
      </c>
      <c r="P311" s="1002">
        <v>0</v>
      </c>
    </row>
    <row r="312" spans="1:16" hidden="1" x14ac:dyDescent="0.35">
      <c r="A312" t="s">
        <v>925</v>
      </c>
      <c r="B312" t="s">
        <v>1441</v>
      </c>
      <c r="C312" t="s">
        <v>1476</v>
      </c>
      <c r="D312" t="s">
        <v>1476</v>
      </c>
      <c r="E312" s="1002">
        <v>10.923</v>
      </c>
      <c r="F312" s="1002">
        <v>0</v>
      </c>
      <c r="G312" s="1002">
        <v>0</v>
      </c>
      <c r="H312" s="1002">
        <v>0</v>
      </c>
      <c r="I312" s="1002">
        <v>0</v>
      </c>
      <c r="J312" s="1002">
        <v>10.923</v>
      </c>
      <c r="K312" s="1002">
        <v>9.1999999999999993</v>
      </c>
      <c r="L312" s="1002">
        <v>0</v>
      </c>
      <c r="M312" s="1002">
        <v>25</v>
      </c>
      <c r="N312" s="1002">
        <v>0</v>
      </c>
      <c r="O312" s="1002">
        <v>0</v>
      </c>
      <c r="P312" s="1002">
        <v>34.200000000000003</v>
      </c>
    </row>
    <row r="313" spans="1:16" hidden="1" x14ac:dyDescent="0.35">
      <c r="A313" t="s">
        <v>925</v>
      </c>
      <c r="B313" t="s">
        <v>1479</v>
      </c>
      <c r="C313" t="s">
        <v>1480</v>
      </c>
      <c r="D313" t="s">
        <v>1480</v>
      </c>
      <c r="E313" s="1002">
        <v>0</v>
      </c>
      <c r="F313" s="1002">
        <v>0</v>
      </c>
      <c r="G313" s="1002">
        <v>118.6</v>
      </c>
      <c r="H313" s="1002">
        <v>0</v>
      </c>
      <c r="I313" s="1002">
        <v>0</v>
      </c>
      <c r="J313" s="1002">
        <v>118.6</v>
      </c>
      <c r="K313" s="1002">
        <v>0</v>
      </c>
      <c r="L313" s="1002">
        <v>0</v>
      </c>
      <c r="M313" s="1002">
        <v>157.476</v>
      </c>
      <c r="N313" s="1002">
        <v>0</v>
      </c>
      <c r="O313" s="1002">
        <v>0</v>
      </c>
      <c r="P313" s="1002">
        <v>157.476</v>
      </c>
    </row>
    <row r="314" spans="1:16" hidden="1" x14ac:dyDescent="0.35">
      <c r="A314" t="s">
        <v>925</v>
      </c>
      <c r="B314" t="s">
        <v>1479</v>
      </c>
      <c r="C314" t="s">
        <v>1483</v>
      </c>
      <c r="D314" t="s">
        <v>1484</v>
      </c>
      <c r="E314" s="1002">
        <v>0</v>
      </c>
      <c r="F314" s="1002">
        <v>0</v>
      </c>
      <c r="G314" s="1002">
        <v>7.9</v>
      </c>
      <c r="H314" s="1002">
        <v>0</v>
      </c>
      <c r="I314" s="1002">
        <v>0</v>
      </c>
      <c r="J314" s="1002">
        <v>7.9</v>
      </c>
      <c r="K314" s="1002">
        <v>0</v>
      </c>
      <c r="L314" s="1002">
        <v>0</v>
      </c>
      <c r="M314" s="1002">
        <v>7.5750000000000002</v>
      </c>
      <c r="N314" s="1002">
        <v>0</v>
      </c>
      <c r="O314" s="1002">
        <v>0</v>
      </c>
      <c r="P314" s="1002">
        <v>7.5750000000000002</v>
      </c>
    </row>
    <row r="315" spans="1:16" hidden="1" x14ac:dyDescent="0.35">
      <c r="A315" t="s">
        <v>925</v>
      </c>
      <c r="B315" t="s">
        <v>1479</v>
      </c>
      <c r="C315" t="s">
        <v>1483</v>
      </c>
      <c r="D315" t="s">
        <v>1487</v>
      </c>
      <c r="E315" s="1002">
        <v>1.83</v>
      </c>
      <c r="F315" s="1002">
        <v>0</v>
      </c>
      <c r="G315" s="1002">
        <v>0</v>
      </c>
      <c r="H315" s="1002">
        <v>0</v>
      </c>
      <c r="I315" s="1002">
        <v>0</v>
      </c>
      <c r="J315" s="1002">
        <v>1.83</v>
      </c>
      <c r="K315" s="1002">
        <v>2.2000000000000002</v>
      </c>
      <c r="L315" s="1002">
        <v>0</v>
      </c>
      <c r="M315" s="1002">
        <v>0</v>
      </c>
      <c r="N315" s="1002">
        <v>0</v>
      </c>
      <c r="O315" s="1002">
        <v>0</v>
      </c>
      <c r="P315" s="1002">
        <v>2.2000000000000002</v>
      </c>
    </row>
    <row r="316" spans="1:16" hidden="1" x14ac:dyDescent="0.35">
      <c r="A316" t="s">
        <v>925</v>
      </c>
      <c r="B316" t="s">
        <v>1479</v>
      </c>
      <c r="C316" t="s">
        <v>1491</v>
      </c>
      <c r="D316" t="s">
        <v>1492</v>
      </c>
      <c r="E316" s="1002">
        <v>0.56499999999999995</v>
      </c>
      <c r="F316" s="1002">
        <v>0</v>
      </c>
      <c r="G316" s="1002">
        <v>68</v>
      </c>
      <c r="H316" s="1002">
        <v>0</v>
      </c>
      <c r="I316" s="1002">
        <v>0</v>
      </c>
      <c r="J316" s="1002">
        <v>68.564999999999998</v>
      </c>
      <c r="K316" s="1002">
        <v>0.56499999999999995</v>
      </c>
      <c r="L316" s="1002">
        <v>0</v>
      </c>
      <c r="M316" s="1002">
        <v>71.177000000000007</v>
      </c>
      <c r="N316" s="1002">
        <v>0</v>
      </c>
      <c r="O316" s="1002">
        <v>0</v>
      </c>
      <c r="P316" s="1002">
        <v>71.742000000000004</v>
      </c>
    </row>
    <row r="317" spans="1:16" hidden="1" x14ac:dyDescent="0.35">
      <c r="A317" t="s">
        <v>925</v>
      </c>
      <c r="B317" t="s">
        <v>1479</v>
      </c>
      <c r="C317" t="s">
        <v>1491</v>
      </c>
      <c r="D317" t="s">
        <v>1495</v>
      </c>
      <c r="E317" s="1002">
        <v>0</v>
      </c>
      <c r="F317" s="1002">
        <v>0</v>
      </c>
      <c r="G317" s="1002">
        <v>111.25</v>
      </c>
      <c r="H317" s="1002">
        <v>0</v>
      </c>
      <c r="I317" s="1002">
        <v>0</v>
      </c>
      <c r="J317" s="1002">
        <v>111.25</v>
      </c>
      <c r="K317" s="1002">
        <v>0</v>
      </c>
      <c r="L317" s="1002">
        <v>0</v>
      </c>
      <c r="M317" s="1002">
        <v>120</v>
      </c>
      <c r="N317" s="1002">
        <v>0</v>
      </c>
      <c r="O317" s="1002">
        <v>0</v>
      </c>
      <c r="P317" s="1002">
        <v>120</v>
      </c>
    </row>
    <row r="318" spans="1:16" hidden="1" x14ac:dyDescent="0.35">
      <c r="A318" t="s">
        <v>925</v>
      </c>
      <c r="B318" t="s">
        <v>1479</v>
      </c>
      <c r="C318" t="s">
        <v>1491</v>
      </c>
      <c r="D318" t="s">
        <v>1498</v>
      </c>
      <c r="E318" s="1002">
        <v>0</v>
      </c>
      <c r="F318" s="1002">
        <v>0</v>
      </c>
      <c r="G318" s="1002">
        <v>46.969000000000001</v>
      </c>
      <c r="H318" s="1002">
        <v>0</v>
      </c>
      <c r="I318" s="1002">
        <v>0</v>
      </c>
      <c r="J318" s="1002">
        <v>46.969000000000001</v>
      </c>
      <c r="K318" s="1002">
        <v>0</v>
      </c>
      <c r="L318" s="1002">
        <v>0</v>
      </c>
      <c r="M318" s="1002">
        <v>23.5</v>
      </c>
      <c r="N318" s="1002">
        <v>0</v>
      </c>
      <c r="O318" s="1002">
        <v>0</v>
      </c>
      <c r="P318" s="1002">
        <v>23.5</v>
      </c>
    </row>
    <row r="319" spans="1:16" hidden="1" x14ac:dyDescent="0.35">
      <c r="A319" t="s">
        <v>925</v>
      </c>
      <c r="B319" t="s">
        <v>1479</v>
      </c>
      <c r="C319" t="s">
        <v>1491</v>
      </c>
      <c r="D319" t="s">
        <v>1501</v>
      </c>
      <c r="E319" s="1002">
        <v>0</v>
      </c>
      <c r="F319" s="1002">
        <v>0</v>
      </c>
      <c r="G319" s="1002">
        <v>132.06299999999999</v>
      </c>
      <c r="H319" s="1002">
        <v>0</v>
      </c>
      <c r="I319" s="1002">
        <v>0</v>
      </c>
      <c r="J319" s="1002">
        <v>132.06299999999999</v>
      </c>
      <c r="K319" s="1002">
        <v>0</v>
      </c>
      <c r="L319" s="1002">
        <v>0</v>
      </c>
      <c r="M319" s="1002">
        <v>146.96</v>
      </c>
      <c r="N319" s="1002">
        <v>0</v>
      </c>
      <c r="O319" s="1002">
        <v>0</v>
      </c>
      <c r="P319" s="1002">
        <v>146.96</v>
      </c>
    </row>
    <row r="320" spans="1:16" hidden="1" x14ac:dyDescent="0.35">
      <c r="A320" t="s">
        <v>925</v>
      </c>
      <c r="B320" t="s">
        <v>1479</v>
      </c>
      <c r="C320" t="s">
        <v>1491</v>
      </c>
      <c r="D320" t="s">
        <v>1504</v>
      </c>
      <c r="E320" s="1002">
        <v>142.786</v>
      </c>
      <c r="F320" s="1002">
        <v>0</v>
      </c>
      <c r="G320" s="1002">
        <v>0</v>
      </c>
      <c r="H320" s="1002">
        <v>0</v>
      </c>
      <c r="I320" s="1002">
        <v>0</v>
      </c>
      <c r="J320" s="1002">
        <v>142.786</v>
      </c>
      <c r="K320" s="1002">
        <v>158.786</v>
      </c>
      <c r="L320" s="1002">
        <v>0</v>
      </c>
      <c r="M320" s="1002">
        <v>0</v>
      </c>
      <c r="N320" s="1002">
        <v>0</v>
      </c>
      <c r="O320" s="1002">
        <v>0</v>
      </c>
      <c r="P320" s="1002">
        <v>158.786</v>
      </c>
    </row>
    <row r="321" spans="1:16" hidden="1" x14ac:dyDescent="0.35">
      <c r="A321" t="s">
        <v>925</v>
      </c>
      <c r="B321" t="s">
        <v>1479</v>
      </c>
      <c r="C321" t="s">
        <v>1491</v>
      </c>
      <c r="D321" t="s">
        <v>1507</v>
      </c>
      <c r="E321" s="1002">
        <v>7.53</v>
      </c>
      <c r="F321" s="1002">
        <v>0</v>
      </c>
      <c r="G321" s="1002">
        <v>0</v>
      </c>
      <c r="H321" s="1002">
        <v>0</v>
      </c>
      <c r="I321" s="1002">
        <v>0</v>
      </c>
      <c r="J321" s="1002">
        <v>7.53</v>
      </c>
      <c r="K321" s="1002">
        <v>5.7</v>
      </c>
      <c r="L321" s="1002">
        <v>0</v>
      </c>
      <c r="M321" s="1002">
        <v>2</v>
      </c>
      <c r="N321" s="1002">
        <v>0</v>
      </c>
      <c r="O321" s="1002">
        <v>0</v>
      </c>
      <c r="P321" s="1002">
        <v>7.7</v>
      </c>
    </row>
    <row r="322" spans="1:16" hidden="1" x14ac:dyDescent="0.35">
      <c r="A322" t="s">
        <v>925</v>
      </c>
      <c r="B322" t="s">
        <v>1479</v>
      </c>
      <c r="C322" t="s">
        <v>1491</v>
      </c>
      <c r="D322" t="s">
        <v>1510</v>
      </c>
      <c r="E322" s="1002">
        <v>14.002000000000001</v>
      </c>
      <c r="F322" s="1002">
        <v>0</v>
      </c>
      <c r="G322" s="1002">
        <v>0</v>
      </c>
      <c r="H322" s="1002">
        <v>0</v>
      </c>
      <c r="I322" s="1002">
        <v>0</v>
      </c>
      <c r="J322" s="1002">
        <v>14.002000000000001</v>
      </c>
      <c r="K322" s="1002">
        <v>14.282</v>
      </c>
      <c r="L322" s="1002">
        <v>0</v>
      </c>
      <c r="M322" s="1002">
        <v>0</v>
      </c>
      <c r="N322" s="1002">
        <v>0</v>
      </c>
      <c r="O322" s="1002">
        <v>0</v>
      </c>
      <c r="P322" s="1002">
        <v>14.282</v>
      </c>
    </row>
    <row r="323" spans="1:16" hidden="1" x14ac:dyDescent="0.35">
      <c r="A323" t="s">
        <v>925</v>
      </c>
      <c r="B323" t="s">
        <v>1479</v>
      </c>
      <c r="C323" t="s">
        <v>1491</v>
      </c>
      <c r="D323" t="s">
        <v>1513</v>
      </c>
      <c r="E323" s="1002">
        <v>5.452</v>
      </c>
      <c r="F323" s="1002">
        <v>0</v>
      </c>
      <c r="G323" s="1002">
        <v>10</v>
      </c>
      <c r="H323" s="1002">
        <v>0</v>
      </c>
      <c r="I323" s="1002">
        <v>0</v>
      </c>
      <c r="J323" s="1002">
        <v>15.452</v>
      </c>
      <c r="K323" s="1002">
        <v>5.8567999999999998</v>
      </c>
      <c r="L323" s="1002">
        <v>0</v>
      </c>
      <c r="M323" s="1002">
        <v>22.25</v>
      </c>
      <c r="N323" s="1002">
        <v>0</v>
      </c>
      <c r="O323" s="1002">
        <v>0</v>
      </c>
      <c r="P323" s="1002">
        <v>28.1068</v>
      </c>
    </row>
    <row r="324" spans="1:16" hidden="1" x14ac:dyDescent="0.35">
      <c r="A324" t="s">
        <v>925</v>
      </c>
      <c r="B324" t="s">
        <v>1479</v>
      </c>
      <c r="C324" t="s">
        <v>1517</v>
      </c>
      <c r="D324" t="s">
        <v>1517</v>
      </c>
      <c r="E324" s="1002">
        <v>0</v>
      </c>
      <c r="F324" s="1002">
        <v>209.5</v>
      </c>
      <c r="G324" s="1002">
        <v>0</v>
      </c>
      <c r="H324" s="1002">
        <v>0</v>
      </c>
      <c r="I324" s="1002">
        <v>0</v>
      </c>
      <c r="J324" s="1002">
        <v>209.5</v>
      </c>
      <c r="K324" s="1002">
        <v>0</v>
      </c>
      <c r="L324" s="1002">
        <v>192.5</v>
      </c>
      <c r="M324" s="1002">
        <v>0</v>
      </c>
      <c r="N324" s="1002">
        <v>0</v>
      </c>
      <c r="O324" s="1002">
        <v>0</v>
      </c>
      <c r="P324" s="1002">
        <v>192.5</v>
      </c>
    </row>
    <row r="325" spans="1:16" hidden="1" x14ac:dyDescent="0.35">
      <c r="A325" t="s">
        <v>925</v>
      </c>
      <c r="B325" t="s">
        <v>1479</v>
      </c>
      <c r="C325" t="s">
        <v>1520</v>
      </c>
      <c r="D325" t="s">
        <v>1521</v>
      </c>
      <c r="E325" s="1002">
        <v>26.783000000000001</v>
      </c>
      <c r="F325" s="1002">
        <v>0</v>
      </c>
      <c r="G325" s="1002">
        <v>0</v>
      </c>
      <c r="H325" s="1002">
        <v>0</v>
      </c>
      <c r="I325" s="1002">
        <v>0</v>
      </c>
      <c r="J325" s="1002">
        <v>26.783000000000001</v>
      </c>
      <c r="K325" s="1002">
        <v>26.783000000000001</v>
      </c>
      <c r="L325" s="1002">
        <v>0</v>
      </c>
      <c r="M325" s="1002">
        <v>0</v>
      </c>
      <c r="N325" s="1002">
        <v>0</v>
      </c>
      <c r="O325" s="1002">
        <v>0</v>
      </c>
      <c r="P325" s="1002">
        <v>26.783000000000001</v>
      </c>
    </row>
    <row r="326" spans="1:16" hidden="1" x14ac:dyDescent="0.35">
      <c r="A326" t="s">
        <v>925</v>
      </c>
      <c r="B326" t="s">
        <v>1479</v>
      </c>
      <c r="C326" t="s">
        <v>1520</v>
      </c>
      <c r="D326" t="s">
        <v>1524</v>
      </c>
      <c r="E326" s="1002">
        <v>40.466000000000001</v>
      </c>
      <c r="F326" s="1002">
        <v>0</v>
      </c>
      <c r="G326" s="1002">
        <v>0</v>
      </c>
      <c r="H326" s="1002">
        <v>0</v>
      </c>
      <c r="I326" s="1002">
        <v>0</v>
      </c>
      <c r="J326" s="1002">
        <v>40.466000000000001</v>
      </c>
      <c r="K326" s="1002">
        <v>39.966000000000001</v>
      </c>
      <c r="L326" s="1002">
        <v>0</v>
      </c>
      <c r="M326" s="1002">
        <v>0</v>
      </c>
      <c r="N326" s="1002">
        <v>0</v>
      </c>
      <c r="O326" s="1002">
        <v>0</v>
      </c>
      <c r="P326" s="1002">
        <v>39.966000000000001</v>
      </c>
    </row>
    <row r="327" spans="1:16" hidden="1" x14ac:dyDescent="0.35">
      <c r="A327" t="s">
        <v>925</v>
      </c>
      <c r="B327" t="s">
        <v>1479</v>
      </c>
      <c r="C327" t="s">
        <v>1520</v>
      </c>
      <c r="D327" t="s">
        <v>1526</v>
      </c>
      <c r="E327" s="1002">
        <v>66.635999999999996</v>
      </c>
      <c r="F327" s="1002">
        <v>0</v>
      </c>
      <c r="G327" s="1002">
        <v>0</v>
      </c>
      <c r="H327" s="1002">
        <v>0</v>
      </c>
      <c r="I327" s="1002">
        <v>0</v>
      </c>
      <c r="J327" s="1002">
        <v>66.635999999999996</v>
      </c>
      <c r="K327" s="1002">
        <v>66.635999999999996</v>
      </c>
      <c r="L327" s="1002">
        <v>0</v>
      </c>
      <c r="M327" s="1002">
        <v>0</v>
      </c>
      <c r="N327" s="1002">
        <v>0</v>
      </c>
      <c r="O327" s="1002">
        <v>0</v>
      </c>
      <c r="P327" s="1002">
        <v>66.635999999999996</v>
      </c>
    </row>
    <row r="328" spans="1:16" hidden="1" x14ac:dyDescent="0.35">
      <c r="A328" t="s">
        <v>925</v>
      </c>
      <c r="B328" t="s">
        <v>1530</v>
      </c>
      <c r="C328" t="s">
        <v>1531</v>
      </c>
      <c r="D328" t="s">
        <v>1532</v>
      </c>
      <c r="E328" s="1002">
        <v>228.88900000000001</v>
      </c>
      <c r="F328" s="1002">
        <v>0</v>
      </c>
      <c r="G328" s="1002">
        <v>26.6</v>
      </c>
      <c r="H328" s="1002">
        <v>0</v>
      </c>
      <c r="I328" s="1002">
        <v>0</v>
      </c>
      <c r="J328" s="1002">
        <v>255.489</v>
      </c>
      <c r="K328" s="1002">
        <v>262.06599999999997</v>
      </c>
      <c r="L328" s="1002">
        <v>0</v>
      </c>
      <c r="M328" s="1002">
        <v>38.520000000000003</v>
      </c>
      <c r="N328" s="1002">
        <v>0</v>
      </c>
      <c r="O328" s="1002">
        <v>0</v>
      </c>
      <c r="P328" s="1002">
        <v>300.58599999999996</v>
      </c>
    </row>
    <row r="329" spans="1:16" hidden="1" x14ac:dyDescent="0.35">
      <c r="A329" t="s">
        <v>925</v>
      </c>
      <c r="B329" t="s">
        <v>1530</v>
      </c>
      <c r="C329" t="s">
        <v>1531</v>
      </c>
      <c r="D329" t="s">
        <v>1535</v>
      </c>
      <c r="E329" s="1002">
        <v>53.872</v>
      </c>
      <c r="F329" s="1002">
        <v>0</v>
      </c>
      <c r="G329" s="1002">
        <v>7.4</v>
      </c>
      <c r="H329" s="1002">
        <v>0</v>
      </c>
      <c r="I329" s="1002">
        <v>0</v>
      </c>
      <c r="J329" s="1002">
        <v>61.271999999999998</v>
      </c>
      <c r="K329" s="1002">
        <v>52.872</v>
      </c>
      <c r="L329" s="1002">
        <v>0</v>
      </c>
      <c r="M329" s="1002">
        <v>7.548</v>
      </c>
      <c r="N329" s="1002">
        <v>0</v>
      </c>
      <c r="O329" s="1002">
        <v>0</v>
      </c>
      <c r="P329" s="1002">
        <v>60.42</v>
      </c>
    </row>
    <row r="330" spans="1:16" hidden="1" x14ac:dyDescent="0.35">
      <c r="A330" t="s">
        <v>925</v>
      </c>
      <c r="B330" t="s">
        <v>1530</v>
      </c>
      <c r="C330" t="s">
        <v>1531</v>
      </c>
      <c r="D330" t="s">
        <v>1538</v>
      </c>
      <c r="E330" s="1002">
        <v>-7.1609999999999996</v>
      </c>
      <c r="F330" s="1002">
        <v>0</v>
      </c>
      <c r="G330" s="1002">
        <v>0</v>
      </c>
      <c r="H330" s="1002">
        <v>0</v>
      </c>
      <c r="I330" s="1002">
        <v>0</v>
      </c>
      <c r="J330" s="1002">
        <v>-7.1609999999999996</v>
      </c>
      <c r="K330" s="1002">
        <v>-18.960999999999999</v>
      </c>
      <c r="L330" s="1002">
        <v>0</v>
      </c>
      <c r="M330" s="1002">
        <v>0</v>
      </c>
      <c r="N330" s="1002">
        <v>0</v>
      </c>
      <c r="O330" s="1002">
        <v>0</v>
      </c>
      <c r="P330" s="1002">
        <v>-18.960999999999999</v>
      </c>
    </row>
    <row r="331" spans="1:16" hidden="1" x14ac:dyDescent="0.35">
      <c r="A331" t="s">
        <v>925</v>
      </c>
      <c r="B331" t="s">
        <v>1530</v>
      </c>
      <c r="C331" t="s">
        <v>1542</v>
      </c>
      <c r="D331" t="s">
        <v>1543</v>
      </c>
      <c r="E331" s="1002">
        <v>0</v>
      </c>
      <c r="F331" s="1002">
        <v>0</v>
      </c>
      <c r="G331" s="1002">
        <v>57.29</v>
      </c>
      <c r="H331" s="1002">
        <v>0</v>
      </c>
      <c r="I331" s="1002">
        <v>0</v>
      </c>
      <c r="J331" s="1002">
        <v>57.29</v>
      </c>
      <c r="K331" s="1002">
        <v>0</v>
      </c>
      <c r="L331" s="1002">
        <v>0</v>
      </c>
      <c r="M331" s="1002">
        <v>80</v>
      </c>
      <c r="N331" s="1002">
        <v>0</v>
      </c>
      <c r="O331" s="1002">
        <v>0</v>
      </c>
      <c r="P331" s="1002">
        <v>80</v>
      </c>
    </row>
    <row r="332" spans="1:16" hidden="1" x14ac:dyDescent="0.35">
      <c r="A332" t="s">
        <v>925</v>
      </c>
      <c r="B332" t="s">
        <v>1530</v>
      </c>
      <c r="C332" t="s">
        <v>1542</v>
      </c>
      <c r="D332" t="s">
        <v>1546</v>
      </c>
      <c r="E332" s="1002">
        <v>0</v>
      </c>
      <c r="F332" s="1002">
        <v>0</v>
      </c>
      <c r="G332" s="1002">
        <v>80.563999999999993</v>
      </c>
      <c r="H332" s="1002">
        <v>0</v>
      </c>
      <c r="I332" s="1002">
        <v>0</v>
      </c>
      <c r="J332" s="1002">
        <v>80.563999999999993</v>
      </c>
      <c r="K332" s="1002">
        <v>0</v>
      </c>
      <c r="L332" s="1002">
        <v>0</v>
      </c>
      <c r="M332" s="1002">
        <v>127.282</v>
      </c>
      <c r="N332" s="1002">
        <v>0</v>
      </c>
      <c r="O332" s="1002">
        <v>0</v>
      </c>
      <c r="P332" s="1002">
        <v>127.282</v>
      </c>
    </row>
    <row r="333" spans="1:16" hidden="1" x14ac:dyDescent="0.35">
      <c r="A333" t="s">
        <v>925</v>
      </c>
      <c r="B333" t="s">
        <v>1530</v>
      </c>
      <c r="C333" t="s">
        <v>1542</v>
      </c>
      <c r="D333" t="s">
        <v>1549</v>
      </c>
      <c r="E333" s="1002">
        <v>0</v>
      </c>
      <c r="F333" s="1002">
        <v>0</v>
      </c>
      <c r="G333" s="1002">
        <v>-13</v>
      </c>
      <c r="H333" s="1002">
        <v>0</v>
      </c>
      <c r="I333" s="1002">
        <v>0</v>
      </c>
      <c r="J333" s="1002">
        <v>-13</v>
      </c>
      <c r="K333" s="1002">
        <v>0</v>
      </c>
      <c r="L333" s="1002">
        <v>0</v>
      </c>
      <c r="M333" s="1002">
        <v>-16.28</v>
      </c>
      <c r="N333" s="1002">
        <v>0</v>
      </c>
      <c r="O333" s="1002">
        <v>0</v>
      </c>
      <c r="P333" s="1002">
        <v>-16.28</v>
      </c>
    </row>
    <row r="334" spans="1:16" hidden="1" x14ac:dyDescent="0.35">
      <c r="A334" t="s">
        <v>925</v>
      </c>
      <c r="B334" t="s">
        <v>1554</v>
      </c>
      <c r="C334" t="s">
        <v>1555</v>
      </c>
      <c r="D334" t="s">
        <v>1556</v>
      </c>
      <c r="E334" s="1002">
        <v>39.445999999999998</v>
      </c>
      <c r="F334" s="1002">
        <v>0</v>
      </c>
      <c r="G334" s="1002">
        <v>0</v>
      </c>
      <c r="H334" s="1002">
        <v>0</v>
      </c>
      <c r="I334" s="1002">
        <v>0</v>
      </c>
      <c r="J334" s="1002">
        <v>39.445999999999998</v>
      </c>
      <c r="K334" s="1002">
        <v>39.445999999999998</v>
      </c>
      <c r="L334" s="1002">
        <v>0</v>
      </c>
      <c r="M334" s="1002">
        <v>0</v>
      </c>
      <c r="N334" s="1002">
        <v>0</v>
      </c>
      <c r="O334" s="1002">
        <v>0</v>
      </c>
      <c r="P334" s="1002">
        <v>39.445999999999998</v>
      </c>
    </row>
    <row r="335" spans="1:16" hidden="1" x14ac:dyDescent="0.35">
      <c r="A335" t="s">
        <v>925</v>
      </c>
      <c r="B335" t="s">
        <v>1554</v>
      </c>
      <c r="C335" t="s">
        <v>1555</v>
      </c>
      <c r="D335" t="s">
        <v>1559</v>
      </c>
      <c r="E335" s="1002">
        <v>0</v>
      </c>
      <c r="F335" s="1002">
        <v>0</v>
      </c>
      <c r="G335" s="1002">
        <v>22.303000000000001</v>
      </c>
      <c r="H335" s="1002">
        <v>0</v>
      </c>
      <c r="I335" s="1002">
        <v>0</v>
      </c>
      <c r="J335" s="1002">
        <v>22.303000000000001</v>
      </c>
      <c r="K335" s="1002">
        <v>0</v>
      </c>
      <c r="L335" s="1002">
        <v>0</v>
      </c>
      <c r="M335" s="1002">
        <v>21.1</v>
      </c>
      <c r="N335" s="1002">
        <v>0</v>
      </c>
      <c r="O335" s="1002">
        <v>0</v>
      </c>
      <c r="P335" s="1002">
        <v>21.1</v>
      </c>
    </row>
    <row r="336" spans="1:16" hidden="1" x14ac:dyDescent="0.35">
      <c r="A336" t="s">
        <v>925</v>
      </c>
      <c r="B336" t="s">
        <v>1554</v>
      </c>
      <c r="C336" t="s">
        <v>1555</v>
      </c>
      <c r="D336" t="s">
        <v>1562</v>
      </c>
      <c r="E336" s="1002">
        <v>0</v>
      </c>
      <c r="F336" s="1002">
        <v>9.5</v>
      </c>
      <c r="G336" s="1002">
        <v>0</v>
      </c>
      <c r="H336" s="1002">
        <v>0</v>
      </c>
      <c r="I336" s="1002">
        <v>0</v>
      </c>
      <c r="J336" s="1002">
        <v>9.5</v>
      </c>
      <c r="K336" s="1002">
        <v>0</v>
      </c>
      <c r="L336" s="1002">
        <v>12.5</v>
      </c>
      <c r="M336" s="1002">
        <v>0</v>
      </c>
      <c r="N336" s="1002">
        <v>0</v>
      </c>
      <c r="O336" s="1002">
        <v>0</v>
      </c>
      <c r="P336" s="1002">
        <v>12.5</v>
      </c>
    </row>
    <row r="337" spans="1:16" hidden="1" x14ac:dyDescent="0.35">
      <c r="A337" t="s">
        <v>925</v>
      </c>
      <c r="B337" t="s">
        <v>1554</v>
      </c>
      <c r="C337" t="s">
        <v>1567</v>
      </c>
      <c r="D337" t="s">
        <v>1566</v>
      </c>
      <c r="E337" s="1002">
        <v>18.012</v>
      </c>
      <c r="F337" s="1002">
        <v>0</v>
      </c>
      <c r="G337" s="1002">
        <v>0</v>
      </c>
      <c r="H337" s="1002">
        <v>0</v>
      </c>
      <c r="I337" s="1002">
        <v>0</v>
      </c>
      <c r="J337" s="1002">
        <v>18.012</v>
      </c>
      <c r="K337" s="1002">
        <v>19.012</v>
      </c>
      <c r="L337" s="1002">
        <v>0</v>
      </c>
      <c r="M337" s="1002">
        <v>0</v>
      </c>
      <c r="N337" s="1002">
        <v>0</v>
      </c>
      <c r="O337" s="1002">
        <v>0</v>
      </c>
      <c r="P337" s="1002">
        <v>19.012</v>
      </c>
    </row>
    <row r="338" spans="1:16" hidden="1" x14ac:dyDescent="0.35">
      <c r="A338" t="s">
        <v>927</v>
      </c>
      <c r="B338" t="s">
        <v>928</v>
      </c>
      <c r="C338" t="s">
        <v>929</v>
      </c>
      <c r="D338" t="s">
        <v>929</v>
      </c>
      <c r="E338" s="1002">
        <v>282</v>
      </c>
      <c r="F338" s="1002">
        <v>0</v>
      </c>
      <c r="G338" s="1002">
        <v>0</v>
      </c>
      <c r="H338" s="1002">
        <v>0</v>
      </c>
      <c r="I338" s="1002">
        <v>0</v>
      </c>
      <c r="J338" s="1002">
        <v>282</v>
      </c>
      <c r="K338" s="1002">
        <v>282</v>
      </c>
      <c r="L338" s="1002">
        <v>0</v>
      </c>
      <c r="M338" s="1002">
        <v>0</v>
      </c>
      <c r="N338" s="1002">
        <v>0</v>
      </c>
      <c r="O338" s="1002">
        <v>0</v>
      </c>
      <c r="P338" s="1002">
        <v>282</v>
      </c>
    </row>
    <row r="339" spans="1:16" hidden="1" x14ac:dyDescent="0.35">
      <c r="A339" t="s">
        <v>927</v>
      </c>
      <c r="B339" t="s">
        <v>928</v>
      </c>
      <c r="C339" t="s">
        <v>933</v>
      </c>
      <c r="D339" t="s">
        <v>933</v>
      </c>
      <c r="E339" s="1002">
        <v>142</v>
      </c>
      <c r="F339" s="1002">
        <v>0</v>
      </c>
      <c r="G339" s="1002">
        <v>0</v>
      </c>
      <c r="H339" s="1002">
        <v>0</v>
      </c>
      <c r="I339" s="1002">
        <v>0</v>
      </c>
      <c r="J339" s="1002">
        <v>142</v>
      </c>
      <c r="K339" s="1002">
        <v>142</v>
      </c>
      <c r="L339" s="1002">
        <v>0</v>
      </c>
      <c r="M339" s="1002">
        <v>0</v>
      </c>
      <c r="N339" s="1002">
        <v>0</v>
      </c>
      <c r="O339" s="1002">
        <v>0</v>
      </c>
      <c r="P339" s="1002">
        <v>142</v>
      </c>
    </row>
    <row r="340" spans="1:16" hidden="1" x14ac:dyDescent="0.35">
      <c r="A340" t="s">
        <v>927</v>
      </c>
      <c r="B340" t="s">
        <v>928</v>
      </c>
      <c r="C340" t="s">
        <v>936</v>
      </c>
      <c r="D340" t="s">
        <v>936</v>
      </c>
      <c r="E340" s="1002">
        <v>50.7</v>
      </c>
      <c r="F340" s="1002">
        <v>0</v>
      </c>
      <c r="G340" s="1002">
        <v>0</v>
      </c>
      <c r="H340" s="1002">
        <v>0</v>
      </c>
      <c r="I340" s="1002">
        <v>0</v>
      </c>
      <c r="J340" s="1002">
        <v>50.7</v>
      </c>
      <c r="K340" s="1002">
        <v>50.7</v>
      </c>
      <c r="L340" s="1002">
        <v>0</v>
      </c>
      <c r="M340" s="1002">
        <v>0</v>
      </c>
      <c r="N340" s="1002">
        <v>0</v>
      </c>
      <c r="O340" s="1002">
        <v>0</v>
      </c>
      <c r="P340" s="1002">
        <v>50.7</v>
      </c>
    </row>
    <row r="341" spans="1:16" hidden="1" x14ac:dyDescent="0.35">
      <c r="A341" t="s">
        <v>927</v>
      </c>
      <c r="B341" t="s">
        <v>928</v>
      </c>
      <c r="C341" t="s">
        <v>939</v>
      </c>
      <c r="D341" t="s">
        <v>939</v>
      </c>
      <c r="E341" s="1002">
        <v>0</v>
      </c>
      <c r="F341" s="1002">
        <v>0</v>
      </c>
      <c r="G341" s="1002">
        <v>1.8</v>
      </c>
      <c r="H341" s="1002">
        <v>0</v>
      </c>
      <c r="I341" s="1002">
        <v>0</v>
      </c>
      <c r="J341" s="1002">
        <v>1.8</v>
      </c>
      <c r="K341" s="1002">
        <v>0</v>
      </c>
      <c r="L341" s="1002">
        <v>0</v>
      </c>
      <c r="M341" s="1002">
        <v>0</v>
      </c>
      <c r="N341" s="1002">
        <v>0</v>
      </c>
      <c r="O341" s="1002">
        <v>0</v>
      </c>
      <c r="P341" s="1002">
        <v>0</v>
      </c>
    </row>
    <row r="342" spans="1:16" hidden="1" x14ac:dyDescent="0.35">
      <c r="A342" t="s">
        <v>927</v>
      </c>
      <c r="B342" t="s">
        <v>928</v>
      </c>
      <c r="C342" t="s">
        <v>943</v>
      </c>
      <c r="D342" t="s">
        <v>944</v>
      </c>
      <c r="E342" s="1002">
        <v>0</v>
      </c>
      <c r="F342" s="1002">
        <v>0</v>
      </c>
      <c r="G342" s="1002">
        <v>4.47</v>
      </c>
      <c r="H342" s="1002">
        <v>0</v>
      </c>
      <c r="I342" s="1002">
        <v>0</v>
      </c>
      <c r="J342" s="1002">
        <v>4.47</v>
      </c>
      <c r="K342" s="1002">
        <v>0</v>
      </c>
      <c r="L342" s="1002">
        <v>0</v>
      </c>
      <c r="M342" s="1002">
        <v>23</v>
      </c>
      <c r="N342" s="1002">
        <v>0</v>
      </c>
      <c r="O342" s="1002">
        <v>0</v>
      </c>
      <c r="P342" s="1002">
        <v>23</v>
      </c>
    </row>
    <row r="343" spans="1:16" hidden="1" x14ac:dyDescent="0.35">
      <c r="A343" t="s">
        <v>927</v>
      </c>
      <c r="B343" t="s">
        <v>928</v>
      </c>
      <c r="C343" t="s">
        <v>948</v>
      </c>
      <c r="D343" t="s">
        <v>948</v>
      </c>
      <c r="E343" s="1002">
        <v>1</v>
      </c>
      <c r="F343" s="1002">
        <v>0</v>
      </c>
      <c r="G343" s="1002">
        <v>0</v>
      </c>
      <c r="H343" s="1002">
        <v>0</v>
      </c>
      <c r="I343" s="1002">
        <v>0</v>
      </c>
      <c r="J343" s="1002">
        <v>1</v>
      </c>
      <c r="K343" s="1002">
        <v>0.85</v>
      </c>
      <c r="L343" s="1002">
        <v>0</v>
      </c>
      <c r="M343" s="1002">
        <v>0</v>
      </c>
      <c r="N343" s="1002">
        <v>0</v>
      </c>
      <c r="O343" s="1002">
        <v>0</v>
      </c>
      <c r="P343" s="1002">
        <v>0.85</v>
      </c>
    </row>
    <row r="344" spans="1:16" hidden="1" x14ac:dyDescent="0.35">
      <c r="A344" t="s">
        <v>927</v>
      </c>
      <c r="B344" t="s">
        <v>928</v>
      </c>
      <c r="C344" t="s">
        <v>951</v>
      </c>
      <c r="D344" t="s">
        <v>952</v>
      </c>
      <c r="E344" s="1002">
        <v>6.7859999999999996</v>
      </c>
      <c r="F344" s="1002">
        <v>0</v>
      </c>
      <c r="G344" s="1002">
        <v>0</v>
      </c>
      <c r="H344" s="1002">
        <v>0</v>
      </c>
      <c r="I344" s="1002">
        <v>0</v>
      </c>
      <c r="J344" s="1002">
        <v>6.7859999999999996</v>
      </c>
      <c r="K344" s="1002">
        <v>6.9</v>
      </c>
      <c r="L344" s="1002">
        <v>0</v>
      </c>
      <c r="M344" s="1002">
        <v>0</v>
      </c>
      <c r="N344" s="1002">
        <v>0</v>
      </c>
      <c r="O344" s="1002">
        <v>0</v>
      </c>
      <c r="P344" s="1002">
        <v>6.9</v>
      </c>
    </row>
    <row r="345" spans="1:16" hidden="1" x14ac:dyDescent="0.35">
      <c r="A345" t="s">
        <v>927</v>
      </c>
      <c r="B345" t="s">
        <v>928</v>
      </c>
      <c r="C345" t="s">
        <v>951</v>
      </c>
      <c r="D345" t="s">
        <v>955</v>
      </c>
      <c r="E345" s="1002">
        <v>0</v>
      </c>
      <c r="F345" s="1002">
        <v>0</v>
      </c>
      <c r="G345" s="1002">
        <v>3.4</v>
      </c>
      <c r="H345" s="1002">
        <v>0</v>
      </c>
      <c r="I345" s="1002">
        <v>0</v>
      </c>
      <c r="J345" s="1002">
        <v>3.4</v>
      </c>
      <c r="K345" s="1002">
        <v>0</v>
      </c>
      <c r="L345" s="1002">
        <v>0</v>
      </c>
      <c r="M345" s="1002">
        <v>3.5</v>
      </c>
      <c r="N345" s="1002">
        <v>0</v>
      </c>
      <c r="O345" s="1002">
        <v>0</v>
      </c>
      <c r="P345" s="1002">
        <v>3.5</v>
      </c>
    </row>
    <row r="346" spans="1:16" hidden="1" x14ac:dyDescent="0.35">
      <c r="A346" t="s">
        <v>927</v>
      </c>
      <c r="B346" t="s">
        <v>928</v>
      </c>
      <c r="C346" t="s">
        <v>951</v>
      </c>
      <c r="D346" t="s">
        <v>957</v>
      </c>
      <c r="E346" s="1002">
        <v>0</v>
      </c>
      <c r="F346" s="1002">
        <v>0</v>
      </c>
      <c r="G346" s="1002">
        <v>0</v>
      </c>
      <c r="H346" s="1002">
        <v>0</v>
      </c>
      <c r="I346" s="1002">
        <v>0</v>
      </c>
      <c r="J346" s="1002">
        <v>0</v>
      </c>
      <c r="K346" s="1002">
        <v>0</v>
      </c>
      <c r="L346" s="1002">
        <v>0</v>
      </c>
      <c r="M346" s="1002">
        <v>0</v>
      </c>
      <c r="N346" s="1002">
        <v>0</v>
      </c>
      <c r="O346" s="1002">
        <v>0</v>
      </c>
      <c r="P346" s="1002">
        <v>0</v>
      </c>
    </row>
    <row r="347" spans="1:16" hidden="1" x14ac:dyDescent="0.35">
      <c r="A347" t="s">
        <v>927</v>
      </c>
      <c r="B347" t="s">
        <v>928</v>
      </c>
      <c r="C347" t="s">
        <v>951</v>
      </c>
      <c r="D347" t="s">
        <v>958</v>
      </c>
      <c r="E347" s="1002">
        <v>0</v>
      </c>
      <c r="F347" s="1002">
        <v>0</v>
      </c>
      <c r="G347" s="1002">
        <v>0</v>
      </c>
      <c r="H347" s="1002">
        <v>0</v>
      </c>
      <c r="I347" s="1002">
        <v>0</v>
      </c>
      <c r="J347" s="1002">
        <v>0</v>
      </c>
      <c r="K347" s="1002">
        <v>0</v>
      </c>
      <c r="L347" s="1002">
        <v>0</v>
      </c>
      <c r="M347" s="1002">
        <v>0</v>
      </c>
      <c r="N347" s="1002">
        <v>0</v>
      </c>
      <c r="O347" s="1002">
        <v>0</v>
      </c>
      <c r="P347" s="1002">
        <v>0</v>
      </c>
    </row>
    <row r="348" spans="1:16" hidden="1" x14ac:dyDescent="0.35">
      <c r="A348" t="s">
        <v>927</v>
      </c>
      <c r="B348" t="s">
        <v>928</v>
      </c>
      <c r="C348" t="s">
        <v>960</v>
      </c>
      <c r="D348" t="s">
        <v>960</v>
      </c>
      <c r="E348" s="1002">
        <v>65.5</v>
      </c>
      <c r="F348" s="1002">
        <v>0</v>
      </c>
      <c r="G348" s="1002">
        <v>0</v>
      </c>
      <c r="H348" s="1002">
        <v>0</v>
      </c>
      <c r="I348" s="1002">
        <v>0</v>
      </c>
      <c r="J348" s="1002">
        <v>65.5</v>
      </c>
      <c r="K348" s="1002">
        <v>65.5</v>
      </c>
      <c r="L348" s="1002">
        <v>0</v>
      </c>
      <c r="M348" s="1002">
        <v>0</v>
      </c>
      <c r="N348" s="1002">
        <v>0</v>
      </c>
      <c r="O348" s="1002">
        <v>0</v>
      </c>
      <c r="P348" s="1002">
        <v>65.5</v>
      </c>
    </row>
    <row r="349" spans="1:16" hidden="1" x14ac:dyDescent="0.35">
      <c r="A349" t="s">
        <v>927</v>
      </c>
      <c r="B349" t="s">
        <v>928</v>
      </c>
      <c r="C349" t="s">
        <v>963</v>
      </c>
      <c r="D349" t="s">
        <v>964</v>
      </c>
      <c r="E349" s="1002">
        <v>21.545000000000002</v>
      </c>
      <c r="F349" s="1002">
        <v>0</v>
      </c>
      <c r="G349" s="1002">
        <v>0</v>
      </c>
      <c r="H349" s="1002">
        <v>0</v>
      </c>
      <c r="I349" s="1002">
        <v>0</v>
      </c>
      <c r="J349" s="1002">
        <v>21.545000000000002</v>
      </c>
      <c r="K349" s="1002">
        <v>20.986000000000001</v>
      </c>
      <c r="L349" s="1002">
        <v>0</v>
      </c>
      <c r="M349" s="1002">
        <v>0</v>
      </c>
      <c r="N349" s="1002">
        <v>0</v>
      </c>
      <c r="O349" s="1002">
        <v>0</v>
      </c>
      <c r="P349" s="1002">
        <v>20.986000000000001</v>
      </c>
    </row>
    <row r="350" spans="1:16" hidden="1" x14ac:dyDescent="0.35">
      <c r="A350" t="s">
        <v>927</v>
      </c>
      <c r="B350" t="s">
        <v>928</v>
      </c>
      <c r="C350" t="s">
        <v>963</v>
      </c>
      <c r="D350" t="s">
        <v>966</v>
      </c>
      <c r="E350" s="1002">
        <v>0</v>
      </c>
      <c r="F350" s="1002">
        <v>0</v>
      </c>
      <c r="G350" s="1002">
        <v>3.8940000000000001</v>
      </c>
      <c r="H350" s="1002">
        <v>0</v>
      </c>
      <c r="I350" s="1002">
        <v>0</v>
      </c>
      <c r="J350" s="1002">
        <v>3.8940000000000001</v>
      </c>
      <c r="K350" s="1002">
        <v>0</v>
      </c>
      <c r="L350" s="1002">
        <v>0</v>
      </c>
      <c r="M350" s="1002">
        <v>0.5</v>
      </c>
      <c r="N350" s="1002">
        <v>0</v>
      </c>
      <c r="O350" s="1002">
        <v>0</v>
      </c>
      <c r="P350" s="1002">
        <v>0.5</v>
      </c>
    </row>
    <row r="351" spans="1:16" hidden="1" x14ac:dyDescent="0.35">
      <c r="A351" t="s">
        <v>927</v>
      </c>
      <c r="B351" t="s">
        <v>928</v>
      </c>
      <c r="C351" t="s">
        <v>970</v>
      </c>
      <c r="D351" t="s">
        <v>971</v>
      </c>
      <c r="E351" s="1002">
        <v>0.1</v>
      </c>
      <c r="F351" s="1002">
        <v>0</v>
      </c>
      <c r="G351" s="1002">
        <v>0</v>
      </c>
      <c r="H351" s="1002">
        <v>0</v>
      </c>
      <c r="I351" s="1002">
        <v>0</v>
      </c>
      <c r="J351" s="1002">
        <v>0.1</v>
      </c>
      <c r="K351" s="1002">
        <v>3.1E-2</v>
      </c>
      <c r="L351" s="1002">
        <v>0</v>
      </c>
      <c r="M351" s="1002">
        <v>0</v>
      </c>
      <c r="N351" s="1002">
        <v>0</v>
      </c>
      <c r="O351" s="1002">
        <v>0</v>
      </c>
      <c r="P351" s="1002">
        <v>3.1E-2</v>
      </c>
    </row>
    <row r="352" spans="1:16" hidden="1" x14ac:dyDescent="0.35">
      <c r="A352" t="s">
        <v>927</v>
      </c>
      <c r="B352" t="s">
        <v>928</v>
      </c>
      <c r="C352" t="s">
        <v>970</v>
      </c>
      <c r="D352" t="s">
        <v>973</v>
      </c>
      <c r="E352" s="1002">
        <v>0</v>
      </c>
      <c r="F352" s="1002">
        <v>0</v>
      </c>
      <c r="G352" s="1002">
        <v>0</v>
      </c>
      <c r="H352" s="1002">
        <v>0</v>
      </c>
      <c r="I352" s="1002">
        <v>0</v>
      </c>
      <c r="J352" s="1002">
        <v>0</v>
      </c>
      <c r="K352" s="1002">
        <v>0</v>
      </c>
      <c r="L352" s="1002">
        <v>0</v>
      </c>
      <c r="M352" s="1002">
        <v>0</v>
      </c>
      <c r="N352" s="1002">
        <v>0</v>
      </c>
      <c r="O352" s="1002">
        <v>0</v>
      </c>
      <c r="P352" s="1002">
        <v>0</v>
      </c>
    </row>
    <row r="353" spans="1:16" hidden="1" x14ac:dyDescent="0.35">
      <c r="A353" t="s">
        <v>927</v>
      </c>
      <c r="B353" t="s">
        <v>928</v>
      </c>
      <c r="C353" t="s">
        <v>970</v>
      </c>
      <c r="D353" t="s">
        <v>976</v>
      </c>
      <c r="E353" s="1002">
        <v>0</v>
      </c>
      <c r="F353" s="1002">
        <v>0</v>
      </c>
      <c r="G353" s="1002">
        <v>0</v>
      </c>
      <c r="H353" s="1002">
        <v>0</v>
      </c>
      <c r="I353" s="1002">
        <v>0</v>
      </c>
      <c r="J353" s="1002">
        <v>0</v>
      </c>
      <c r="K353" s="1002">
        <v>0</v>
      </c>
      <c r="L353" s="1002">
        <v>0</v>
      </c>
      <c r="M353" s="1002">
        <v>0</v>
      </c>
      <c r="N353" s="1002">
        <v>0</v>
      </c>
      <c r="O353" s="1002">
        <v>0</v>
      </c>
      <c r="P353" s="1002">
        <v>0</v>
      </c>
    </row>
    <row r="354" spans="1:16" hidden="1" x14ac:dyDescent="0.35">
      <c r="A354" t="s">
        <v>927</v>
      </c>
      <c r="B354" t="s">
        <v>928</v>
      </c>
      <c r="C354" t="s">
        <v>943</v>
      </c>
      <c r="D354" t="s">
        <v>981</v>
      </c>
      <c r="E354" s="1002">
        <v>0.40799999999999997</v>
      </c>
      <c r="F354" s="1002">
        <v>0</v>
      </c>
      <c r="G354" s="1002">
        <v>0</v>
      </c>
      <c r="H354" s="1002">
        <v>0</v>
      </c>
      <c r="I354" s="1002">
        <v>0</v>
      </c>
      <c r="J354" s="1002">
        <v>0.40799999999999997</v>
      </c>
      <c r="K354" s="1002">
        <v>0.31</v>
      </c>
      <c r="L354" s="1002">
        <v>0</v>
      </c>
      <c r="M354" s="1002">
        <v>0</v>
      </c>
      <c r="N354" s="1002">
        <v>0</v>
      </c>
      <c r="O354" s="1002">
        <v>0</v>
      </c>
      <c r="P354" s="1002">
        <v>0.31</v>
      </c>
    </row>
    <row r="355" spans="1:16" hidden="1" x14ac:dyDescent="0.35">
      <c r="A355" t="s">
        <v>927</v>
      </c>
      <c r="B355" t="s">
        <v>928</v>
      </c>
      <c r="C355" t="s">
        <v>943</v>
      </c>
      <c r="D355" t="s">
        <v>985</v>
      </c>
      <c r="E355" s="1002">
        <v>12</v>
      </c>
      <c r="F355" s="1002">
        <v>0</v>
      </c>
      <c r="G355" s="1002">
        <v>0</v>
      </c>
      <c r="H355" s="1002">
        <v>0</v>
      </c>
      <c r="I355" s="1002">
        <v>0</v>
      </c>
      <c r="J355" s="1002">
        <v>12</v>
      </c>
      <c r="K355" s="1002">
        <v>3</v>
      </c>
      <c r="L355" s="1002">
        <v>0</v>
      </c>
      <c r="M355" s="1002">
        <v>0</v>
      </c>
      <c r="N355" s="1002">
        <v>0</v>
      </c>
      <c r="O355" s="1002">
        <v>0</v>
      </c>
      <c r="P355" s="1002">
        <v>3</v>
      </c>
    </row>
    <row r="356" spans="1:16" hidden="1" x14ac:dyDescent="0.35">
      <c r="A356" t="s">
        <v>927</v>
      </c>
      <c r="B356" t="s">
        <v>928</v>
      </c>
      <c r="C356" t="s">
        <v>943</v>
      </c>
      <c r="D356" t="s">
        <v>988</v>
      </c>
      <c r="E356" s="1002">
        <v>0</v>
      </c>
      <c r="F356" s="1002">
        <v>0</v>
      </c>
      <c r="G356" s="1002">
        <v>0</v>
      </c>
      <c r="H356" s="1002">
        <v>0</v>
      </c>
      <c r="I356" s="1002">
        <v>0</v>
      </c>
      <c r="J356" s="1002">
        <v>0</v>
      </c>
      <c r="K356" s="1002">
        <v>0</v>
      </c>
      <c r="L356" s="1002">
        <v>0</v>
      </c>
      <c r="M356" s="1002">
        <v>0</v>
      </c>
      <c r="N356" s="1002">
        <v>0</v>
      </c>
      <c r="O356" s="1002">
        <v>0</v>
      </c>
      <c r="P356" s="1002">
        <v>0</v>
      </c>
    </row>
    <row r="357" spans="1:16" hidden="1" x14ac:dyDescent="0.35">
      <c r="A357" t="s">
        <v>927</v>
      </c>
      <c r="B357" t="s">
        <v>928</v>
      </c>
      <c r="C357" t="s">
        <v>948</v>
      </c>
      <c r="D357" t="s">
        <v>990</v>
      </c>
      <c r="E357" s="1002">
        <v>5</v>
      </c>
      <c r="F357" s="1002">
        <v>0</v>
      </c>
      <c r="G357" s="1002">
        <v>0</v>
      </c>
      <c r="H357" s="1002">
        <v>0</v>
      </c>
      <c r="I357" s="1002">
        <v>0</v>
      </c>
      <c r="J357" s="1002">
        <v>5</v>
      </c>
      <c r="K357" s="1002">
        <v>5</v>
      </c>
      <c r="L357" s="1002">
        <v>0</v>
      </c>
      <c r="M357" s="1002">
        <v>3</v>
      </c>
      <c r="N357" s="1002">
        <v>0</v>
      </c>
      <c r="O357" s="1002">
        <v>0</v>
      </c>
      <c r="P357" s="1002">
        <v>8</v>
      </c>
    </row>
    <row r="358" spans="1:16" hidden="1" x14ac:dyDescent="0.35">
      <c r="A358" t="s">
        <v>927</v>
      </c>
      <c r="B358" t="s">
        <v>928</v>
      </c>
      <c r="C358" t="s">
        <v>993</v>
      </c>
      <c r="D358" t="s">
        <v>994</v>
      </c>
      <c r="E358" s="1002">
        <v>0</v>
      </c>
      <c r="F358" s="1002">
        <v>0</v>
      </c>
      <c r="G358" s="1002">
        <v>0</v>
      </c>
      <c r="H358" s="1002">
        <v>0</v>
      </c>
      <c r="I358" s="1002">
        <v>0</v>
      </c>
      <c r="J358" s="1002">
        <v>0</v>
      </c>
      <c r="K358" s="1002">
        <v>0</v>
      </c>
      <c r="L358" s="1002">
        <v>0</v>
      </c>
      <c r="M358" s="1002">
        <v>0</v>
      </c>
      <c r="N358" s="1002">
        <v>0</v>
      </c>
      <c r="O358" s="1002">
        <v>0</v>
      </c>
      <c r="P358" s="1002">
        <v>0</v>
      </c>
    </row>
    <row r="359" spans="1:16" hidden="1" x14ac:dyDescent="0.35">
      <c r="A359" t="s">
        <v>927</v>
      </c>
      <c r="B359" t="s">
        <v>928</v>
      </c>
      <c r="C359" t="s">
        <v>993</v>
      </c>
      <c r="D359" t="s">
        <v>997</v>
      </c>
      <c r="E359" s="1002">
        <v>0</v>
      </c>
      <c r="F359" s="1002">
        <v>0</v>
      </c>
      <c r="G359" s="1002">
        <v>2.0960000000000001</v>
      </c>
      <c r="H359" s="1002">
        <v>0</v>
      </c>
      <c r="I359" s="1002">
        <v>0</v>
      </c>
      <c r="J359" s="1002">
        <v>2.0960000000000001</v>
      </c>
      <c r="K359" s="1002">
        <v>0</v>
      </c>
      <c r="L359" s="1002">
        <v>0</v>
      </c>
      <c r="M359" s="1002">
        <v>2.1</v>
      </c>
      <c r="N359" s="1002">
        <v>0</v>
      </c>
      <c r="O359" s="1002">
        <v>0</v>
      </c>
      <c r="P359" s="1002">
        <v>2.1</v>
      </c>
    </row>
    <row r="360" spans="1:16" hidden="1" x14ac:dyDescent="0.35">
      <c r="A360" t="s">
        <v>927</v>
      </c>
      <c r="B360" t="s">
        <v>928</v>
      </c>
      <c r="C360" t="s">
        <v>993</v>
      </c>
      <c r="D360" t="s">
        <v>997</v>
      </c>
      <c r="E360" s="1002">
        <v>0</v>
      </c>
      <c r="F360" s="1002">
        <v>0</v>
      </c>
      <c r="G360" s="1002">
        <v>0</v>
      </c>
      <c r="H360" s="1002">
        <v>0</v>
      </c>
      <c r="I360" s="1002">
        <v>0</v>
      </c>
      <c r="J360" s="1002">
        <v>0</v>
      </c>
      <c r="K360" s="1002">
        <v>0</v>
      </c>
      <c r="L360" s="1002">
        <v>0</v>
      </c>
      <c r="M360" s="1002">
        <v>0</v>
      </c>
      <c r="N360" s="1002">
        <v>0</v>
      </c>
      <c r="O360" s="1002">
        <v>0</v>
      </c>
      <c r="P360" s="1002">
        <v>0</v>
      </c>
    </row>
    <row r="361" spans="1:16" hidden="1" x14ac:dyDescent="0.35">
      <c r="A361" t="s">
        <v>927</v>
      </c>
      <c r="B361" t="s">
        <v>928</v>
      </c>
      <c r="C361" t="s">
        <v>993</v>
      </c>
      <c r="D361" t="s">
        <v>997</v>
      </c>
      <c r="E361" s="1002">
        <v>0</v>
      </c>
      <c r="F361" s="1002">
        <v>0</v>
      </c>
      <c r="G361" s="1002">
        <v>0</v>
      </c>
      <c r="H361" s="1002">
        <v>0</v>
      </c>
      <c r="I361" s="1002">
        <v>0</v>
      </c>
      <c r="J361" s="1002">
        <v>0</v>
      </c>
      <c r="K361" s="1002">
        <v>0</v>
      </c>
      <c r="L361" s="1002">
        <v>0</v>
      </c>
      <c r="M361" s="1002">
        <v>0</v>
      </c>
      <c r="N361" s="1002">
        <v>0</v>
      </c>
      <c r="O361" s="1002">
        <v>0</v>
      </c>
      <c r="P361" s="1002">
        <v>0</v>
      </c>
    </row>
    <row r="362" spans="1:16" hidden="1" x14ac:dyDescent="0.35">
      <c r="A362" t="s">
        <v>927</v>
      </c>
      <c r="B362" t="s">
        <v>928</v>
      </c>
      <c r="C362" t="s">
        <v>993</v>
      </c>
      <c r="D362" t="s">
        <v>1002</v>
      </c>
      <c r="E362" s="1002">
        <v>0</v>
      </c>
      <c r="F362" s="1002">
        <v>0</v>
      </c>
      <c r="G362" s="1002">
        <v>0</v>
      </c>
      <c r="H362" s="1002">
        <v>0</v>
      </c>
      <c r="I362" s="1002">
        <v>0</v>
      </c>
      <c r="J362" s="1002">
        <v>0</v>
      </c>
      <c r="K362" s="1002">
        <v>0</v>
      </c>
      <c r="L362" s="1002">
        <v>0</v>
      </c>
      <c r="M362" s="1002">
        <v>0</v>
      </c>
      <c r="N362" s="1002">
        <v>0</v>
      </c>
      <c r="O362" s="1002">
        <v>0</v>
      </c>
      <c r="P362" s="1002">
        <v>0</v>
      </c>
    </row>
    <row r="363" spans="1:16" hidden="1" x14ac:dyDescent="0.35">
      <c r="A363" t="s">
        <v>927</v>
      </c>
      <c r="B363" t="s">
        <v>928</v>
      </c>
      <c r="C363" t="s">
        <v>1005</v>
      </c>
      <c r="D363" t="s">
        <v>1</v>
      </c>
      <c r="E363" s="1002">
        <v>0</v>
      </c>
      <c r="F363" s="1002">
        <v>0</v>
      </c>
      <c r="G363" s="1002">
        <v>10.199999999999999</v>
      </c>
      <c r="H363" s="1002">
        <v>0</v>
      </c>
      <c r="I363" s="1002">
        <v>0</v>
      </c>
      <c r="J363" s="1002">
        <v>10.199999999999999</v>
      </c>
      <c r="K363" s="1002">
        <v>0</v>
      </c>
      <c r="L363" s="1002">
        <v>0</v>
      </c>
      <c r="M363" s="1002">
        <v>14.67</v>
      </c>
      <c r="N363" s="1002">
        <v>0</v>
      </c>
      <c r="O363" s="1002">
        <v>0</v>
      </c>
      <c r="P363" s="1002">
        <v>14.67</v>
      </c>
    </row>
    <row r="364" spans="1:16" hidden="1" x14ac:dyDescent="0.35">
      <c r="A364" t="s">
        <v>927</v>
      </c>
      <c r="B364" t="s">
        <v>928</v>
      </c>
      <c r="C364" t="s">
        <v>1005</v>
      </c>
      <c r="D364" t="s">
        <v>0</v>
      </c>
      <c r="E364" s="1002">
        <v>80.210999999999999</v>
      </c>
      <c r="F364" s="1002">
        <v>0</v>
      </c>
      <c r="G364" s="1002">
        <v>0</v>
      </c>
      <c r="H364" s="1002">
        <v>0</v>
      </c>
      <c r="I364" s="1002">
        <v>0</v>
      </c>
      <c r="J364" s="1002">
        <v>80.210999999999999</v>
      </c>
      <c r="K364" s="1002">
        <v>84.266999999999996</v>
      </c>
      <c r="L364" s="1002">
        <v>0</v>
      </c>
      <c r="M364" s="1002">
        <v>0</v>
      </c>
      <c r="N364" s="1002">
        <v>0</v>
      </c>
      <c r="O364" s="1002">
        <v>0</v>
      </c>
      <c r="P364" s="1002">
        <v>84.266999999999996</v>
      </c>
    </row>
    <row r="365" spans="1:16" hidden="1" x14ac:dyDescent="0.35">
      <c r="A365" t="s">
        <v>927</v>
      </c>
      <c r="B365" t="s">
        <v>928</v>
      </c>
      <c r="C365" t="s">
        <v>1005</v>
      </c>
      <c r="D365" t="s">
        <v>736</v>
      </c>
      <c r="E365" s="1002">
        <v>0</v>
      </c>
      <c r="F365" s="1002">
        <v>16.193000000000001</v>
      </c>
      <c r="G365" s="1002">
        <v>0</v>
      </c>
      <c r="H365" s="1002">
        <v>0</v>
      </c>
      <c r="I365" s="1002">
        <v>0</v>
      </c>
      <c r="J365" s="1002">
        <v>16.193000000000001</v>
      </c>
      <c r="K365" s="1002">
        <v>0</v>
      </c>
      <c r="L365" s="1002">
        <v>11.450999999999999</v>
      </c>
      <c r="M365" s="1002">
        <v>0</v>
      </c>
      <c r="N365" s="1002">
        <v>0</v>
      </c>
      <c r="O365" s="1002">
        <v>0</v>
      </c>
      <c r="P365" s="1002">
        <v>11.450999999999999</v>
      </c>
    </row>
    <row r="366" spans="1:16" hidden="1" x14ac:dyDescent="0.35">
      <c r="A366" t="s">
        <v>927</v>
      </c>
      <c r="B366" t="s">
        <v>928</v>
      </c>
      <c r="C366" t="s">
        <v>1005</v>
      </c>
      <c r="D366" t="s">
        <v>1012</v>
      </c>
      <c r="E366" s="1002">
        <v>-4.2110000000000003</v>
      </c>
      <c r="F366" s="1002">
        <v>0</v>
      </c>
      <c r="G366" s="1002">
        <v>0</v>
      </c>
      <c r="H366" s="1002">
        <v>0</v>
      </c>
      <c r="I366" s="1002">
        <v>0</v>
      </c>
      <c r="J366" s="1002">
        <v>-4.2110000000000003</v>
      </c>
      <c r="K366" s="1002">
        <v>-4.2779999999999996</v>
      </c>
      <c r="L366" s="1002">
        <v>0</v>
      </c>
      <c r="M366" s="1002">
        <v>0</v>
      </c>
      <c r="N366" s="1002">
        <v>0</v>
      </c>
      <c r="O366" s="1002">
        <v>0</v>
      </c>
      <c r="P366" s="1002">
        <v>-4.2779999999999996</v>
      </c>
    </row>
    <row r="367" spans="1:16" hidden="1" x14ac:dyDescent="0.35">
      <c r="A367" t="s">
        <v>927</v>
      </c>
      <c r="B367" t="s">
        <v>928</v>
      </c>
      <c r="C367" t="s">
        <v>1005</v>
      </c>
      <c r="D367" t="s">
        <v>1014</v>
      </c>
      <c r="E367" s="1002">
        <v>0</v>
      </c>
      <c r="F367" s="1002">
        <v>0</v>
      </c>
      <c r="G367" s="1002">
        <v>0</v>
      </c>
      <c r="H367" s="1002">
        <v>0</v>
      </c>
      <c r="I367" s="1002">
        <v>0</v>
      </c>
      <c r="J367" s="1002">
        <v>0</v>
      </c>
      <c r="K367" s="1002">
        <v>0</v>
      </c>
      <c r="L367" s="1002">
        <v>0</v>
      </c>
      <c r="M367" s="1002">
        <v>0</v>
      </c>
      <c r="N367" s="1002">
        <v>0</v>
      </c>
      <c r="O367" s="1002">
        <v>0</v>
      </c>
      <c r="P367" s="1002">
        <v>0</v>
      </c>
    </row>
    <row r="368" spans="1:16" hidden="1" x14ac:dyDescent="0.35">
      <c r="A368" t="s">
        <v>927</v>
      </c>
      <c r="B368" t="s">
        <v>928</v>
      </c>
      <c r="C368" t="s">
        <v>1016</v>
      </c>
      <c r="D368" t="s">
        <v>1017</v>
      </c>
      <c r="E368" s="1002">
        <v>0</v>
      </c>
      <c r="F368" s="1002">
        <v>0</v>
      </c>
      <c r="G368" s="1002">
        <v>0</v>
      </c>
      <c r="H368" s="1002">
        <v>0</v>
      </c>
      <c r="I368" s="1002">
        <v>0</v>
      </c>
      <c r="J368" s="1002">
        <v>0</v>
      </c>
      <c r="K368" s="1002">
        <v>0</v>
      </c>
      <c r="L368" s="1002">
        <v>0</v>
      </c>
      <c r="M368" s="1002">
        <v>0</v>
      </c>
      <c r="N368" s="1002">
        <v>0</v>
      </c>
      <c r="O368" s="1002">
        <v>0</v>
      </c>
      <c r="P368" s="1002">
        <v>0</v>
      </c>
    </row>
    <row r="369" spans="1:16" hidden="1" x14ac:dyDescent="0.35">
      <c r="A369" t="s">
        <v>927</v>
      </c>
      <c r="B369" t="s">
        <v>928</v>
      </c>
      <c r="C369" t="s">
        <v>1016</v>
      </c>
      <c r="D369" t="s">
        <v>1018</v>
      </c>
      <c r="E369" s="1002">
        <v>0</v>
      </c>
      <c r="F369" s="1002">
        <v>0</v>
      </c>
      <c r="G369" s="1002">
        <v>0</v>
      </c>
      <c r="H369" s="1002">
        <v>0</v>
      </c>
      <c r="I369" s="1002">
        <v>0</v>
      </c>
      <c r="J369" s="1002">
        <v>0</v>
      </c>
      <c r="K369" s="1002">
        <v>0</v>
      </c>
      <c r="L369" s="1002">
        <v>0</v>
      </c>
      <c r="M369" s="1002">
        <v>0</v>
      </c>
      <c r="N369" s="1002">
        <v>0</v>
      </c>
      <c r="O369" s="1002">
        <v>0</v>
      </c>
      <c r="P369" s="1002">
        <v>0</v>
      </c>
    </row>
    <row r="370" spans="1:16" hidden="1" x14ac:dyDescent="0.35">
      <c r="A370" t="s">
        <v>927</v>
      </c>
      <c r="B370" t="s">
        <v>1022</v>
      </c>
      <c r="C370" t="s">
        <v>1023</v>
      </c>
      <c r="D370" t="s">
        <v>1024</v>
      </c>
      <c r="E370" s="1002">
        <v>1.744</v>
      </c>
      <c r="F370" s="1002">
        <v>0</v>
      </c>
      <c r="G370" s="1002">
        <v>0</v>
      </c>
      <c r="H370" s="1002">
        <v>0</v>
      </c>
      <c r="I370" s="1002">
        <v>0</v>
      </c>
      <c r="J370" s="1002">
        <v>1.744</v>
      </c>
      <c r="K370" s="1002">
        <v>2</v>
      </c>
      <c r="L370" s="1002">
        <v>0</v>
      </c>
      <c r="M370" s="1002">
        <v>0</v>
      </c>
      <c r="N370" s="1002">
        <v>0</v>
      </c>
      <c r="O370" s="1002">
        <v>0</v>
      </c>
      <c r="P370" s="1002">
        <v>2</v>
      </c>
    </row>
    <row r="371" spans="1:16" hidden="1" x14ac:dyDescent="0.35">
      <c r="A371" t="s">
        <v>927</v>
      </c>
      <c r="B371" t="s">
        <v>1022</v>
      </c>
      <c r="C371" t="s">
        <v>1023</v>
      </c>
      <c r="D371" t="s">
        <v>1026</v>
      </c>
      <c r="E371" s="1002">
        <v>0</v>
      </c>
      <c r="F371" s="1002">
        <v>0</v>
      </c>
      <c r="G371" s="1002">
        <v>0</v>
      </c>
      <c r="H371" s="1002">
        <v>0</v>
      </c>
      <c r="I371" s="1002">
        <v>0</v>
      </c>
      <c r="J371" s="1002">
        <v>0</v>
      </c>
      <c r="K371" s="1002">
        <v>0</v>
      </c>
      <c r="L371" s="1002">
        <v>0</v>
      </c>
      <c r="M371" s="1002">
        <v>0</v>
      </c>
      <c r="N371" s="1002">
        <v>0</v>
      </c>
      <c r="O371" s="1002">
        <v>0</v>
      </c>
      <c r="P371" s="1002">
        <v>0</v>
      </c>
    </row>
    <row r="372" spans="1:16" hidden="1" x14ac:dyDescent="0.35">
      <c r="A372" t="s">
        <v>927</v>
      </c>
      <c r="B372" t="s">
        <v>1022</v>
      </c>
      <c r="C372" t="s">
        <v>1029</v>
      </c>
      <c r="D372" t="s">
        <v>1030</v>
      </c>
      <c r="E372" s="1002">
        <v>0.06</v>
      </c>
      <c r="F372" s="1002">
        <v>0</v>
      </c>
      <c r="G372" s="1002">
        <v>0</v>
      </c>
      <c r="H372" s="1002">
        <v>0</v>
      </c>
      <c r="I372" s="1002">
        <v>0</v>
      </c>
      <c r="J372" s="1002">
        <v>0.06</v>
      </c>
      <c r="K372" s="1002">
        <v>0</v>
      </c>
      <c r="L372" s="1002">
        <v>0</v>
      </c>
      <c r="M372" s="1002">
        <v>0</v>
      </c>
      <c r="N372" s="1002">
        <v>0</v>
      </c>
      <c r="O372" s="1002">
        <v>0</v>
      </c>
      <c r="P372" s="1002">
        <v>0</v>
      </c>
    </row>
    <row r="373" spans="1:16" hidden="1" x14ac:dyDescent="0.35">
      <c r="A373" t="s">
        <v>927</v>
      </c>
      <c r="B373" t="s">
        <v>1022</v>
      </c>
      <c r="C373" t="s">
        <v>1029</v>
      </c>
      <c r="D373" t="s">
        <v>1031</v>
      </c>
      <c r="E373" s="1002">
        <v>0</v>
      </c>
      <c r="F373" s="1002">
        <v>0</v>
      </c>
      <c r="G373" s="1002">
        <v>0</v>
      </c>
      <c r="H373" s="1002">
        <v>0</v>
      </c>
      <c r="I373" s="1002">
        <v>0</v>
      </c>
      <c r="J373" s="1002">
        <v>0</v>
      </c>
      <c r="K373" s="1002">
        <v>0</v>
      </c>
      <c r="L373" s="1002">
        <v>0</v>
      </c>
      <c r="M373" s="1002">
        <v>0</v>
      </c>
      <c r="N373" s="1002">
        <v>0</v>
      </c>
      <c r="O373" s="1002">
        <v>0</v>
      </c>
      <c r="P373" s="1002">
        <v>0</v>
      </c>
    </row>
    <row r="374" spans="1:16" hidden="1" x14ac:dyDescent="0.35">
      <c r="A374" t="s">
        <v>927</v>
      </c>
      <c r="B374" t="s">
        <v>1022</v>
      </c>
      <c r="C374" t="s">
        <v>1029</v>
      </c>
      <c r="D374" t="s">
        <v>1032</v>
      </c>
      <c r="E374" s="1002">
        <v>0.76500000000000001</v>
      </c>
      <c r="F374" s="1002">
        <v>0</v>
      </c>
      <c r="G374" s="1002">
        <v>0</v>
      </c>
      <c r="H374" s="1002">
        <v>0</v>
      </c>
      <c r="I374" s="1002">
        <v>0</v>
      </c>
      <c r="J374" s="1002">
        <v>0.76500000000000001</v>
      </c>
      <c r="K374" s="1002">
        <v>0</v>
      </c>
      <c r="L374" s="1002">
        <v>0</v>
      </c>
      <c r="M374" s="1002">
        <v>0</v>
      </c>
      <c r="N374" s="1002">
        <v>0</v>
      </c>
      <c r="O374" s="1002">
        <v>0</v>
      </c>
      <c r="P374" s="1002">
        <v>0</v>
      </c>
    </row>
    <row r="375" spans="1:16" hidden="1" x14ac:dyDescent="0.35">
      <c r="A375" t="s">
        <v>927</v>
      </c>
      <c r="B375" t="s">
        <v>1022</v>
      </c>
      <c r="C375" t="s">
        <v>1029</v>
      </c>
      <c r="D375" t="s">
        <v>1034</v>
      </c>
      <c r="E375" s="1002">
        <v>23.466999999999999</v>
      </c>
      <c r="F375" s="1002">
        <v>0</v>
      </c>
      <c r="G375" s="1002">
        <v>0</v>
      </c>
      <c r="H375" s="1002">
        <v>0</v>
      </c>
      <c r="I375" s="1002">
        <v>0</v>
      </c>
      <c r="J375" s="1002">
        <v>23.466999999999999</v>
      </c>
      <c r="K375" s="1002">
        <v>24.308</v>
      </c>
      <c r="L375" s="1002">
        <v>0</v>
      </c>
      <c r="M375" s="1002">
        <v>0</v>
      </c>
      <c r="N375" s="1002">
        <v>0</v>
      </c>
      <c r="O375" s="1002">
        <v>0</v>
      </c>
      <c r="P375" s="1002">
        <v>24.308</v>
      </c>
    </row>
    <row r="376" spans="1:16" hidden="1" x14ac:dyDescent="0.35">
      <c r="A376" t="s">
        <v>927</v>
      </c>
      <c r="B376" t="s">
        <v>1022</v>
      </c>
      <c r="C376" t="s">
        <v>1037</v>
      </c>
      <c r="D376" t="s">
        <v>1038</v>
      </c>
      <c r="E376" s="1002">
        <v>0</v>
      </c>
      <c r="F376" s="1002">
        <v>6.5000000000000002E-2</v>
      </c>
      <c r="G376" s="1002">
        <v>0</v>
      </c>
      <c r="H376" s="1002">
        <v>0</v>
      </c>
      <c r="I376" s="1002">
        <v>0</v>
      </c>
      <c r="J376" s="1002">
        <v>6.5000000000000002E-2</v>
      </c>
      <c r="K376" s="1002">
        <v>0</v>
      </c>
      <c r="L376" s="1002">
        <v>0</v>
      </c>
      <c r="M376" s="1002">
        <v>0</v>
      </c>
      <c r="N376" s="1002">
        <v>0</v>
      </c>
      <c r="O376" s="1002">
        <v>0</v>
      </c>
      <c r="P376" s="1002">
        <v>0</v>
      </c>
    </row>
    <row r="377" spans="1:16" hidden="1" x14ac:dyDescent="0.35">
      <c r="A377" t="s">
        <v>927</v>
      </c>
      <c r="B377" t="s">
        <v>1022</v>
      </c>
      <c r="C377" t="s">
        <v>1037</v>
      </c>
      <c r="D377" t="s">
        <v>1040</v>
      </c>
      <c r="E377" s="1002">
        <v>4.5</v>
      </c>
      <c r="F377" s="1002">
        <v>0</v>
      </c>
      <c r="G377" s="1002">
        <v>0</v>
      </c>
      <c r="H377" s="1002">
        <v>0</v>
      </c>
      <c r="I377" s="1002">
        <v>0</v>
      </c>
      <c r="J377" s="1002">
        <v>4.5</v>
      </c>
      <c r="K377" s="1002">
        <v>4.87</v>
      </c>
      <c r="L377" s="1002">
        <v>0</v>
      </c>
      <c r="M377" s="1002">
        <v>0</v>
      </c>
      <c r="N377" s="1002">
        <v>0</v>
      </c>
      <c r="O377" s="1002">
        <v>0</v>
      </c>
      <c r="P377" s="1002">
        <v>4.87</v>
      </c>
    </row>
    <row r="378" spans="1:16" hidden="1" x14ac:dyDescent="0.35">
      <c r="A378" t="s">
        <v>927</v>
      </c>
      <c r="B378" t="s">
        <v>1022</v>
      </c>
      <c r="C378" t="s">
        <v>1043</v>
      </c>
      <c r="D378" t="s">
        <v>1044</v>
      </c>
      <c r="E378" s="1002">
        <v>0</v>
      </c>
      <c r="F378" s="1002">
        <v>0</v>
      </c>
      <c r="G378" s="1002">
        <v>0</v>
      </c>
      <c r="H378" s="1002">
        <v>0</v>
      </c>
      <c r="I378" s="1002">
        <v>0</v>
      </c>
      <c r="J378" s="1002">
        <v>0</v>
      </c>
      <c r="K378" s="1002">
        <v>0</v>
      </c>
      <c r="L378" s="1002">
        <v>0</v>
      </c>
      <c r="M378" s="1002">
        <v>0</v>
      </c>
      <c r="N378" s="1002">
        <v>0</v>
      </c>
      <c r="O378" s="1002">
        <v>0</v>
      </c>
      <c r="P378" s="1002">
        <v>0</v>
      </c>
    </row>
    <row r="379" spans="1:16" hidden="1" x14ac:dyDescent="0.35">
      <c r="A379" t="s">
        <v>927</v>
      </c>
      <c r="B379" t="s">
        <v>1022</v>
      </c>
      <c r="C379" t="s">
        <v>1043</v>
      </c>
      <c r="D379" t="s">
        <v>1045</v>
      </c>
      <c r="E379" s="1002">
        <v>8.0960000000000001</v>
      </c>
      <c r="F379" s="1002">
        <v>0</v>
      </c>
      <c r="G379" s="1002">
        <v>0</v>
      </c>
      <c r="H379" s="1002">
        <v>0</v>
      </c>
      <c r="I379" s="1002">
        <v>0</v>
      </c>
      <c r="J379" s="1002">
        <v>8.0960000000000001</v>
      </c>
      <c r="K379" s="1002">
        <v>10.071</v>
      </c>
      <c r="L379" s="1002">
        <v>0</v>
      </c>
      <c r="M379" s="1002">
        <v>0</v>
      </c>
      <c r="N379" s="1002">
        <v>0</v>
      </c>
      <c r="O379" s="1002">
        <v>0</v>
      </c>
      <c r="P379" s="1002">
        <v>10.071</v>
      </c>
    </row>
    <row r="380" spans="1:16" hidden="1" x14ac:dyDescent="0.35">
      <c r="A380" t="s">
        <v>927</v>
      </c>
      <c r="B380" t="s">
        <v>1022</v>
      </c>
      <c r="C380" t="s">
        <v>1050</v>
      </c>
      <c r="D380" t="s">
        <v>1049</v>
      </c>
      <c r="E380" s="1002">
        <v>9.3000000000000007</v>
      </c>
      <c r="F380" s="1002">
        <v>0</v>
      </c>
      <c r="G380" s="1002">
        <v>2.9</v>
      </c>
      <c r="H380" s="1002">
        <v>0</v>
      </c>
      <c r="I380" s="1002">
        <v>0</v>
      </c>
      <c r="J380" s="1002">
        <v>12.200000000000001</v>
      </c>
      <c r="K380" s="1002">
        <v>2.9</v>
      </c>
      <c r="L380" s="1002">
        <v>0</v>
      </c>
      <c r="M380" s="1002">
        <v>6.1</v>
      </c>
      <c r="N380" s="1002">
        <v>0</v>
      </c>
      <c r="O380" s="1002">
        <v>0</v>
      </c>
      <c r="P380" s="1002">
        <v>9</v>
      </c>
    </row>
    <row r="381" spans="1:16" hidden="1" x14ac:dyDescent="0.35">
      <c r="A381" t="s">
        <v>927</v>
      </c>
      <c r="B381" t="s">
        <v>1022</v>
      </c>
      <c r="C381" t="s">
        <v>1056</v>
      </c>
      <c r="D381" t="s">
        <v>1055</v>
      </c>
      <c r="E381" s="1002">
        <v>0.58199999999999996</v>
      </c>
      <c r="F381" s="1002">
        <v>0</v>
      </c>
      <c r="G381" s="1002">
        <v>0</v>
      </c>
      <c r="H381" s="1002">
        <v>0</v>
      </c>
      <c r="I381" s="1002">
        <v>0</v>
      </c>
      <c r="J381" s="1002">
        <v>0.58199999999999996</v>
      </c>
      <c r="K381" s="1002">
        <v>0.54</v>
      </c>
      <c r="L381" s="1002">
        <v>0</v>
      </c>
      <c r="M381" s="1002">
        <v>0</v>
      </c>
      <c r="N381" s="1002">
        <v>0</v>
      </c>
      <c r="O381" s="1002">
        <v>0</v>
      </c>
      <c r="P381" s="1002">
        <v>0.54</v>
      </c>
    </row>
    <row r="382" spans="1:16" hidden="1" x14ac:dyDescent="0.35">
      <c r="A382" t="s">
        <v>927</v>
      </c>
      <c r="B382" t="s">
        <v>1022</v>
      </c>
      <c r="C382" t="s">
        <v>1056</v>
      </c>
      <c r="D382" t="s">
        <v>1058</v>
      </c>
      <c r="E382" s="1002">
        <v>0.6</v>
      </c>
      <c r="F382" s="1002">
        <v>0</v>
      </c>
      <c r="G382" s="1002">
        <v>0</v>
      </c>
      <c r="H382" s="1002">
        <v>0</v>
      </c>
      <c r="I382" s="1002">
        <v>0</v>
      </c>
      <c r="J382" s="1002">
        <v>0.6</v>
      </c>
      <c r="K382" s="1002">
        <v>0.6</v>
      </c>
      <c r="L382" s="1002">
        <v>0</v>
      </c>
      <c r="M382" s="1002">
        <v>0</v>
      </c>
      <c r="N382" s="1002">
        <v>0</v>
      </c>
      <c r="O382" s="1002">
        <v>0</v>
      </c>
      <c r="P382" s="1002">
        <v>0.6</v>
      </c>
    </row>
    <row r="383" spans="1:16" hidden="1" x14ac:dyDescent="0.35">
      <c r="A383" t="s">
        <v>927</v>
      </c>
      <c r="B383" t="s">
        <v>1022</v>
      </c>
      <c r="C383" t="s">
        <v>1061</v>
      </c>
      <c r="D383" t="s">
        <v>1061</v>
      </c>
      <c r="E383" s="1002">
        <v>4.9189999999999996</v>
      </c>
      <c r="F383" s="1002">
        <v>0</v>
      </c>
      <c r="G383" s="1002">
        <v>0</v>
      </c>
      <c r="H383" s="1002">
        <v>0</v>
      </c>
      <c r="I383" s="1002">
        <v>0</v>
      </c>
      <c r="J383" s="1002">
        <v>4.9189999999999996</v>
      </c>
      <c r="K383" s="1002">
        <v>4.617</v>
      </c>
      <c r="L383" s="1002">
        <v>0</v>
      </c>
      <c r="M383" s="1002">
        <v>0</v>
      </c>
      <c r="N383" s="1002">
        <v>0</v>
      </c>
      <c r="O383" s="1002">
        <v>0</v>
      </c>
      <c r="P383" s="1002">
        <v>4.617</v>
      </c>
    </row>
    <row r="384" spans="1:16" hidden="1" x14ac:dyDescent="0.35">
      <c r="A384" t="s">
        <v>927</v>
      </c>
      <c r="B384" t="s">
        <v>1068</v>
      </c>
      <c r="C384" t="s">
        <v>1066</v>
      </c>
      <c r="D384" t="s">
        <v>1067</v>
      </c>
      <c r="E384" s="1002">
        <v>0</v>
      </c>
      <c r="F384" s="1002">
        <v>0</v>
      </c>
      <c r="G384" s="1002">
        <v>0</v>
      </c>
      <c r="H384" s="1002">
        <v>0</v>
      </c>
      <c r="I384" s="1002">
        <v>0</v>
      </c>
      <c r="J384" s="1002">
        <v>0</v>
      </c>
      <c r="K384" s="1002">
        <v>0</v>
      </c>
      <c r="L384" s="1002">
        <v>0</v>
      </c>
      <c r="M384" s="1002">
        <v>0</v>
      </c>
      <c r="N384" s="1002">
        <v>0</v>
      </c>
      <c r="O384" s="1002">
        <v>0</v>
      </c>
      <c r="P384" s="1002">
        <v>0</v>
      </c>
    </row>
    <row r="385" spans="1:16" hidden="1" x14ac:dyDescent="0.35">
      <c r="A385" t="s">
        <v>927</v>
      </c>
      <c r="B385" t="s">
        <v>1068</v>
      </c>
      <c r="C385" t="s">
        <v>1066</v>
      </c>
      <c r="D385" t="s">
        <v>1070</v>
      </c>
      <c r="E385" s="1002">
        <v>0</v>
      </c>
      <c r="F385" s="1002">
        <v>0</v>
      </c>
      <c r="G385" s="1002">
        <v>0</v>
      </c>
      <c r="H385" s="1002">
        <v>0</v>
      </c>
      <c r="I385" s="1002">
        <v>0</v>
      </c>
      <c r="J385" s="1002">
        <v>0</v>
      </c>
      <c r="K385" s="1002">
        <v>0</v>
      </c>
      <c r="L385" s="1002">
        <v>0</v>
      </c>
      <c r="M385" s="1002">
        <v>0</v>
      </c>
      <c r="N385" s="1002">
        <v>0</v>
      </c>
      <c r="O385" s="1002">
        <v>0</v>
      </c>
      <c r="P385" s="1002">
        <v>0</v>
      </c>
    </row>
    <row r="386" spans="1:16" hidden="1" x14ac:dyDescent="0.35">
      <c r="A386" t="s">
        <v>927</v>
      </c>
      <c r="B386" t="s">
        <v>1068</v>
      </c>
      <c r="C386" t="s">
        <v>1072</v>
      </c>
      <c r="D386" t="s">
        <v>1072</v>
      </c>
      <c r="E386" s="1002">
        <v>0</v>
      </c>
      <c r="F386" s="1002">
        <v>0</v>
      </c>
      <c r="G386" s="1002">
        <v>0.5</v>
      </c>
      <c r="H386" s="1002">
        <v>0</v>
      </c>
      <c r="I386" s="1002">
        <v>0</v>
      </c>
      <c r="J386" s="1002">
        <v>0.5</v>
      </c>
      <c r="K386" s="1002">
        <v>0</v>
      </c>
      <c r="L386" s="1002">
        <v>0</v>
      </c>
      <c r="M386" s="1002">
        <v>0.5</v>
      </c>
      <c r="N386" s="1002">
        <v>-0.3</v>
      </c>
      <c r="O386" s="1002">
        <v>0</v>
      </c>
      <c r="P386" s="1002">
        <v>0.2</v>
      </c>
    </row>
    <row r="387" spans="1:16" hidden="1" x14ac:dyDescent="0.35">
      <c r="A387" t="s">
        <v>927</v>
      </c>
      <c r="B387" t="s">
        <v>1068</v>
      </c>
      <c r="C387" t="s">
        <v>1076</v>
      </c>
      <c r="D387" t="s">
        <v>1076</v>
      </c>
      <c r="E387" s="1002">
        <v>6</v>
      </c>
      <c r="F387" s="1002">
        <v>0</v>
      </c>
      <c r="G387" s="1002">
        <v>8</v>
      </c>
      <c r="H387" s="1002">
        <v>0</v>
      </c>
      <c r="I387" s="1002">
        <v>0</v>
      </c>
      <c r="J387" s="1002">
        <v>14</v>
      </c>
      <c r="K387" s="1002">
        <v>6.5</v>
      </c>
      <c r="L387" s="1002">
        <v>0</v>
      </c>
      <c r="M387" s="1002">
        <v>8</v>
      </c>
      <c r="N387" s="1002">
        <v>0</v>
      </c>
      <c r="O387" s="1002">
        <v>0</v>
      </c>
      <c r="P387" s="1002">
        <v>14.5</v>
      </c>
    </row>
    <row r="388" spans="1:16" hidden="1" x14ac:dyDescent="0.35">
      <c r="A388" t="s">
        <v>927</v>
      </c>
      <c r="B388" t="s">
        <v>1068</v>
      </c>
      <c r="C388" t="s">
        <v>1080</v>
      </c>
      <c r="D388" t="s">
        <v>1080</v>
      </c>
      <c r="E388" s="1002">
        <v>0</v>
      </c>
      <c r="F388" s="1002">
        <v>0</v>
      </c>
      <c r="G388" s="1002">
        <v>0</v>
      </c>
      <c r="H388" s="1002">
        <v>0</v>
      </c>
      <c r="I388" s="1002">
        <v>0</v>
      </c>
      <c r="J388" s="1002">
        <v>0</v>
      </c>
      <c r="K388" s="1002">
        <v>0</v>
      </c>
      <c r="L388" s="1002">
        <v>0</v>
      </c>
      <c r="M388" s="1002">
        <v>0</v>
      </c>
      <c r="N388" s="1002">
        <v>0</v>
      </c>
      <c r="O388" s="1002">
        <v>0</v>
      </c>
      <c r="P388" s="1002">
        <v>0</v>
      </c>
    </row>
    <row r="389" spans="1:16" hidden="1" x14ac:dyDescent="0.35">
      <c r="A389" t="s">
        <v>927</v>
      </c>
      <c r="B389" t="s">
        <v>1085</v>
      </c>
      <c r="C389" t="s">
        <v>1086</v>
      </c>
      <c r="D389" t="s">
        <v>1084</v>
      </c>
      <c r="E389" s="1002">
        <v>69.584999999999994</v>
      </c>
      <c r="F389" s="1002">
        <v>6.149</v>
      </c>
      <c r="G389" s="1002">
        <v>7.3</v>
      </c>
      <c r="H389" s="1002">
        <v>0</v>
      </c>
      <c r="I389" s="1002">
        <v>0</v>
      </c>
      <c r="J389" s="1002">
        <v>83.033999999999992</v>
      </c>
      <c r="K389" s="1002">
        <v>66.599999999999994</v>
      </c>
      <c r="L389" s="1002">
        <v>5.74</v>
      </c>
      <c r="M389" s="1002">
        <v>7.3</v>
      </c>
      <c r="N389" s="1002">
        <v>0</v>
      </c>
      <c r="O389" s="1002">
        <v>0</v>
      </c>
      <c r="P389" s="1002">
        <v>79.639999999999986</v>
      </c>
    </row>
    <row r="390" spans="1:16" hidden="1" x14ac:dyDescent="0.35">
      <c r="A390" t="s">
        <v>927</v>
      </c>
      <c r="B390" t="s">
        <v>1090</v>
      </c>
      <c r="C390" t="s">
        <v>1091</v>
      </c>
      <c r="D390" t="s">
        <v>1091</v>
      </c>
      <c r="E390" s="1002">
        <v>0.78400000000000003</v>
      </c>
      <c r="F390" s="1002">
        <v>0</v>
      </c>
      <c r="G390" s="1002">
        <v>1.3</v>
      </c>
      <c r="H390" s="1002">
        <v>0</v>
      </c>
      <c r="I390" s="1002">
        <v>0</v>
      </c>
      <c r="J390" s="1002">
        <v>2.0840000000000001</v>
      </c>
      <c r="K390" s="1002">
        <v>0.9</v>
      </c>
      <c r="L390" s="1002">
        <v>0</v>
      </c>
      <c r="M390" s="1002">
        <v>0</v>
      </c>
      <c r="N390" s="1002">
        <v>0</v>
      </c>
      <c r="O390" s="1002">
        <v>0</v>
      </c>
      <c r="P390" s="1002">
        <v>0.9</v>
      </c>
    </row>
    <row r="391" spans="1:16" hidden="1" x14ac:dyDescent="0.35">
      <c r="A391" t="s">
        <v>927</v>
      </c>
      <c r="B391" t="s">
        <v>1090</v>
      </c>
      <c r="C391" t="s">
        <v>1095</v>
      </c>
      <c r="D391" t="s">
        <v>1095</v>
      </c>
      <c r="E391" s="1002">
        <v>0</v>
      </c>
      <c r="F391" s="1002">
        <v>0</v>
      </c>
      <c r="G391" s="1002">
        <v>0</v>
      </c>
      <c r="H391" s="1002">
        <v>0</v>
      </c>
      <c r="I391" s="1002">
        <v>0</v>
      </c>
      <c r="J391" s="1002">
        <v>0</v>
      </c>
      <c r="K391" s="1002">
        <v>0</v>
      </c>
      <c r="L391" s="1002">
        <v>0</v>
      </c>
      <c r="M391" s="1002">
        <v>0</v>
      </c>
      <c r="N391" s="1002">
        <v>0</v>
      </c>
      <c r="O391" s="1002">
        <v>0</v>
      </c>
      <c r="P391" s="1002">
        <v>0</v>
      </c>
    </row>
    <row r="392" spans="1:16" hidden="1" x14ac:dyDescent="0.35">
      <c r="A392" t="s">
        <v>927</v>
      </c>
      <c r="B392" t="s">
        <v>1090</v>
      </c>
      <c r="C392" t="s">
        <v>1092</v>
      </c>
      <c r="D392" t="s">
        <v>1092</v>
      </c>
      <c r="E392" s="1002">
        <v>0.379</v>
      </c>
      <c r="F392" s="1002">
        <v>0</v>
      </c>
      <c r="G392" s="1002">
        <v>3</v>
      </c>
      <c r="H392" s="1002">
        <v>0</v>
      </c>
      <c r="I392" s="1002">
        <v>0</v>
      </c>
      <c r="J392" s="1002">
        <v>3.379</v>
      </c>
      <c r="K392" s="1002">
        <v>1.5</v>
      </c>
      <c r="L392" s="1002">
        <v>0</v>
      </c>
      <c r="M392" s="1002">
        <v>5.3</v>
      </c>
      <c r="N392" s="1002">
        <v>0</v>
      </c>
      <c r="O392" s="1002">
        <v>0</v>
      </c>
      <c r="P392" s="1002">
        <v>6.8</v>
      </c>
    </row>
    <row r="393" spans="1:16" hidden="1" x14ac:dyDescent="0.35">
      <c r="A393" t="s">
        <v>927</v>
      </c>
      <c r="B393" t="s">
        <v>1100</v>
      </c>
      <c r="C393" t="s">
        <v>1100</v>
      </c>
      <c r="D393" t="s">
        <v>1100</v>
      </c>
      <c r="E393" s="1002">
        <v>5</v>
      </c>
      <c r="F393" s="1002">
        <v>0</v>
      </c>
      <c r="G393" s="1002">
        <v>5</v>
      </c>
      <c r="H393" s="1002">
        <v>0</v>
      </c>
      <c r="I393" s="1002">
        <v>0</v>
      </c>
      <c r="J393" s="1002">
        <v>10</v>
      </c>
      <c r="K393" s="1002">
        <v>4.78</v>
      </c>
      <c r="L393" s="1002">
        <v>0</v>
      </c>
      <c r="M393" s="1002">
        <v>5</v>
      </c>
      <c r="N393" s="1002">
        <v>0</v>
      </c>
      <c r="O393" s="1002">
        <v>0</v>
      </c>
      <c r="P393" s="1002">
        <v>9.7800000000000011</v>
      </c>
    </row>
    <row r="394" spans="1:16" hidden="1" x14ac:dyDescent="0.35">
      <c r="A394" t="s">
        <v>927</v>
      </c>
      <c r="B394" t="s">
        <v>1100</v>
      </c>
      <c r="C394" t="s">
        <v>1102</v>
      </c>
      <c r="D394" t="s">
        <v>1102</v>
      </c>
      <c r="E394" s="1002">
        <v>1.615</v>
      </c>
      <c r="F394" s="1002">
        <v>0</v>
      </c>
      <c r="G394" s="1002">
        <v>0</v>
      </c>
      <c r="H394" s="1002">
        <v>0</v>
      </c>
      <c r="I394" s="1002">
        <v>0</v>
      </c>
      <c r="J394" s="1002">
        <v>1.615</v>
      </c>
      <c r="K394" s="1002">
        <v>1.68</v>
      </c>
      <c r="L394" s="1002">
        <v>0</v>
      </c>
      <c r="M394" s="1002">
        <v>0</v>
      </c>
      <c r="N394" s="1002">
        <v>0</v>
      </c>
      <c r="O394" s="1002">
        <v>0</v>
      </c>
      <c r="P394" s="1002">
        <v>1.68</v>
      </c>
    </row>
    <row r="395" spans="1:16" hidden="1" x14ac:dyDescent="0.35">
      <c r="A395" t="s">
        <v>927</v>
      </c>
      <c r="B395" t="s">
        <v>1105</v>
      </c>
      <c r="C395" t="s">
        <v>1106</v>
      </c>
      <c r="D395" t="s">
        <v>1106</v>
      </c>
      <c r="E395" s="1002">
        <v>19.561</v>
      </c>
      <c r="F395" s="1002">
        <v>0</v>
      </c>
      <c r="G395" s="1002">
        <v>0.39</v>
      </c>
      <c r="H395" s="1002">
        <v>0</v>
      </c>
      <c r="I395" s="1002">
        <v>0</v>
      </c>
      <c r="J395" s="1002">
        <v>19.951000000000001</v>
      </c>
      <c r="K395" s="1002">
        <v>23.167999999999996</v>
      </c>
      <c r="L395" s="1002">
        <v>0</v>
      </c>
      <c r="M395" s="1002">
        <v>1.2210000000000001</v>
      </c>
      <c r="N395" s="1002">
        <v>0</v>
      </c>
      <c r="O395" s="1002">
        <v>0</v>
      </c>
      <c r="P395" s="1002">
        <v>24.388999999999996</v>
      </c>
    </row>
    <row r="396" spans="1:16" hidden="1" x14ac:dyDescent="0.35">
      <c r="A396" t="s">
        <v>927</v>
      </c>
      <c r="B396" t="s">
        <v>1105</v>
      </c>
      <c r="C396" t="s">
        <v>736</v>
      </c>
      <c r="D396" t="s">
        <v>736</v>
      </c>
      <c r="E396" s="1002">
        <v>0</v>
      </c>
      <c r="F396" s="1002">
        <v>0.60699999999999998</v>
      </c>
      <c r="G396" s="1002">
        <v>0</v>
      </c>
      <c r="H396" s="1002">
        <v>0</v>
      </c>
      <c r="I396" s="1002">
        <v>0</v>
      </c>
      <c r="J396" s="1002">
        <v>0.60699999999999998</v>
      </c>
      <c r="K396" s="1002">
        <v>0</v>
      </c>
      <c r="L396" s="1002">
        <v>1.0109999999999999</v>
      </c>
      <c r="M396" s="1002">
        <v>0</v>
      </c>
      <c r="N396" s="1002">
        <v>0</v>
      </c>
      <c r="O396" s="1002">
        <v>0</v>
      </c>
      <c r="P396" s="1002">
        <v>1.0109999999999999</v>
      </c>
    </row>
    <row r="397" spans="1:16" hidden="1" x14ac:dyDescent="0.35">
      <c r="A397" t="s">
        <v>927</v>
      </c>
      <c r="B397" t="s">
        <v>1105</v>
      </c>
      <c r="C397" t="s">
        <v>1111</v>
      </c>
      <c r="D397" t="s">
        <v>1111</v>
      </c>
      <c r="E397" s="1002">
        <v>20.466999999999999</v>
      </c>
      <c r="F397" s="1002">
        <v>0</v>
      </c>
      <c r="G397" s="1002">
        <v>24.9</v>
      </c>
      <c r="H397" s="1002">
        <v>0</v>
      </c>
      <c r="I397" s="1002">
        <v>0</v>
      </c>
      <c r="J397" s="1002">
        <v>45.366999999999997</v>
      </c>
      <c r="K397" s="1002">
        <v>22</v>
      </c>
      <c r="L397" s="1002">
        <v>0</v>
      </c>
      <c r="M397" s="1002">
        <v>31</v>
      </c>
      <c r="N397" s="1002">
        <v>0</v>
      </c>
      <c r="O397" s="1002">
        <v>0</v>
      </c>
      <c r="P397" s="1002">
        <v>53</v>
      </c>
    </row>
    <row r="398" spans="1:16" hidden="1" x14ac:dyDescent="0.35">
      <c r="A398" t="s">
        <v>927</v>
      </c>
      <c r="B398" t="s">
        <v>1105</v>
      </c>
      <c r="C398" t="s">
        <v>1114</v>
      </c>
      <c r="D398" t="s">
        <v>1114</v>
      </c>
      <c r="E398" s="1002">
        <v>2.5710000000000002</v>
      </c>
      <c r="F398" s="1002">
        <v>0</v>
      </c>
      <c r="G398" s="1002">
        <v>1.7</v>
      </c>
      <c r="H398" s="1002">
        <v>0</v>
      </c>
      <c r="I398" s="1002">
        <v>0</v>
      </c>
      <c r="J398" s="1002">
        <v>4.2709999999999999</v>
      </c>
      <c r="K398" s="1002">
        <v>2.73</v>
      </c>
      <c r="L398" s="1002">
        <v>0</v>
      </c>
      <c r="M398" s="1002">
        <v>2</v>
      </c>
      <c r="N398" s="1002">
        <v>0</v>
      </c>
      <c r="O398" s="1002">
        <v>0</v>
      </c>
      <c r="P398" s="1002">
        <v>4.7300000000000004</v>
      </c>
    </row>
    <row r="399" spans="1:16" hidden="1" x14ac:dyDescent="0.35">
      <c r="A399" t="s">
        <v>927</v>
      </c>
      <c r="B399" t="s">
        <v>1105</v>
      </c>
      <c r="C399" t="s">
        <v>1116</v>
      </c>
      <c r="D399" t="s">
        <v>1116</v>
      </c>
      <c r="E399" s="1002">
        <v>0</v>
      </c>
      <c r="F399" s="1002">
        <v>0</v>
      </c>
      <c r="G399" s="1002">
        <v>0</v>
      </c>
      <c r="H399" s="1002">
        <v>0</v>
      </c>
      <c r="I399" s="1002">
        <v>0</v>
      </c>
      <c r="J399" s="1002">
        <v>0</v>
      </c>
      <c r="K399" s="1002">
        <v>0</v>
      </c>
      <c r="L399" s="1002">
        <v>0</v>
      </c>
      <c r="M399" s="1002">
        <v>0</v>
      </c>
      <c r="N399" s="1002">
        <v>0</v>
      </c>
      <c r="O399" s="1002">
        <v>0</v>
      </c>
      <c r="P399" s="1002">
        <v>0</v>
      </c>
    </row>
    <row r="400" spans="1:16" hidden="1" x14ac:dyDescent="0.35">
      <c r="A400" t="s">
        <v>927</v>
      </c>
      <c r="B400" t="s">
        <v>1119</v>
      </c>
      <c r="C400" t="s">
        <v>0</v>
      </c>
      <c r="D400" t="s">
        <v>0</v>
      </c>
      <c r="E400" s="1002">
        <v>16.494</v>
      </c>
      <c r="F400" s="1002">
        <v>0</v>
      </c>
      <c r="G400" s="1002">
        <v>0</v>
      </c>
      <c r="H400" s="1002">
        <v>0</v>
      </c>
      <c r="I400" s="1002">
        <v>0</v>
      </c>
      <c r="J400" s="1002">
        <v>16.494</v>
      </c>
      <c r="K400" s="1002">
        <v>15.6</v>
      </c>
      <c r="L400" s="1002">
        <v>0</v>
      </c>
      <c r="M400" s="1002">
        <v>0</v>
      </c>
      <c r="N400" s="1002">
        <v>0</v>
      </c>
      <c r="O400" s="1002">
        <v>0</v>
      </c>
      <c r="P400" s="1002">
        <v>15.6</v>
      </c>
    </row>
    <row r="401" spans="1:16" hidden="1" x14ac:dyDescent="0.35">
      <c r="A401" t="s">
        <v>927</v>
      </c>
      <c r="B401" t="s">
        <v>1119</v>
      </c>
      <c r="C401" t="s">
        <v>1</v>
      </c>
      <c r="D401" t="s">
        <v>1</v>
      </c>
      <c r="E401" s="1002">
        <v>0</v>
      </c>
      <c r="F401" s="1002">
        <v>0</v>
      </c>
      <c r="G401" s="1002">
        <v>15</v>
      </c>
      <c r="H401" s="1002">
        <v>0</v>
      </c>
      <c r="I401" s="1002">
        <v>0</v>
      </c>
      <c r="J401" s="1002">
        <v>15</v>
      </c>
      <c r="K401" s="1002">
        <v>0</v>
      </c>
      <c r="L401" s="1002">
        <v>0</v>
      </c>
      <c r="M401" s="1002">
        <v>11.6</v>
      </c>
      <c r="N401" s="1002">
        <v>0</v>
      </c>
      <c r="O401" s="1002">
        <v>0</v>
      </c>
      <c r="P401" s="1002">
        <v>11.6</v>
      </c>
    </row>
    <row r="402" spans="1:16" hidden="1" x14ac:dyDescent="0.35">
      <c r="A402" t="s">
        <v>927</v>
      </c>
      <c r="B402" t="s">
        <v>1124</v>
      </c>
      <c r="C402" t="s">
        <v>1125</v>
      </c>
      <c r="D402" t="s">
        <v>1126</v>
      </c>
      <c r="E402" s="1002">
        <v>0.40100000000000002</v>
      </c>
      <c r="F402" s="1002">
        <v>0</v>
      </c>
      <c r="G402" s="1002">
        <v>2.0179999999999998</v>
      </c>
      <c r="H402" s="1002">
        <v>-0.1</v>
      </c>
      <c r="I402" s="1002">
        <v>0</v>
      </c>
      <c r="J402" s="1002">
        <v>2.3189999999999995</v>
      </c>
      <c r="K402" s="1002">
        <v>1.61</v>
      </c>
      <c r="L402" s="1002">
        <v>0</v>
      </c>
      <c r="M402" s="1002">
        <v>3.5</v>
      </c>
      <c r="N402" s="1002">
        <v>0</v>
      </c>
      <c r="O402" s="1002">
        <v>0</v>
      </c>
      <c r="P402" s="1002">
        <v>5.1100000000000003</v>
      </c>
    </row>
    <row r="403" spans="1:16" hidden="1" x14ac:dyDescent="0.35">
      <c r="A403" t="s">
        <v>927</v>
      </c>
      <c r="B403" t="s">
        <v>1124</v>
      </c>
      <c r="C403" t="s">
        <v>1125</v>
      </c>
      <c r="D403" t="s">
        <v>1129</v>
      </c>
      <c r="E403" s="1002">
        <v>3.29</v>
      </c>
      <c r="F403" s="1002">
        <v>0</v>
      </c>
      <c r="G403" s="1002">
        <v>10.695</v>
      </c>
      <c r="H403" s="1002">
        <v>0</v>
      </c>
      <c r="I403" s="1002">
        <v>0</v>
      </c>
      <c r="J403" s="1002">
        <v>13.984999999999999</v>
      </c>
      <c r="K403" s="1002">
        <v>6.5</v>
      </c>
      <c r="L403" s="1002">
        <v>0</v>
      </c>
      <c r="M403" s="1002">
        <v>29</v>
      </c>
      <c r="N403" s="1002">
        <v>0</v>
      </c>
      <c r="O403" s="1002">
        <v>0</v>
      </c>
      <c r="P403" s="1002">
        <v>35.5</v>
      </c>
    </row>
    <row r="404" spans="1:16" hidden="1" x14ac:dyDescent="0.35">
      <c r="A404" t="s">
        <v>927</v>
      </c>
      <c r="B404" t="s">
        <v>1124</v>
      </c>
      <c r="C404" t="s">
        <v>1133</v>
      </c>
      <c r="D404" t="s">
        <v>1134</v>
      </c>
      <c r="E404" s="1002">
        <v>0</v>
      </c>
      <c r="F404" s="1002">
        <v>0</v>
      </c>
      <c r="G404" s="1002">
        <v>2.1850000000000001</v>
      </c>
      <c r="H404" s="1002">
        <v>0</v>
      </c>
      <c r="I404" s="1002">
        <v>0</v>
      </c>
      <c r="J404" s="1002">
        <v>2.1850000000000001</v>
      </c>
      <c r="K404" s="1002">
        <v>0</v>
      </c>
      <c r="L404" s="1002">
        <v>0</v>
      </c>
      <c r="M404" s="1002">
        <v>2.0499999999999998</v>
      </c>
      <c r="N404" s="1002">
        <v>0</v>
      </c>
      <c r="O404" s="1002">
        <v>0</v>
      </c>
      <c r="P404" s="1002">
        <v>2.0499999999999998</v>
      </c>
    </row>
    <row r="405" spans="1:16" hidden="1" x14ac:dyDescent="0.35">
      <c r="A405" t="s">
        <v>927</v>
      </c>
      <c r="B405" t="s">
        <v>1124</v>
      </c>
      <c r="C405" t="s">
        <v>1133</v>
      </c>
      <c r="D405" t="s">
        <v>1137</v>
      </c>
      <c r="E405" s="1002">
        <v>7.181</v>
      </c>
      <c r="F405" s="1002">
        <v>0</v>
      </c>
      <c r="G405" s="1002">
        <v>0</v>
      </c>
      <c r="H405" s="1002">
        <v>0</v>
      </c>
      <c r="I405" s="1002">
        <v>0</v>
      </c>
      <c r="J405" s="1002">
        <v>7.181</v>
      </c>
      <c r="K405" s="1002">
        <v>7.8360000000000003</v>
      </c>
      <c r="L405" s="1002">
        <v>0</v>
      </c>
      <c r="M405" s="1002">
        <v>0</v>
      </c>
      <c r="N405" s="1002">
        <v>0</v>
      </c>
      <c r="O405" s="1002">
        <v>0</v>
      </c>
      <c r="P405" s="1002">
        <v>7.8360000000000003</v>
      </c>
    </row>
    <row r="406" spans="1:16" hidden="1" x14ac:dyDescent="0.35">
      <c r="A406" t="s">
        <v>927</v>
      </c>
      <c r="B406" t="s">
        <v>1124</v>
      </c>
      <c r="C406" t="s">
        <v>1133</v>
      </c>
      <c r="D406" t="s">
        <v>1140</v>
      </c>
      <c r="E406" s="1002">
        <v>0</v>
      </c>
      <c r="F406" s="1002">
        <v>0.8</v>
      </c>
      <c r="G406" s="1002">
        <v>0</v>
      </c>
      <c r="H406" s="1002">
        <v>0</v>
      </c>
      <c r="I406" s="1002">
        <v>0</v>
      </c>
      <c r="J406" s="1002">
        <v>0.8</v>
      </c>
      <c r="K406" s="1002">
        <v>0</v>
      </c>
      <c r="L406" s="1002">
        <v>0.78</v>
      </c>
      <c r="M406" s="1002">
        <v>0</v>
      </c>
      <c r="N406" s="1002">
        <v>0</v>
      </c>
      <c r="O406" s="1002">
        <v>0</v>
      </c>
      <c r="P406" s="1002">
        <v>0.78</v>
      </c>
    </row>
    <row r="407" spans="1:16" hidden="1" x14ac:dyDescent="0.35">
      <c r="A407" t="s">
        <v>927</v>
      </c>
      <c r="B407" t="s">
        <v>1124</v>
      </c>
      <c r="C407" t="s">
        <v>1133</v>
      </c>
      <c r="D407" t="s">
        <v>1142</v>
      </c>
      <c r="E407" s="1002">
        <v>2.585</v>
      </c>
      <c r="F407" s="1002">
        <v>0</v>
      </c>
      <c r="G407" s="1002">
        <v>0</v>
      </c>
      <c r="H407" s="1002">
        <v>0</v>
      </c>
      <c r="I407" s="1002">
        <v>8.9999999999999993E-3</v>
      </c>
      <c r="J407" s="1002">
        <v>2.5939999999999999</v>
      </c>
      <c r="K407" s="1002">
        <v>2.4449999999999998</v>
      </c>
      <c r="L407" s="1002">
        <v>0</v>
      </c>
      <c r="M407" s="1002">
        <v>0</v>
      </c>
      <c r="N407" s="1002">
        <v>0</v>
      </c>
      <c r="O407" s="1002">
        <v>6.0000000000000001E-3</v>
      </c>
      <c r="P407" s="1002">
        <v>2.4509999999999996</v>
      </c>
    </row>
    <row r="408" spans="1:16" hidden="1" x14ac:dyDescent="0.35">
      <c r="A408" t="s">
        <v>927</v>
      </c>
      <c r="B408" t="s">
        <v>1124</v>
      </c>
      <c r="C408" t="s">
        <v>1133</v>
      </c>
      <c r="D408" t="s">
        <v>1145</v>
      </c>
      <c r="E408" s="1002">
        <v>0</v>
      </c>
      <c r="F408" s="1002">
        <v>0</v>
      </c>
      <c r="G408" s="1002">
        <v>3.31</v>
      </c>
      <c r="H408" s="1002">
        <v>0</v>
      </c>
      <c r="I408" s="1002">
        <v>0</v>
      </c>
      <c r="J408" s="1002">
        <v>3.31</v>
      </c>
      <c r="K408" s="1002">
        <v>0</v>
      </c>
      <c r="L408" s="1002">
        <v>0</v>
      </c>
      <c r="M408" s="1002">
        <v>1.75</v>
      </c>
      <c r="N408" s="1002">
        <v>0</v>
      </c>
      <c r="O408" s="1002">
        <v>0</v>
      </c>
      <c r="P408" s="1002">
        <v>1.75</v>
      </c>
    </row>
    <row r="409" spans="1:16" hidden="1" x14ac:dyDescent="0.35">
      <c r="A409" t="s">
        <v>927</v>
      </c>
      <c r="B409" t="s">
        <v>1124</v>
      </c>
      <c r="C409" t="s">
        <v>1133</v>
      </c>
      <c r="D409" t="s">
        <v>1147</v>
      </c>
      <c r="E409" s="1002">
        <v>5.8179999999999996</v>
      </c>
      <c r="F409" s="1002">
        <v>0</v>
      </c>
      <c r="G409" s="1002">
        <v>0</v>
      </c>
      <c r="H409" s="1002">
        <v>0</v>
      </c>
      <c r="I409" s="1002">
        <v>0</v>
      </c>
      <c r="J409" s="1002">
        <v>5.8179999999999996</v>
      </c>
      <c r="K409" s="1002">
        <v>5.9930000000000003</v>
      </c>
      <c r="L409" s="1002">
        <v>0</v>
      </c>
      <c r="M409" s="1002">
        <v>0</v>
      </c>
      <c r="N409" s="1002">
        <v>0</v>
      </c>
      <c r="O409" s="1002">
        <v>0</v>
      </c>
      <c r="P409" s="1002">
        <v>5.9930000000000003</v>
      </c>
    </row>
    <row r="410" spans="1:16" hidden="1" x14ac:dyDescent="0.35">
      <c r="A410" t="s">
        <v>927</v>
      </c>
      <c r="B410" t="s">
        <v>1124</v>
      </c>
      <c r="C410" t="s">
        <v>1133</v>
      </c>
      <c r="D410" t="s">
        <v>1150</v>
      </c>
      <c r="E410" s="1002">
        <v>0</v>
      </c>
      <c r="F410" s="1002">
        <v>0.35</v>
      </c>
      <c r="G410" s="1002">
        <v>0</v>
      </c>
      <c r="H410" s="1002">
        <v>0</v>
      </c>
      <c r="I410" s="1002">
        <v>0</v>
      </c>
      <c r="J410" s="1002">
        <v>0.35</v>
      </c>
      <c r="K410" s="1002">
        <v>0</v>
      </c>
      <c r="L410" s="1002">
        <v>0.35</v>
      </c>
      <c r="M410" s="1002">
        <v>0</v>
      </c>
      <c r="N410" s="1002">
        <v>0</v>
      </c>
      <c r="O410" s="1002">
        <v>0</v>
      </c>
      <c r="P410" s="1002">
        <v>0.35</v>
      </c>
    </row>
    <row r="411" spans="1:16" hidden="1" x14ac:dyDescent="0.35">
      <c r="A411" t="s">
        <v>927</v>
      </c>
      <c r="B411" t="s">
        <v>1124</v>
      </c>
      <c r="C411" t="s">
        <v>1133</v>
      </c>
      <c r="D411" t="s">
        <v>1151</v>
      </c>
      <c r="E411" s="1002">
        <v>1.7829999999999999</v>
      </c>
      <c r="F411" s="1002">
        <v>0</v>
      </c>
      <c r="G411" s="1002">
        <v>0</v>
      </c>
      <c r="H411" s="1002">
        <v>0</v>
      </c>
      <c r="I411" s="1002">
        <v>0</v>
      </c>
      <c r="J411" s="1002">
        <v>1.7829999999999999</v>
      </c>
      <c r="K411" s="1002">
        <v>1.873</v>
      </c>
      <c r="L411" s="1002">
        <v>0</v>
      </c>
      <c r="M411" s="1002">
        <v>0</v>
      </c>
      <c r="N411" s="1002">
        <v>0</v>
      </c>
      <c r="O411" s="1002">
        <v>0</v>
      </c>
      <c r="P411" s="1002">
        <v>1.873</v>
      </c>
    </row>
    <row r="412" spans="1:16" hidden="1" x14ac:dyDescent="0.35">
      <c r="A412" t="s">
        <v>927</v>
      </c>
      <c r="B412" t="s">
        <v>1156</v>
      </c>
      <c r="C412" t="s">
        <v>1157</v>
      </c>
      <c r="D412" t="s">
        <v>1158</v>
      </c>
      <c r="E412" s="1002">
        <v>3.6859999999999999</v>
      </c>
      <c r="F412" s="1002">
        <v>0</v>
      </c>
      <c r="G412" s="1002">
        <v>0</v>
      </c>
      <c r="H412" s="1002">
        <v>0</v>
      </c>
      <c r="I412" s="1002">
        <v>0</v>
      </c>
      <c r="J412" s="1002">
        <v>3.6859999999999999</v>
      </c>
      <c r="K412" s="1002">
        <v>3.9299999999999997</v>
      </c>
      <c r="L412" s="1002">
        <v>0</v>
      </c>
      <c r="M412" s="1002">
        <v>0</v>
      </c>
      <c r="N412" s="1002">
        <v>0</v>
      </c>
      <c r="O412" s="1002">
        <v>0</v>
      </c>
      <c r="P412" s="1002">
        <v>3.9299999999999997</v>
      </c>
    </row>
    <row r="413" spans="1:16" hidden="1" x14ac:dyDescent="0.35">
      <c r="A413" t="s">
        <v>927</v>
      </c>
      <c r="B413" t="s">
        <v>1156</v>
      </c>
      <c r="C413" t="s">
        <v>1161</v>
      </c>
      <c r="D413" t="s">
        <v>1162</v>
      </c>
      <c r="E413" s="1002">
        <v>15.835000000000001</v>
      </c>
      <c r="F413" s="1002">
        <v>0</v>
      </c>
      <c r="G413" s="1002">
        <v>0</v>
      </c>
      <c r="H413" s="1002">
        <v>0</v>
      </c>
      <c r="I413" s="1002">
        <v>0</v>
      </c>
      <c r="J413" s="1002">
        <v>15.835000000000001</v>
      </c>
      <c r="K413" s="1002">
        <v>16.923000000000002</v>
      </c>
      <c r="L413" s="1002">
        <v>0</v>
      </c>
      <c r="M413" s="1002">
        <v>0</v>
      </c>
      <c r="N413" s="1002">
        <v>0</v>
      </c>
      <c r="O413" s="1002">
        <v>0</v>
      </c>
      <c r="P413" s="1002">
        <v>16.923000000000002</v>
      </c>
    </row>
    <row r="414" spans="1:16" hidden="1" x14ac:dyDescent="0.35">
      <c r="A414" t="s">
        <v>927</v>
      </c>
      <c r="B414" t="s">
        <v>1156</v>
      </c>
      <c r="C414" t="s">
        <v>1161</v>
      </c>
      <c r="D414" t="s">
        <v>1165</v>
      </c>
      <c r="E414" s="1002">
        <v>0</v>
      </c>
      <c r="F414" s="1002">
        <v>0</v>
      </c>
      <c r="G414" s="1002">
        <v>31.8</v>
      </c>
      <c r="H414" s="1002">
        <v>0</v>
      </c>
      <c r="I414" s="1002">
        <v>0</v>
      </c>
      <c r="J414" s="1002">
        <v>31.8</v>
      </c>
      <c r="K414" s="1002">
        <v>0</v>
      </c>
      <c r="L414" s="1002">
        <v>0</v>
      </c>
      <c r="M414" s="1002">
        <v>32.799999999999997</v>
      </c>
      <c r="N414" s="1002">
        <v>0</v>
      </c>
      <c r="O414" s="1002">
        <v>0</v>
      </c>
      <c r="P414" s="1002">
        <v>32.799999999999997</v>
      </c>
    </row>
    <row r="415" spans="1:16" hidden="1" x14ac:dyDescent="0.35">
      <c r="A415" t="s">
        <v>927</v>
      </c>
      <c r="B415" t="s">
        <v>1156</v>
      </c>
      <c r="C415" t="s">
        <v>1161</v>
      </c>
      <c r="D415" t="s">
        <v>1168</v>
      </c>
      <c r="E415" s="1002">
        <v>0</v>
      </c>
      <c r="F415" s="1002">
        <v>0.2</v>
      </c>
      <c r="G415" s="1002">
        <v>0</v>
      </c>
      <c r="H415" s="1002">
        <v>0</v>
      </c>
      <c r="I415" s="1002">
        <v>0</v>
      </c>
      <c r="J415" s="1002">
        <v>0.2</v>
      </c>
      <c r="K415" s="1002">
        <v>0</v>
      </c>
      <c r="L415" s="1002">
        <v>0.2</v>
      </c>
      <c r="M415" s="1002">
        <v>0</v>
      </c>
      <c r="N415" s="1002">
        <v>0</v>
      </c>
      <c r="O415" s="1002">
        <v>0</v>
      </c>
      <c r="P415" s="1002">
        <v>0.2</v>
      </c>
    </row>
    <row r="416" spans="1:16" hidden="1" x14ac:dyDescent="0.35">
      <c r="A416" t="s">
        <v>927</v>
      </c>
      <c r="B416" t="s">
        <v>1156</v>
      </c>
      <c r="C416" t="s">
        <v>1161</v>
      </c>
      <c r="D416" t="s">
        <v>1170</v>
      </c>
      <c r="E416" s="1002">
        <v>-0.13</v>
      </c>
      <c r="F416" s="1002">
        <v>0</v>
      </c>
      <c r="G416" s="1002">
        <v>0</v>
      </c>
      <c r="H416" s="1002">
        <v>0</v>
      </c>
      <c r="I416" s="1002">
        <v>0</v>
      </c>
      <c r="J416" s="1002">
        <v>-0.13</v>
      </c>
      <c r="K416" s="1002">
        <v>-0.11799999999999999</v>
      </c>
      <c r="L416" s="1002">
        <v>0</v>
      </c>
      <c r="M416" s="1002">
        <v>0</v>
      </c>
      <c r="N416" s="1002">
        <v>0</v>
      </c>
      <c r="O416" s="1002">
        <v>0</v>
      </c>
      <c r="P416" s="1002">
        <v>-0.11799999999999999</v>
      </c>
    </row>
    <row r="417" spans="1:16" hidden="1" x14ac:dyDescent="0.35">
      <c r="A417" t="s">
        <v>927</v>
      </c>
      <c r="B417" t="s">
        <v>1156</v>
      </c>
      <c r="C417" t="s">
        <v>1173</v>
      </c>
      <c r="D417" t="s">
        <v>1174</v>
      </c>
      <c r="E417" s="1002">
        <v>11.4</v>
      </c>
      <c r="F417" s="1002">
        <v>0</v>
      </c>
      <c r="G417" s="1002">
        <v>0</v>
      </c>
      <c r="H417" s="1002">
        <v>0</v>
      </c>
      <c r="I417" s="1002">
        <v>0</v>
      </c>
      <c r="J417" s="1002">
        <v>11.4</v>
      </c>
      <c r="K417" s="1002">
        <v>11.997999999999999</v>
      </c>
      <c r="L417" s="1002">
        <v>0</v>
      </c>
      <c r="M417" s="1002">
        <v>0</v>
      </c>
      <c r="N417" s="1002">
        <v>0</v>
      </c>
      <c r="O417" s="1002">
        <v>0</v>
      </c>
      <c r="P417" s="1002">
        <v>11.997999999999999</v>
      </c>
    </row>
    <row r="418" spans="1:16" hidden="1" x14ac:dyDescent="0.35">
      <c r="A418" t="s">
        <v>927</v>
      </c>
      <c r="B418" t="s">
        <v>1156</v>
      </c>
      <c r="C418" t="s">
        <v>1173</v>
      </c>
      <c r="D418" t="s">
        <v>1177</v>
      </c>
      <c r="E418" s="1002">
        <v>4.3499999999999996</v>
      </c>
      <c r="F418" s="1002">
        <v>0</v>
      </c>
      <c r="G418" s="1002">
        <v>0</v>
      </c>
      <c r="H418" s="1002">
        <v>0</v>
      </c>
      <c r="I418" s="1002">
        <v>0</v>
      </c>
      <c r="J418" s="1002">
        <v>4.3499999999999996</v>
      </c>
      <c r="K418" s="1002">
        <v>5.4619999999999997</v>
      </c>
      <c r="L418" s="1002">
        <v>0</v>
      </c>
      <c r="M418" s="1002">
        <v>0</v>
      </c>
      <c r="N418" s="1002">
        <v>0</v>
      </c>
      <c r="O418" s="1002">
        <v>0</v>
      </c>
      <c r="P418" s="1002">
        <v>5.4619999999999997</v>
      </c>
    </row>
    <row r="419" spans="1:16" hidden="1" x14ac:dyDescent="0.35">
      <c r="A419" t="s">
        <v>927</v>
      </c>
      <c r="B419" t="s">
        <v>1156</v>
      </c>
      <c r="C419" t="s">
        <v>1173</v>
      </c>
      <c r="D419" t="s">
        <v>1180</v>
      </c>
      <c r="E419" s="1002">
        <v>-4.2830000000000004</v>
      </c>
      <c r="F419" s="1002">
        <v>0</v>
      </c>
      <c r="G419" s="1002">
        <v>0</v>
      </c>
      <c r="H419" s="1002">
        <v>0</v>
      </c>
      <c r="I419" s="1002">
        <v>0</v>
      </c>
      <c r="J419" s="1002">
        <v>-4.2830000000000004</v>
      </c>
      <c r="K419" s="1002">
        <v>-5.0430000000000001</v>
      </c>
      <c r="L419" s="1002">
        <v>0</v>
      </c>
      <c r="M419" s="1002">
        <v>0</v>
      </c>
      <c r="N419" s="1002">
        <v>0</v>
      </c>
      <c r="O419" s="1002">
        <v>0</v>
      </c>
      <c r="P419" s="1002">
        <v>-5.0430000000000001</v>
      </c>
    </row>
    <row r="420" spans="1:16" hidden="1" x14ac:dyDescent="0.35">
      <c r="A420" t="s">
        <v>927</v>
      </c>
      <c r="B420" t="s">
        <v>1156</v>
      </c>
      <c r="C420" t="s">
        <v>1173</v>
      </c>
      <c r="D420" t="s">
        <v>1183</v>
      </c>
      <c r="E420" s="1002">
        <v>0</v>
      </c>
      <c r="F420" s="1002">
        <v>0</v>
      </c>
      <c r="G420" s="1002">
        <v>17</v>
      </c>
      <c r="H420" s="1002">
        <v>0</v>
      </c>
      <c r="I420" s="1002">
        <v>0</v>
      </c>
      <c r="J420" s="1002">
        <v>17</v>
      </c>
      <c r="K420" s="1002">
        <v>0</v>
      </c>
      <c r="L420" s="1002">
        <v>0</v>
      </c>
      <c r="M420" s="1002">
        <v>15.4</v>
      </c>
      <c r="N420" s="1002">
        <v>0</v>
      </c>
      <c r="O420" s="1002">
        <v>0</v>
      </c>
      <c r="P420" s="1002">
        <v>15.4</v>
      </c>
    </row>
    <row r="421" spans="1:16" hidden="1" x14ac:dyDescent="0.35">
      <c r="A421" t="s">
        <v>927</v>
      </c>
      <c r="B421" t="s">
        <v>1156</v>
      </c>
      <c r="C421" t="s">
        <v>1173</v>
      </c>
      <c r="D421" t="s">
        <v>1186</v>
      </c>
      <c r="E421" s="1002">
        <v>0</v>
      </c>
      <c r="F421" s="1002">
        <v>3.5</v>
      </c>
      <c r="G421" s="1002">
        <v>0</v>
      </c>
      <c r="H421" s="1002">
        <v>0</v>
      </c>
      <c r="I421" s="1002">
        <v>0</v>
      </c>
      <c r="J421" s="1002">
        <v>3.5</v>
      </c>
      <c r="K421" s="1002">
        <v>0</v>
      </c>
      <c r="L421" s="1002">
        <v>3.5</v>
      </c>
      <c r="M421" s="1002">
        <v>0</v>
      </c>
      <c r="N421" s="1002">
        <v>0</v>
      </c>
      <c r="O421" s="1002">
        <v>0</v>
      </c>
      <c r="P421" s="1002">
        <v>3.5</v>
      </c>
    </row>
    <row r="422" spans="1:16" hidden="1" x14ac:dyDescent="0.35">
      <c r="A422" t="s">
        <v>927</v>
      </c>
      <c r="B422" t="s">
        <v>1156</v>
      </c>
      <c r="C422" t="s">
        <v>1188</v>
      </c>
      <c r="D422" t="s">
        <v>1189</v>
      </c>
      <c r="E422" s="1002">
        <v>0</v>
      </c>
      <c r="F422" s="1002">
        <v>0</v>
      </c>
      <c r="G422" s="1002">
        <v>0</v>
      </c>
      <c r="H422" s="1002">
        <v>0</v>
      </c>
      <c r="I422" s="1002">
        <v>0</v>
      </c>
      <c r="J422" s="1002">
        <v>0</v>
      </c>
      <c r="K422" s="1002">
        <v>0</v>
      </c>
      <c r="L422" s="1002">
        <v>0</v>
      </c>
      <c r="M422" s="1002">
        <v>0</v>
      </c>
      <c r="N422" s="1002">
        <v>0</v>
      </c>
      <c r="O422" s="1002">
        <v>0</v>
      </c>
      <c r="P422" s="1002">
        <v>0</v>
      </c>
    </row>
    <row r="423" spans="1:16" hidden="1" x14ac:dyDescent="0.35">
      <c r="A423" t="s">
        <v>927</v>
      </c>
      <c r="B423" t="s">
        <v>1156</v>
      </c>
      <c r="C423" t="s">
        <v>1188</v>
      </c>
      <c r="D423" t="s">
        <v>1192</v>
      </c>
      <c r="E423" s="1002">
        <v>2.4220000000000002</v>
      </c>
      <c r="F423" s="1002">
        <v>0</v>
      </c>
      <c r="G423" s="1002">
        <v>0</v>
      </c>
      <c r="H423" s="1002">
        <v>0</v>
      </c>
      <c r="I423" s="1002">
        <v>0</v>
      </c>
      <c r="J423" s="1002">
        <v>2.4220000000000002</v>
      </c>
      <c r="K423" s="1002">
        <v>3.762</v>
      </c>
      <c r="L423" s="1002">
        <v>0</v>
      </c>
      <c r="M423" s="1002">
        <v>0</v>
      </c>
      <c r="N423" s="1002">
        <v>0</v>
      </c>
      <c r="O423" s="1002">
        <v>0</v>
      </c>
      <c r="P423" s="1002">
        <v>3.762</v>
      </c>
    </row>
    <row r="424" spans="1:16" hidden="1" x14ac:dyDescent="0.35">
      <c r="A424" t="s">
        <v>1712</v>
      </c>
      <c r="B424" t="s">
        <v>1713</v>
      </c>
      <c r="C424" t="s">
        <v>1714</v>
      </c>
      <c r="D424" t="s">
        <v>1715</v>
      </c>
      <c r="E424" s="1002">
        <v>27.26</v>
      </c>
      <c r="F424" s="1002">
        <v>0</v>
      </c>
      <c r="G424" s="1002">
        <v>0</v>
      </c>
      <c r="H424" s="1002">
        <v>0</v>
      </c>
      <c r="I424" s="1002">
        <v>0</v>
      </c>
      <c r="J424" s="1002">
        <v>27.26</v>
      </c>
      <c r="K424" s="1002">
        <v>53.862000000000002</v>
      </c>
      <c r="L424" s="1002">
        <v>0</v>
      </c>
      <c r="M424" s="1002">
        <v>0</v>
      </c>
      <c r="N424" s="1002">
        <v>0</v>
      </c>
      <c r="O424" s="1002">
        <v>0</v>
      </c>
      <c r="P424" s="1002">
        <v>53.862000000000002</v>
      </c>
    </row>
    <row r="425" spans="1:16" hidden="1" x14ac:dyDescent="0.35">
      <c r="A425" t="s">
        <v>1712</v>
      </c>
      <c r="B425" t="s">
        <v>1713</v>
      </c>
      <c r="C425" t="s">
        <v>1714</v>
      </c>
      <c r="D425" t="s">
        <v>1718</v>
      </c>
      <c r="E425" s="1002">
        <v>9.5</v>
      </c>
      <c r="F425" s="1002">
        <v>0</v>
      </c>
      <c r="G425" s="1002">
        <v>0</v>
      </c>
      <c r="H425" s="1002">
        <v>0</v>
      </c>
      <c r="I425" s="1002">
        <v>0</v>
      </c>
      <c r="J425" s="1002">
        <v>9.5</v>
      </c>
      <c r="K425" s="1002">
        <v>9.7850000000000001</v>
      </c>
      <c r="L425" s="1002">
        <v>0</v>
      </c>
      <c r="M425" s="1002">
        <v>0</v>
      </c>
      <c r="N425" s="1002">
        <v>0</v>
      </c>
      <c r="O425" s="1002">
        <v>0</v>
      </c>
      <c r="P425" s="1002">
        <v>9.7850000000000001</v>
      </c>
    </row>
    <row r="426" spans="1:16" hidden="1" x14ac:dyDescent="0.35">
      <c r="A426" t="s">
        <v>1712</v>
      </c>
      <c r="B426" t="s">
        <v>1713</v>
      </c>
      <c r="C426" t="s">
        <v>1714</v>
      </c>
      <c r="D426" t="s">
        <v>1721</v>
      </c>
      <c r="E426" s="1002">
        <v>9.25</v>
      </c>
      <c r="F426" s="1002">
        <v>0</v>
      </c>
      <c r="G426" s="1002">
        <v>0</v>
      </c>
      <c r="H426" s="1002">
        <v>0</v>
      </c>
      <c r="I426" s="1002">
        <v>0</v>
      </c>
      <c r="J426" s="1002">
        <v>9.25</v>
      </c>
      <c r="K426" s="1002">
        <v>11.25</v>
      </c>
      <c r="L426" s="1002">
        <v>0</v>
      </c>
      <c r="M426" s="1002">
        <v>0</v>
      </c>
      <c r="N426" s="1002">
        <v>0</v>
      </c>
      <c r="O426" s="1002">
        <v>0</v>
      </c>
      <c r="P426" s="1002">
        <v>11.25</v>
      </c>
    </row>
    <row r="427" spans="1:16" hidden="1" x14ac:dyDescent="0.35">
      <c r="A427" t="s">
        <v>1712</v>
      </c>
      <c r="B427" t="s">
        <v>1713</v>
      </c>
      <c r="C427" t="s">
        <v>1714</v>
      </c>
      <c r="D427" t="s">
        <v>1724</v>
      </c>
      <c r="E427" s="1002">
        <v>4.7699999999999996</v>
      </c>
      <c r="F427" s="1002">
        <v>0</v>
      </c>
      <c r="G427" s="1002">
        <v>0</v>
      </c>
      <c r="H427" s="1002">
        <v>0</v>
      </c>
      <c r="I427" s="1002">
        <v>0</v>
      </c>
      <c r="J427" s="1002">
        <v>4.7699999999999996</v>
      </c>
      <c r="K427" s="1002">
        <v>4.7699999999999996</v>
      </c>
      <c r="L427" s="1002">
        <v>0</v>
      </c>
      <c r="M427" s="1002">
        <v>0</v>
      </c>
      <c r="N427" s="1002">
        <v>0</v>
      </c>
      <c r="O427" s="1002">
        <v>0</v>
      </c>
      <c r="P427" s="1002">
        <v>4.7699999999999996</v>
      </c>
    </row>
    <row r="428" spans="1:16" hidden="1" x14ac:dyDescent="0.35">
      <c r="A428" t="s">
        <v>1712</v>
      </c>
      <c r="B428" t="s">
        <v>1713</v>
      </c>
      <c r="C428" t="s">
        <v>1714</v>
      </c>
      <c r="D428" t="s">
        <v>1727</v>
      </c>
      <c r="E428" s="1002">
        <v>0</v>
      </c>
      <c r="F428" s="1002">
        <v>0.57399999999999995</v>
      </c>
      <c r="G428" s="1002">
        <v>0</v>
      </c>
      <c r="H428" s="1002">
        <v>0</v>
      </c>
      <c r="I428" s="1002">
        <v>0</v>
      </c>
      <c r="J428" s="1002">
        <v>0.57399999999999995</v>
      </c>
      <c r="K428" s="1002">
        <v>0</v>
      </c>
      <c r="L428" s="1002">
        <v>0.36299999999999999</v>
      </c>
      <c r="M428" s="1002">
        <v>0</v>
      </c>
      <c r="N428" s="1002">
        <v>0</v>
      </c>
      <c r="O428" s="1002">
        <v>0</v>
      </c>
      <c r="P428" s="1002">
        <v>0.36299999999999999</v>
      </c>
    </row>
    <row r="429" spans="1:16" hidden="1" x14ac:dyDescent="0.35">
      <c r="A429" t="s">
        <v>1712</v>
      </c>
      <c r="B429" t="s">
        <v>1713</v>
      </c>
      <c r="C429" t="s">
        <v>1730</v>
      </c>
      <c r="D429" t="s">
        <v>1731</v>
      </c>
      <c r="E429" s="1002">
        <v>27.12</v>
      </c>
      <c r="F429" s="1002">
        <v>0</v>
      </c>
      <c r="G429" s="1002">
        <v>0</v>
      </c>
      <c r="H429" s="1002">
        <v>0</v>
      </c>
      <c r="I429" s="1002">
        <v>0</v>
      </c>
      <c r="J429" s="1002">
        <v>27.12</v>
      </c>
      <c r="K429" s="1002">
        <v>28.716000000000001</v>
      </c>
      <c r="L429" s="1002">
        <v>0</v>
      </c>
      <c r="M429" s="1002">
        <v>0</v>
      </c>
      <c r="N429" s="1002">
        <v>0</v>
      </c>
      <c r="O429" s="1002">
        <v>0</v>
      </c>
      <c r="P429" s="1002">
        <v>28.716000000000001</v>
      </c>
    </row>
    <row r="430" spans="1:16" hidden="1" x14ac:dyDescent="0.35">
      <c r="A430" t="s">
        <v>1712</v>
      </c>
      <c r="B430" t="s">
        <v>1713</v>
      </c>
      <c r="C430" t="s">
        <v>1730</v>
      </c>
      <c r="D430" t="s">
        <v>1734</v>
      </c>
      <c r="E430" s="1002">
        <v>0</v>
      </c>
      <c r="F430" s="1002">
        <v>0</v>
      </c>
      <c r="G430" s="1002">
        <v>2.7</v>
      </c>
      <c r="H430" s="1002">
        <v>0</v>
      </c>
      <c r="I430" s="1002">
        <v>0</v>
      </c>
      <c r="J430" s="1002">
        <v>2.7</v>
      </c>
      <c r="K430" s="1002">
        <v>0</v>
      </c>
      <c r="L430" s="1002">
        <v>0</v>
      </c>
      <c r="M430" s="1002">
        <v>1.85</v>
      </c>
      <c r="N430" s="1002">
        <v>0</v>
      </c>
      <c r="O430" s="1002">
        <v>0</v>
      </c>
      <c r="P430" s="1002">
        <v>1.85</v>
      </c>
    </row>
    <row r="431" spans="1:16" hidden="1" x14ac:dyDescent="0.35">
      <c r="A431" t="s">
        <v>1712</v>
      </c>
      <c r="B431" t="s">
        <v>1713</v>
      </c>
      <c r="C431" t="s">
        <v>1730</v>
      </c>
      <c r="D431" t="s">
        <v>1737</v>
      </c>
      <c r="E431" s="1002">
        <v>0</v>
      </c>
      <c r="F431" s="1002">
        <v>3.919</v>
      </c>
      <c r="G431" s="1002">
        <v>0</v>
      </c>
      <c r="H431" s="1002">
        <v>0</v>
      </c>
      <c r="I431" s="1002">
        <v>0</v>
      </c>
      <c r="J431" s="1002">
        <v>3.919</v>
      </c>
      <c r="K431" s="1002">
        <v>0</v>
      </c>
      <c r="L431" s="1002">
        <v>3.8279999999999998</v>
      </c>
      <c r="M431" s="1002">
        <v>0</v>
      </c>
      <c r="N431" s="1002">
        <v>0</v>
      </c>
      <c r="O431" s="1002">
        <v>0</v>
      </c>
      <c r="P431" s="1002">
        <v>3.8279999999999998</v>
      </c>
    </row>
    <row r="432" spans="1:16" hidden="1" x14ac:dyDescent="0.35">
      <c r="A432" t="s">
        <v>1712</v>
      </c>
      <c r="B432" t="s">
        <v>1713</v>
      </c>
      <c r="C432" t="s">
        <v>1730</v>
      </c>
      <c r="D432" t="s">
        <v>1739</v>
      </c>
      <c r="E432" s="1002">
        <v>19.45</v>
      </c>
      <c r="F432" s="1002">
        <v>0</v>
      </c>
      <c r="G432" s="1002">
        <v>0</v>
      </c>
      <c r="H432" s="1002">
        <v>0</v>
      </c>
      <c r="I432" s="1002">
        <v>0</v>
      </c>
      <c r="J432" s="1002">
        <v>19.45</v>
      </c>
      <c r="K432" s="1002">
        <v>21.207000000000001</v>
      </c>
      <c r="L432" s="1002">
        <v>0</v>
      </c>
      <c r="M432" s="1002">
        <v>0</v>
      </c>
      <c r="N432" s="1002">
        <v>0</v>
      </c>
      <c r="O432" s="1002">
        <v>0</v>
      </c>
      <c r="P432" s="1002">
        <v>21.207000000000001</v>
      </c>
    </row>
    <row r="433" spans="1:16" hidden="1" x14ac:dyDescent="0.35">
      <c r="A433" t="s">
        <v>1712</v>
      </c>
      <c r="B433" t="s">
        <v>1713</v>
      </c>
      <c r="C433" t="s">
        <v>1730</v>
      </c>
      <c r="D433" t="s">
        <v>1741</v>
      </c>
      <c r="E433" s="1002">
        <v>0</v>
      </c>
      <c r="F433" s="1002">
        <v>0</v>
      </c>
      <c r="G433" s="1002">
        <v>4.1500000000000004</v>
      </c>
      <c r="H433" s="1002">
        <v>0</v>
      </c>
      <c r="I433" s="1002">
        <v>0</v>
      </c>
      <c r="J433" s="1002">
        <v>4.1500000000000004</v>
      </c>
      <c r="K433" s="1002">
        <v>0</v>
      </c>
      <c r="L433" s="1002">
        <v>0</v>
      </c>
      <c r="M433" s="1002">
        <v>6.2</v>
      </c>
      <c r="N433" s="1002">
        <v>0</v>
      </c>
      <c r="O433" s="1002">
        <v>0</v>
      </c>
      <c r="P433" s="1002">
        <v>6.2</v>
      </c>
    </row>
    <row r="434" spans="1:16" hidden="1" x14ac:dyDescent="0.35">
      <c r="A434" t="s">
        <v>1712</v>
      </c>
      <c r="B434" t="s">
        <v>1713</v>
      </c>
      <c r="C434" t="s">
        <v>1730</v>
      </c>
      <c r="D434" t="s">
        <v>1743</v>
      </c>
      <c r="E434" s="1002">
        <v>0</v>
      </c>
      <c r="F434" s="1002">
        <v>2.5</v>
      </c>
      <c r="G434" s="1002">
        <v>0</v>
      </c>
      <c r="H434" s="1002">
        <v>0</v>
      </c>
      <c r="I434" s="1002">
        <v>0</v>
      </c>
      <c r="J434" s="1002">
        <v>2.5</v>
      </c>
      <c r="K434" s="1002">
        <v>0</v>
      </c>
      <c r="L434" s="1002">
        <v>3.6</v>
      </c>
      <c r="M434" s="1002">
        <v>0</v>
      </c>
      <c r="N434" s="1002">
        <v>0</v>
      </c>
      <c r="O434" s="1002">
        <v>0</v>
      </c>
      <c r="P434" s="1002">
        <v>3.6</v>
      </c>
    </row>
    <row r="435" spans="1:16" hidden="1" x14ac:dyDescent="0.35">
      <c r="A435" t="s">
        <v>1712</v>
      </c>
      <c r="B435" t="s">
        <v>1713</v>
      </c>
      <c r="C435" t="s">
        <v>1730</v>
      </c>
      <c r="D435" t="s">
        <v>1745</v>
      </c>
      <c r="E435" s="1002">
        <v>16.77</v>
      </c>
      <c r="F435" s="1002">
        <v>0</v>
      </c>
      <c r="G435" s="1002">
        <v>0</v>
      </c>
      <c r="H435" s="1002">
        <v>0</v>
      </c>
      <c r="I435" s="1002">
        <v>0</v>
      </c>
      <c r="J435" s="1002">
        <v>16.77</v>
      </c>
      <c r="K435" s="1002">
        <v>17.766999999999999</v>
      </c>
      <c r="L435" s="1002">
        <v>0</v>
      </c>
      <c r="M435" s="1002">
        <v>0</v>
      </c>
      <c r="N435" s="1002">
        <v>0</v>
      </c>
      <c r="O435" s="1002">
        <v>0</v>
      </c>
      <c r="P435" s="1002">
        <v>17.766999999999999</v>
      </c>
    </row>
    <row r="436" spans="1:16" hidden="1" x14ac:dyDescent="0.35">
      <c r="A436" t="s">
        <v>1712</v>
      </c>
      <c r="B436" t="s">
        <v>1713</v>
      </c>
      <c r="C436" t="s">
        <v>1730</v>
      </c>
      <c r="D436" t="s">
        <v>1747</v>
      </c>
      <c r="E436" s="1002">
        <v>0</v>
      </c>
      <c r="F436" s="1002">
        <v>0</v>
      </c>
      <c r="G436" s="1002">
        <v>5.4</v>
      </c>
      <c r="H436" s="1002">
        <v>0</v>
      </c>
      <c r="I436" s="1002">
        <v>0</v>
      </c>
      <c r="J436" s="1002">
        <v>5.4</v>
      </c>
      <c r="K436" s="1002">
        <v>0</v>
      </c>
      <c r="L436" s="1002">
        <v>0</v>
      </c>
      <c r="M436" s="1002">
        <v>2.7</v>
      </c>
      <c r="N436" s="1002">
        <v>0</v>
      </c>
      <c r="O436" s="1002">
        <v>0</v>
      </c>
      <c r="P436" s="1002">
        <v>2.7</v>
      </c>
    </row>
    <row r="437" spans="1:16" hidden="1" x14ac:dyDescent="0.35">
      <c r="A437" t="s">
        <v>1712</v>
      </c>
      <c r="B437" t="s">
        <v>1713</v>
      </c>
      <c r="C437" t="s">
        <v>1730</v>
      </c>
      <c r="D437" t="s">
        <v>1750</v>
      </c>
      <c r="E437" s="1002">
        <v>0</v>
      </c>
      <c r="F437" s="1002">
        <v>4.3</v>
      </c>
      <c r="G437" s="1002">
        <v>0</v>
      </c>
      <c r="H437" s="1002">
        <v>0</v>
      </c>
      <c r="I437" s="1002">
        <v>0</v>
      </c>
      <c r="J437" s="1002">
        <v>4.3</v>
      </c>
      <c r="K437" s="1002">
        <v>0</v>
      </c>
      <c r="L437" s="1002">
        <v>4.5</v>
      </c>
      <c r="M437" s="1002">
        <v>0</v>
      </c>
      <c r="N437" s="1002">
        <v>0</v>
      </c>
      <c r="O437" s="1002">
        <v>0</v>
      </c>
      <c r="P437" s="1002">
        <v>4.5</v>
      </c>
    </row>
    <row r="438" spans="1:16" hidden="1" x14ac:dyDescent="0.35">
      <c r="A438" t="s">
        <v>1712</v>
      </c>
      <c r="B438" t="s">
        <v>1713</v>
      </c>
      <c r="C438" t="s">
        <v>1730</v>
      </c>
      <c r="D438" t="s">
        <v>1752</v>
      </c>
      <c r="E438" s="1002">
        <v>3.645</v>
      </c>
      <c r="F438" s="1002">
        <v>0</v>
      </c>
      <c r="G438" s="1002">
        <v>0.3</v>
      </c>
      <c r="H438" s="1002">
        <v>0</v>
      </c>
      <c r="I438" s="1002">
        <v>0</v>
      </c>
      <c r="J438" s="1002">
        <v>3.9449999999999998</v>
      </c>
      <c r="K438" s="1002">
        <v>3.7450000000000001</v>
      </c>
      <c r="L438" s="1002">
        <v>0</v>
      </c>
      <c r="M438" s="1002">
        <v>1.75</v>
      </c>
      <c r="N438" s="1002">
        <v>0</v>
      </c>
      <c r="O438" s="1002">
        <v>0</v>
      </c>
      <c r="P438" s="1002">
        <v>5.4950000000000001</v>
      </c>
    </row>
    <row r="439" spans="1:16" hidden="1" x14ac:dyDescent="0.35">
      <c r="A439" t="s">
        <v>1712</v>
      </c>
      <c r="B439" t="s">
        <v>1713</v>
      </c>
      <c r="C439" t="s">
        <v>1730</v>
      </c>
      <c r="D439" t="s">
        <v>1755</v>
      </c>
      <c r="E439" s="1002">
        <v>0.66500000000000004</v>
      </c>
      <c r="F439" s="1002">
        <v>0</v>
      </c>
      <c r="G439" s="1002">
        <v>0</v>
      </c>
      <c r="H439" s="1002">
        <v>0</v>
      </c>
      <c r="I439" s="1002">
        <v>0</v>
      </c>
      <c r="J439" s="1002">
        <v>0.66500000000000004</v>
      </c>
      <c r="K439" s="1002">
        <v>0.93500000000000005</v>
      </c>
      <c r="L439" s="1002">
        <v>0</v>
      </c>
      <c r="M439" s="1002">
        <v>0</v>
      </c>
      <c r="N439" s="1002">
        <v>0</v>
      </c>
      <c r="O439" s="1002">
        <v>0</v>
      </c>
      <c r="P439" s="1002">
        <v>0.93500000000000005</v>
      </c>
    </row>
    <row r="440" spans="1:16" hidden="1" x14ac:dyDescent="0.35">
      <c r="A440" t="s">
        <v>1712</v>
      </c>
      <c r="B440" t="s">
        <v>1713</v>
      </c>
      <c r="C440" t="s">
        <v>1730</v>
      </c>
      <c r="D440" t="s">
        <v>1758</v>
      </c>
      <c r="E440" s="1002">
        <v>0</v>
      </c>
      <c r="F440" s="1002">
        <v>0</v>
      </c>
      <c r="G440" s="1002">
        <v>1.1000000000000001</v>
      </c>
      <c r="H440" s="1002">
        <v>0</v>
      </c>
      <c r="I440" s="1002">
        <v>0</v>
      </c>
      <c r="J440" s="1002">
        <v>1.1000000000000001</v>
      </c>
      <c r="K440" s="1002">
        <v>0</v>
      </c>
      <c r="L440" s="1002">
        <v>0</v>
      </c>
      <c r="M440" s="1002">
        <v>8</v>
      </c>
      <c r="N440" s="1002">
        <v>0</v>
      </c>
      <c r="O440" s="1002">
        <v>0</v>
      </c>
      <c r="P440" s="1002">
        <v>8</v>
      </c>
    </row>
    <row r="441" spans="1:16" hidden="1" x14ac:dyDescent="0.35">
      <c r="A441" t="s">
        <v>1712</v>
      </c>
      <c r="B441" t="s">
        <v>1713</v>
      </c>
      <c r="C441" t="s">
        <v>1762</v>
      </c>
      <c r="D441" t="s">
        <v>1763</v>
      </c>
      <c r="E441" s="1002">
        <v>3.621</v>
      </c>
      <c r="F441" s="1002">
        <v>0</v>
      </c>
      <c r="G441" s="1002">
        <v>0</v>
      </c>
      <c r="H441" s="1002">
        <v>0</v>
      </c>
      <c r="I441" s="1002">
        <v>0</v>
      </c>
      <c r="J441" s="1002">
        <v>3.621</v>
      </c>
      <c r="K441" s="1002">
        <v>4.5199999999999996</v>
      </c>
      <c r="L441" s="1002">
        <v>0</v>
      </c>
      <c r="M441" s="1002">
        <v>0</v>
      </c>
      <c r="N441" s="1002">
        <v>0</v>
      </c>
      <c r="O441" s="1002">
        <v>0</v>
      </c>
      <c r="P441" s="1002">
        <v>4.5199999999999996</v>
      </c>
    </row>
    <row r="442" spans="1:16" hidden="1" x14ac:dyDescent="0.35">
      <c r="A442" t="s">
        <v>1712</v>
      </c>
      <c r="B442" t="s">
        <v>1713</v>
      </c>
      <c r="C442" t="s">
        <v>1762</v>
      </c>
      <c r="D442" t="s">
        <v>1762</v>
      </c>
      <c r="E442" s="1002">
        <v>18.260000000000002</v>
      </c>
      <c r="F442" s="1002">
        <v>0</v>
      </c>
      <c r="G442" s="1002">
        <v>0</v>
      </c>
      <c r="H442" s="1002">
        <v>0</v>
      </c>
      <c r="I442" s="1002">
        <v>0</v>
      </c>
      <c r="J442" s="1002">
        <v>18.260000000000002</v>
      </c>
      <c r="K442" s="1002">
        <v>17.649000000000001</v>
      </c>
      <c r="L442" s="1002">
        <v>0</v>
      </c>
      <c r="M442" s="1002">
        <v>0</v>
      </c>
      <c r="N442" s="1002">
        <v>0</v>
      </c>
      <c r="O442" s="1002">
        <v>0</v>
      </c>
      <c r="P442" s="1002">
        <v>17.649000000000001</v>
      </c>
    </row>
    <row r="443" spans="1:16" hidden="1" x14ac:dyDescent="0.35">
      <c r="A443" t="s">
        <v>1712</v>
      </c>
      <c r="B443" t="s">
        <v>1713</v>
      </c>
      <c r="C443" t="s">
        <v>1762</v>
      </c>
      <c r="D443" t="s">
        <v>1768</v>
      </c>
      <c r="E443" s="1002">
        <v>2.6</v>
      </c>
      <c r="F443" s="1002">
        <v>0</v>
      </c>
      <c r="G443" s="1002">
        <v>0</v>
      </c>
      <c r="H443" s="1002">
        <v>0</v>
      </c>
      <c r="I443" s="1002">
        <v>0</v>
      </c>
      <c r="J443" s="1002">
        <v>2.6</v>
      </c>
      <c r="K443" s="1002">
        <v>2.6779999999999999</v>
      </c>
      <c r="L443" s="1002">
        <v>0</v>
      </c>
      <c r="M443" s="1002">
        <v>0</v>
      </c>
      <c r="N443" s="1002">
        <v>0</v>
      </c>
      <c r="O443" s="1002">
        <v>0</v>
      </c>
      <c r="P443" s="1002">
        <v>2.6779999999999999</v>
      </c>
    </row>
    <row r="444" spans="1:16" hidden="1" x14ac:dyDescent="0.35">
      <c r="A444" t="s">
        <v>1712</v>
      </c>
      <c r="B444" t="s">
        <v>1713</v>
      </c>
      <c r="C444" t="s">
        <v>1762</v>
      </c>
      <c r="D444" t="s">
        <v>1771</v>
      </c>
      <c r="E444" s="1002">
        <v>3.8</v>
      </c>
      <c r="F444" s="1002">
        <v>0</v>
      </c>
      <c r="G444" s="1002">
        <v>0</v>
      </c>
      <c r="H444" s="1002">
        <v>0</v>
      </c>
      <c r="I444" s="1002">
        <v>0</v>
      </c>
      <c r="J444" s="1002">
        <v>3.8</v>
      </c>
      <c r="K444" s="1002">
        <v>3.8</v>
      </c>
      <c r="L444" s="1002">
        <v>0</v>
      </c>
      <c r="M444" s="1002">
        <v>0</v>
      </c>
      <c r="N444" s="1002">
        <v>0</v>
      </c>
      <c r="O444" s="1002">
        <v>0</v>
      </c>
      <c r="P444" s="1002">
        <v>3.8</v>
      </c>
    </row>
    <row r="445" spans="1:16" hidden="1" x14ac:dyDescent="0.35">
      <c r="A445" t="s">
        <v>1712</v>
      </c>
      <c r="B445" t="s">
        <v>1713</v>
      </c>
      <c r="C445" t="s">
        <v>1775</v>
      </c>
      <c r="D445" t="s">
        <v>1776</v>
      </c>
      <c r="E445" s="1002">
        <v>8.2520000000000007</v>
      </c>
      <c r="F445" s="1002">
        <v>0</v>
      </c>
      <c r="G445" s="1002">
        <v>0</v>
      </c>
      <c r="H445" s="1002">
        <v>0</v>
      </c>
      <c r="I445" s="1002">
        <v>0</v>
      </c>
      <c r="J445" s="1002">
        <v>8.2520000000000007</v>
      </c>
      <c r="K445" s="1002">
        <v>8.6530000000000005</v>
      </c>
      <c r="L445" s="1002">
        <v>0</v>
      </c>
      <c r="M445" s="1002">
        <v>0</v>
      </c>
      <c r="N445" s="1002">
        <v>0</v>
      </c>
      <c r="O445" s="1002">
        <v>0</v>
      </c>
      <c r="P445" s="1002">
        <v>8.6530000000000005</v>
      </c>
    </row>
    <row r="446" spans="1:16" hidden="1" x14ac:dyDescent="0.35">
      <c r="A446" t="s">
        <v>1712</v>
      </c>
      <c r="B446" t="s">
        <v>1713</v>
      </c>
      <c r="C446" t="s">
        <v>1775</v>
      </c>
      <c r="D446" t="s">
        <v>1778</v>
      </c>
      <c r="E446" s="1002">
        <v>4.343</v>
      </c>
      <c r="F446" s="1002">
        <v>0</v>
      </c>
      <c r="G446" s="1002">
        <v>0</v>
      </c>
      <c r="H446" s="1002">
        <v>0</v>
      </c>
      <c r="I446" s="1002">
        <v>0</v>
      </c>
      <c r="J446" s="1002">
        <v>4.343</v>
      </c>
      <c r="K446" s="1002">
        <v>4.53</v>
      </c>
      <c r="L446" s="1002">
        <v>0</v>
      </c>
      <c r="M446" s="1002">
        <v>0</v>
      </c>
      <c r="N446" s="1002">
        <v>0</v>
      </c>
      <c r="O446" s="1002">
        <v>0</v>
      </c>
      <c r="P446" s="1002">
        <v>4.53</v>
      </c>
    </row>
    <row r="447" spans="1:16" hidden="1" x14ac:dyDescent="0.35">
      <c r="A447" t="s">
        <v>1712</v>
      </c>
      <c r="B447" t="s">
        <v>1713</v>
      </c>
      <c r="C447" t="s">
        <v>1775</v>
      </c>
      <c r="D447" t="s">
        <v>1779</v>
      </c>
      <c r="E447" s="1002">
        <v>4.1909999999999998</v>
      </c>
      <c r="F447" s="1002">
        <v>0</v>
      </c>
      <c r="G447" s="1002">
        <v>0</v>
      </c>
      <c r="H447" s="1002">
        <v>0</v>
      </c>
      <c r="I447" s="1002">
        <v>0</v>
      </c>
      <c r="J447" s="1002">
        <v>4.1909999999999998</v>
      </c>
      <c r="K447" s="1002">
        <v>4.4029999999999996</v>
      </c>
      <c r="L447" s="1002">
        <v>0</v>
      </c>
      <c r="M447" s="1002">
        <v>0</v>
      </c>
      <c r="N447" s="1002">
        <v>0</v>
      </c>
      <c r="O447" s="1002">
        <v>0</v>
      </c>
      <c r="P447" s="1002">
        <v>4.4029999999999996</v>
      </c>
    </row>
    <row r="448" spans="1:16" hidden="1" x14ac:dyDescent="0.35">
      <c r="A448" t="s">
        <v>1712</v>
      </c>
      <c r="B448" t="s">
        <v>1713</v>
      </c>
      <c r="C448" t="s">
        <v>1775</v>
      </c>
      <c r="D448" t="s">
        <v>1780</v>
      </c>
      <c r="E448" s="1002">
        <v>2.1779999999999999</v>
      </c>
      <c r="F448" s="1002">
        <v>0</v>
      </c>
      <c r="G448" s="1002">
        <v>0</v>
      </c>
      <c r="H448" s="1002">
        <v>0</v>
      </c>
      <c r="I448" s="1002">
        <v>0</v>
      </c>
      <c r="J448" s="1002">
        <v>2.1779999999999999</v>
      </c>
      <c r="K448" s="1002">
        <v>2.2970000000000002</v>
      </c>
      <c r="L448" s="1002">
        <v>0</v>
      </c>
      <c r="M448" s="1002">
        <v>0</v>
      </c>
      <c r="N448" s="1002">
        <v>0</v>
      </c>
      <c r="O448" s="1002">
        <v>0</v>
      </c>
      <c r="P448" s="1002">
        <v>2.2970000000000002</v>
      </c>
    </row>
    <row r="449" spans="1:16" hidden="1" x14ac:dyDescent="0.35">
      <c r="A449" t="s">
        <v>1712</v>
      </c>
      <c r="B449" t="s">
        <v>1713</v>
      </c>
      <c r="C449" t="s">
        <v>1775</v>
      </c>
      <c r="D449" t="s">
        <v>1781</v>
      </c>
      <c r="E449" s="1002">
        <v>4.6230000000000002</v>
      </c>
      <c r="F449" s="1002">
        <v>0</v>
      </c>
      <c r="G449" s="1002">
        <v>0</v>
      </c>
      <c r="H449" s="1002">
        <v>0</v>
      </c>
      <c r="I449" s="1002">
        <v>0</v>
      </c>
      <c r="J449" s="1002">
        <v>4.6230000000000002</v>
      </c>
      <c r="K449" s="1002">
        <v>4.7240000000000002</v>
      </c>
      <c r="L449" s="1002">
        <v>0</v>
      </c>
      <c r="M449" s="1002">
        <v>0</v>
      </c>
      <c r="N449" s="1002">
        <v>0</v>
      </c>
      <c r="O449" s="1002">
        <v>0</v>
      </c>
      <c r="P449" s="1002">
        <v>4.7240000000000002</v>
      </c>
    </row>
    <row r="450" spans="1:16" hidden="1" x14ac:dyDescent="0.35">
      <c r="A450" t="s">
        <v>1712</v>
      </c>
      <c r="B450" t="s">
        <v>1784</v>
      </c>
      <c r="C450" t="s">
        <v>1785</v>
      </c>
      <c r="D450" t="s">
        <v>1786</v>
      </c>
      <c r="E450" s="1002">
        <v>124.822</v>
      </c>
      <c r="F450" s="1002">
        <v>0</v>
      </c>
      <c r="G450" s="1002">
        <v>0</v>
      </c>
      <c r="H450" s="1002">
        <v>0</v>
      </c>
      <c r="I450" s="1002">
        <v>0</v>
      </c>
      <c r="J450" s="1002">
        <v>124.822</v>
      </c>
      <c r="K450" s="1002">
        <v>131.30000000000001</v>
      </c>
      <c r="L450" s="1002">
        <v>0</v>
      </c>
      <c r="M450" s="1002">
        <v>0</v>
      </c>
      <c r="N450" s="1002">
        <v>0</v>
      </c>
      <c r="O450" s="1002">
        <v>0</v>
      </c>
      <c r="P450" s="1002">
        <v>131.30000000000001</v>
      </c>
    </row>
    <row r="451" spans="1:16" hidden="1" x14ac:dyDescent="0.35">
      <c r="A451" t="s">
        <v>1712</v>
      </c>
      <c r="B451" t="s">
        <v>1784</v>
      </c>
      <c r="C451" t="s">
        <v>1785</v>
      </c>
      <c r="D451" t="s">
        <v>1789</v>
      </c>
      <c r="E451" s="1002">
        <v>0</v>
      </c>
      <c r="F451" s="1002">
        <v>5</v>
      </c>
      <c r="G451" s="1002">
        <v>0</v>
      </c>
      <c r="H451" s="1002">
        <v>0</v>
      </c>
      <c r="I451" s="1002">
        <v>0</v>
      </c>
      <c r="J451" s="1002">
        <v>5</v>
      </c>
      <c r="K451" s="1002">
        <v>0</v>
      </c>
      <c r="L451" s="1002">
        <v>5</v>
      </c>
      <c r="M451" s="1002">
        <v>0</v>
      </c>
      <c r="N451" s="1002">
        <v>0</v>
      </c>
      <c r="O451" s="1002">
        <v>0</v>
      </c>
      <c r="P451" s="1002">
        <v>5</v>
      </c>
    </row>
    <row r="452" spans="1:16" hidden="1" x14ac:dyDescent="0.35">
      <c r="A452" t="s">
        <v>1712</v>
      </c>
      <c r="B452" t="s">
        <v>1784</v>
      </c>
      <c r="C452" t="s">
        <v>1785</v>
      </c>
      <c r="D452" t="s">
        <v>1792</v>
      </c>
      <c r="E452" s="1002">
        <v>0</v>
      </c>
      <c r="F452" s="1002">
        <v>0</v>
      </c>
      <c r="G452" s="1002">
        <v>8</v>
      </c>
      <c r="H452" s="1002">
        <v>0</v>
      </c>
      <c r="I452" s="1002">
        <v>0</v>
      </c>
      <c r="J452" s="1002">
        <v>8</v>
      </c>
      <c r="K452" s="1002">
        <v>0</v>
      </c>
      <c r="L452" s="1002">
        <v>0</v>
      </c>
      <c r="M452" s="1002">
        <v>10</v>
      </c>
      <c r="N452" s="1002">
        <v>0</v>
      </c>
      <c r="O452" s="1002">
        <v>0</v>
      </c>
      <c r="P452" s="1002">
        <v>10</v>
      </c>
    </row>
    <row r="453" spans="1:16" hidden="1" x14ac:dyDescent="0.35">
      <c r="A453" t="s">
        <v>1712</v>
      </c>
      <c r="B453" t="s">
        <v>1784</v>
      </c>
      <c r="C453" t="s">
        <v>1785</v>
      </c>
      <c r="D453" t="s">
        <v>1795</v>
      </c>
      <c r="E453" s="1002">
        <v>-63.5</v>
      </c>
      <c r="F453" s="1002">
        <v>0</v>
      </c>
      <c r="G453" s="1002">
        <v>0</v>
      </c>
      <c r="H453" s="1002">
        <v>0</v>
      </c>
      <c r="I453" s="1002">
        <v>0</v>
      </c>
      <c r="J453" s="1002">
        <v>-63.5</v>
      </c>
      <c r="K453" s="1002">
        <v>-72.099999999999994</v>
      </c>
      <c r="L453" s="1002">
        <v>0</v>
      </c>
      <c r="M453" s="1002">
        <v>0</v>
      </c>
      <c r="N453" s="1002">
        <v>0</v>
      </c>
      <c r="O453" s="1002">
        <v>0</v>
      </c>
      <c r="P453" s="1002">
        <v>-72.099999999999994</v>
      </c>
    </row>
    <row r="454" spans="1:16" hidden="1" x14ac:dyDescent="0.35">
      <c r="A454" t="s">
        <v>1712</v>
      </c>
      <c r="B454" t="s">
        <v>1784</v>
      </c>
      <c r="C454" t="s">
        <v>1798</v>
      </c>
      <c r="D454" t="s">
        <v>1798</v>
      </c>
      <c r="E454" s="1002">
        <v>1.665</v>
      </c>
      <c r="F454" s="1002">
        <v>0</v>
      </c>
      <c r="G454" s="1002">
        <v>0</v>
      </c>
      <c r="H454" s="1002">
        <v>0</v>
      </c>
      <c r="I454" s="1002">
        <v>0</v>
      </c>
      <c r="J454" s="1002">
        <v>1.665</v>
      </c>
      <c r="K454" s="1002">
        <v>1.474</v>
      </c>
      <c r="L454" s="1002">
        <v>0</v>
      </c>
      <c r="M454" s="1002">
        <v>0</v>
      </c>
      <c r="N454" s="1002">
        <v>0</v>
      </c>
      <c r="O454" s="1002">
        <v>0</v>
      </c>
      <c r="P454" s="1002">
        <v>1.474</v>
      </c>
    </row>
    <row r="455" spans="1:16" hidden="1" x14ac:dyDescent="0.35">
      <c r="A455" t="s">
        <v>1712</v>
      </c>
      <c r="B455" t="s">
        <v>1803</v>
      </c>
      <c r="C455" t="s">
        <v>1806</v>
      </c>
      <c r="D455" t="s">
        <v>1805</v>
      </c>
      <c r="E455" s="1002">
        <v>34.912999999999997</v>
      </c>
      <c r="F455" s="1002">
        <v>0</v>
      </c>
      <c r="G455" s="1002">
        <v>0</v>
      </c>
      <c r="H455" s="1002">
        <v>0</v>
      </c>
      <c r="I455" s="1002">
        <v>0</v>
      </c>
      <c r="J455" s="1002">
        <v>34.912999999999997</v>
      </c>
      <c r="K455" s="1002">
        <v>34</v>
      </c>
      <c r="L455" s="1002">
        <v>0</v>
      </c>
      <c r="M455" s="1002">
        <v>0</v>
      </c>
      <c r="N455" s="1002">
        <v>0</v>
      </c>
      <c r="O455" s="1002">
        <v>0</v>
      </c>
      <c r="P455" s="1002">
        <v>34</v>
      </c>
    </row>
    <row r="456" spans="1:16" hidden="1" x14ac:dyDescent="0.35">
      <c r="A456" t="s">
        <v>1712</v>
      </c>
      <c r="B456" t="s">
        <v>1803</v>
      </c>
      <c r="C456" t="s">
        <v>1806</v>
      </c>
      <c r="D456" t="s">
        <v>1809</v>
      </c>
      <c r="E456" s="1002">
        <v>0</v>
      </c>
      <c r="F456" s="1002">
        <v>2.5</v>
      </c>
      <c r="G456" s="1002">
        <v>0</v>
      </c>
      <c r="H456" s="1002">
        <v>0</v>
      </c>
      <c r="I456" s="1002">
        <v>0</v>
      </c>
      <c r="J456" s="1002">
        <v>2.5</v>
      </c>
      <c r="K456" s="1002">
        <v>0</v>
      </c>
      <c r="L456" s="1002">
        <v>2.2000000000000002</v>
      </c>
      <c r="M456" s="1002">
        <v>0</v>
      </c>
      <c r="N456" s="1002">
        <v>0</v>
      </c>
      <c r="O456" s="1002">
        <v>0</v>
      </c>
      <c r="P456" s="1002">
        <v>2.2000000000000002</v>
      </c>
    </row>
    <row r="457" spans="1:16" hidden="1" x14ac:dyDescent="0.35">
      <c r="A457" t="s">
        <v>1712</v>
      </c>
      <c r="B457" t="s">
        <v>1803</v>
      </c>
      <c r="C457" t="s">
        <v>1812</v>
      </c>
      <c r="D457" t="s">
        <v>1812</v>
      </c>
      <c r="E457" s="1002">
        <v>0</v>
      </c>
      <c r="F457" s="1002">
        <v>0</v>
      </c>
      <c r="G457" s="1002">
        <v>3.5</v>
      </c>
      <c r="H457" s="1002">
        <v>0</v>
      </c>
      <c r="I457" s="1002">
        <v>0</v>
      </c>
      <c r="J457" s="1002">
        <v>3.5</v>
      </c>
      <c r="K457" s="1002">
        <v>0</v>
      </c>
      <c r="L457" s="1002">
        <v>0</v>
      </c>
      <c r="M457" s="1002">
        <v>4</v>
      </c>
      <c r="N457" s="1002">
        <v>0</v>
      </c>
      <c r="O457" s="1002">
        <v>0</v>
      </c>
      <c r="P457" s="1002">
        <v>4</v>
      </c>
    </row>
    <row r="458" spans="1:16" hidden="1" x14ac:dyDescent="0.35">
      <c r="A458" t="s">
        <v>1712</v>
      </c>
      <c r="B458" t="s">
        <v>1803</v>
      </c>
      <c r="C458" t="s">
        <v>1795</v>
      </c>
      <c r="D458" t="s">
        <v>1795</v>
      </c>
      <c r="E458" s="1002">
        <v>-5.8</v>
      </c>
      <c r="F458" s="1002">
        <v>0</v>
      </c>
      <c r="G458" s="1002">
        <v>0</v>
      </c>
      <c r="H458" s="1002">
        <v>0</v>
      </c>
      <c r="I458" s="1002">
        <v>0</v>
      </c>
      <c r="J458" s="1002">
        <v>-5.8</v>
      </c>
      <c r="K458" s="1002">
        <v>-5.8</v>
      </c>
      <c r="L458" s="1002">
        <v>0</v>
      </c>
      <c r="M458" s="1002">
        <v>0</v>
      </c>
      <c r="N458" s="1002">
        <v>0</v>
      </c>
      <c r="O458" s="1002">
        <v>0</v>
      </c>
      <c r="P458" s="1002">
        <v>-5.8</v>
      </c>
    </row>
    <row r="459" spans="1:16" hidden="1" x14ac:dyDescent="0.35">
      <c r="A459" t="s">
        <v>1712</v>
      </c>
      <c r="B459" t="s">
        <v>530</v>
      </c>
      <c r="C459" t="s">
        <v>531</v>
      </c>
      <c r="D459" t="s">
        <v>1817</v>
      </c>
      <c r="E459" s="1002">
        <v>5.6319999999999997</v>
      </c>
      <c r="F459" s="1002">
        <v>0</v>
      </c>
      <c r="G459" s="1002">
        <v>0</v>
      </c>
      <c r="H459" s="1002">
        <v>0</v>
      </c>
      <c r="I459" s="1002">
        <v>0</v>
      </c>
      <c r="J459" s="1002">
        <v>5.6319999999999997</v>
      </c>
      <c r="K459" s="1002">
        <v>5.44</v>
      </c>
      <c r="L459" s="1002">
        <v>0</v>
      </c>
      <c r="M459" s="1002">
        <v>0</v>
      </c>
      <c r="N459" s="1002">
        <v>0</v>
      </c>
      <c r="O459" s="1002">
        <v>0</v>
      </c>
      <c r="P459" s="1002">
        <v>5.44</v>
      </c>
    </row>
    <row r="460" spans="1:16" hidden="1" x14ac:dyDescent="0.35">
      <c r="A460" t="s">
        <v>1712</v>
      </c>
      <c r="B460" t="s">
        <v>530</v>
      </c>
      <c r="C460" t="s">
        <v>531</v>
      </c>
      <c r="D460" t="s">
        <v>1820</v>
      </c>
      <c r="E460" s="1002">
        <v>0</v>
      </c>
      <c r="F460" s="1002">
        <v>0</v>
      </c>
      <c r="G460" s="1002">
        <v>0</v>
      </c>
      <c r="H460" s="1002">
        <v>0</v>
      </c>
      <c r="I460" s="1002">
        <v>0</v>
      </c>
      <c r="J460" s="1002">
        <v>0</v>
      </c>
      <c r="K460" s="1002">
        <v>0</v>
      </c>
      <c r="L460" s="1002">
        <v>0</v>
      </c>
      <c r="M460" s="1002">
        <v>0</v>
      </c>
      <c r="N460" s="1002">
        <v>0</v>
      </c>
      <c r="O460" s="1002">
        <v>0</v>
      </c>
      <c r="P460" s="1002">
        <v>0</v>
      </c>
    </row>
    <row r="461" spans="1:16" hidden="1" x14ac:dyDescent="0.35">
      <c r="A461" t="s">
        <v>1712</v>
      </c>
      <c r="B461" t="s">
        <v>530</v>
      </c>
      <c r="C461" t="s">
        <v>531</v>
      </c>
      <c r="D461" t="s">
        <v>1823</v>
      </c>
      <c r="E461" s="1002">
        <v>0.38300000000000001</v>
      </c>
      <c r="F461" s="1002">
        <v>0</v>
      </c>
      <c r="G461" s="1002">
        <v>0</v>
      </c>
      <c r="H461" s="1002">
        <v>0</v>
      </c>
      <c r="I461" s="1002">
        <v>0</v>
      </c>
      <c r="J461" s="1002">
        <v>0.38300000000000001</v>
      </c>
      <c r="K461" s="1002">
        <v>0.41131451000000002</v>
      </c>
      <c r="L461" s="1002">
        <v>0</v>
      </c>
      <c r="M461" s="1002">
        <v>0</v>
      </c>
      <c r="N461" s="1002">
        <v>0</v>
      </c>
      <c r="O461" s="1002">
        <v>0</v>
      </c>
      <c r="P461" s="1002">
        <v>0.41131451000000002</v>
      </c>
    </row>
    <row r="462" spans="1:16" hidden="1" x14ac:dyDescent="0.35">
      <c r="A462" t="s">
        <v>1712</v>
      </c>
      <c r="B462" t="s">
        <v>530</v>
      </c>
      <c r="C462" t="s">
        <v>531</v>
      </c>
      <c r="D462" t="s">
        <v>1825</v>
      </c>
      <c r="E462" s="1002">
        <v>0.64700000000000002</v>
      </c>
      <c r="F462" s="1002">
        <v>0</v>
      </c>
      <c r="G462" s="1002">
        <v>0</v>
      </c>
      <c r="H462" s="1002">
        <v>0</v>
      </c>
      <c r="I462" s="1002">
        <v>0</v>
      </c>
      <c r="J462" s="1002">
        <v>0.64700000000000002</v>
      </c>
      <c r="K462" s="1002">
        <v>0.67697242999999996</v>
      </c>
      <c r="L462" s="1002">
        <v>0</v>
      </c>
      <c r="M462" s="1002">
        <v>0</v>
      </c>
      <c r="N462" s="1002">
        <v>0</v>
      </c>
      <c r="O462" s="1002">
        <v>0</v>
      </c>
      <c r="P462" s="1002">
        <v>0.67697242999999996</v>
      </c>
    </row>
    <row r="463" spans="1:16" hidden="1" x14ac:dyDescent="0.35">
      <c r="A463" t="s">
        <v>1712</v>
      </c>
      <c r="B463" t="s">
        <v>530</v>
      </c>
      <c r="C463" t="s">
        <v>531</v>
      </c>
      <c r="D463" t="s">
        <v>1827</v>
      </c>
      <c r="E463" s="1002">
        <v>0.48399999999999999</v>
      </c>
      <c r="F463" s="1002">
        <v>0</v>
      </c>
      <c r="G463" s="1002">
        <v>0</v>
      </c>
      <c r="H463" s="1002">
        <v>0</v>
      </c>
      <c r="I463" s="1002">
        <v>0</v>
      </c>
      <c r="J463" s="1002">
        <v>0.48399999999999999</v>
      </c>
      <c r="K463" s="1002">
        <v>0.48089453000000004</v>
      </c>
      <c r="L463" s="1002">
        <v>0</v>
      </c>
      <c r="M463" s="1002">
        <v>0</v>
      </c>
      <c r="N463" s="1002">
        <v>0</v>
      </c>
      <c r="O463" s="1002">
        <v>0</v>
      </c>
      <c r="P463" s="1002">
        <v>0.48089453000000004</v>
      </c>
    </row>
    <row r="464" spans="1:16" hidden="1" x14ac:dyDescent="0.35">
      <c r="A464" t="s">
        <v>1712</v>
      </c>
      <c r="B464" t="s">
        <v>530</v>
      </c>
      <c r="C464" t="s">
        <v>531</v>
      </c>
      <c r="D464" t="s">
        <v>1829</v>
      </c>
      <c r="E464" s="1002">
        <v>11.475</v>
      </c>
      <c r="F464" s="1002">
        <v>0</v>
      </c>
      <c r="G464" s="1002">
        <v>0</v>
      </c>
      <c r="H464" s="1002">
        <v>0</v>
      </c>
      <c r="I464" s="1002">
        <v>0</v>
      </c>
      <c r="J464" s="1002">
        <v>11.475</v>
      </c>
      <c r="K464" s="1002">
        <v>12.8</v>
      </c>
      <c r="L464" s="1002">
        <v>0</v>
      </c>
      <c r="M464" s="1002">
        <v>0</v>
      </c>
      <c r="N464" s="1002">
        <v>0</v>
      </c>
      <c r="O464" s="1002">
        <v>0</v>
      </c>
      <c r="P464" s="1002">
        <v>12.8</v>
      </c>
    </row>
    <row r="465" spans="1:16" hidden="1" x14ac:dyDescent="0.35">
      <c r="A465" t="s">
        <v>1712</v>
      </c>
      <c r="B465" t="s">
        <v>530</v>
      </c>
      <c r="C465" t="s">
        <v>531</v>
      </c>
      <c r="D465" t="s">
        <v>1832</v>
      </c>
      <c r="E465" s="1002">
        <v>0.23499999999999999</v>
      </c>
      <c r="F465" s="1002">
        <v>0</v>
      </c>
      <c r="G465" s="1002">
        <v>0</v>
      </c>
      <c r="H465" s="1002">
        <v>0</v>
      </c>
      <c r="I465" s="1002">
        <v>0</v>
      </c>
      <c r="J465" s="1002">
        <v>0.23499999999999999</v>
      </c>
      <c r="K465" s="1002">
        <v>0.26</v>
      </c>
      <c r="L465" s="1002">
        <v>0</v>
      </c>
      <c r="M465" s="1002">
        <v>0</v>
      </c>
      <c r="N465" s="1002">
        <v>0</v>
      </c>
      <c r="O465" s="1002">
        <v>0</v>
      </c>
      <c r="P465" s="1002">
        <v>0.26</v>
      </c>
    </row>
    <row r="466" spans="1:16" hidden="1" x14ac:dyDescent="0.35">
      <c r="A466" t="s">
        <v>1712</v>
      </c>
      <c r="B466" t="s">
        <v>530</v>
      </c>
      <c r="C466" t="s">
        <v>531</v>
      </c>
      <c r="D466" t="s">
        <v>1835</v>
      </c>
      <c r="E466" s="1002">
        <v>0</v>
      </c>
      <c r="F466" s="1002">
        <v>0</v>
      </c>
      <c r="G466" s="1002">
        <v>0</v>
      </c>
      <c r="H466" s="1002">
        <v>0</v>
      </c>
      <c r="I466" s="1002">
        <v>0</v>
      </c>
      <c r="J466" s="1002">
        <v>0</v>
      </c>
      <c r="K466" s="1002">
        <v>0</v>
      </c>
      <c r="L466" s="1002">
        <v>0</v>
      </c>
      <c r="M466" s="1002">
        <v>0</v>
      </c>
      <c r="N466" s="1002">
        <v>0</v>
      </c>
      <c r="O466" s="1002">
        <v>0</v>
      </c>
      <c r="P466" s="1002">
        <v>0</v>
      </c>
    </row>
    <row r="467" spans="1:16" hidden="1" x14ac:dyDescent="0.35">
      <c r="A467" t="s">
        <v>1712</v>
      </c>
      <c r="B467" t="s">
        <v>530</v>
      </c>
      <c r="C467" t="s">
        <v>531</v>
      </c>
      <c r="D467" t="s">
        <v>1836</v>
      </c>
      <c r="E467" s="1002">
        <v>1.1120000000000001</v>
      </c>
      <c r="F467" s="1002">
        <v>0</v>
      </c>
      <c r="G467" s="1002">
        <v>0</v>
      </c>
      <c r="H467" s="1002">
        <v>0</v>
      </c>
      <c r="I467" s="1002">
        <v>0</v>
      </c>
      <c r="J467" s="1002">
        <v>1.1120000000000001</v>
      </c>
      <c r="K467" s="1002">
        <v>1.2</v>
      </c>
      <c r="L467" s="1002">
        <v>0</v>
      </c>
      <c r="M467" s="1002">
        <v>0</v>
      </c>
      <c r="N467" s="1002">
        <v>0</v>
      </c>
      <c r="O467" s="1002">
        <v>0</v>
      </c>
      <c r="P467" s="1002">
        <v>1.2</v>
      </c>
    </row>
    <row r="468" spans="1:16" hidden="1" x14ac:dyDescent="0.35">
      <c r="A468" t="s">
        <v>1712</v>
      </c>
      <c r="B468" t="s">
        <v>530</v>
      </c>
      <c r="C468" t="s">
        <v>531</v>
      </c>
      <c r="D468" t="s">
        <v>1838</v>
      </c>
      <c r="E468" s="1002">
        <v>0.19</v>
      </c>
      <c r="F468" s="1002">
        <v>0</v>
      </c>
      <c r="G468" s="1002">
        <v>0</v>
      </c>
      <c r="H468" s="1002">
        <v>0</v>
      </c>
      <c r="I468" s="1002">
        <v>0</v>
      </c>
      <c r="J468" s="1002">
        <v>0.19</v>
      </c>
      <c r="K468" s="1002">
        <v>0.18</v>
      </c>
      <c r="L468" s="1002">
        <v>0</v>
      </c>
      <c r="M468" s="1002">
        <v>0</v>
      </c>
      <c r="N468" s="1002">
        <v>0</v>
      </c>
      <c r="O468" s="1002">
        <v>0</v>
      </c>
      <c r="P468" s="1002">
        <v>0.18</v>
      </c>
    </row>
    <row r="469" spans="1:16" hidden="1" x14ac:dyDescent="0.35">
      <c r="A469" t="s">
        <v>1712</v>
      </c>
      <c r="B469" t="s">
        <v>530</v>
      </c>
      <c r="C469" t="s">
        <v>531</v>
      </c>
      <c r="D469" t="s">
        <v>1840</v>
      </c>
      <c r="E469" s="1002">
        <v>0.499</v>
      </c>
      <c r="F469" s="1002">
        <v>0</v>
      </c>
      <c r="G469" s="1002">
        <v>0</v>
      </c>
      <c r="H469" s="1002">
        <v>0</v>
      </c>
      <c r="I469" s="1002">
        <v>0</v>
      </c>
      <c r="J469" s="1002">
        <v>0.499</v>
      </c>
      <c r="K469" s="1002">
        <v>0.54065313000000004</v>
      </c>
      <c r="L469" s="1002">
        <v>0</v>
      </c>
      <c r="M469" s="1002">
        <v>0</v>
      </c>
      <c r="N469" s="1002">
        <v>0</v>
      </c>
      <c r="O469" s="1002">
        <v>0</v>
      </c>
      <c r="P469" s="1002">
        <v>0.54065313000000004</v>
      </c>
    </row>
    <row r="470" spans="1:16" hidden="1" x14ac:dyDescent="0.35">
      <c r="A470" t="s">
        <v>1712</v>
      </c>
      <c r="B470" t="s">
        <v>530</v>
      </c>
      <c r="C470" t="s">
        <v>531</v>
      </c>
      <c r="D470" t="s">
        <v>1842</v>
      </c>
      <c r="E470" s="1002">
        <v>0.54700000000000004</v>
      </c>
      <c r="F470" s="1002">
        <v>0</v>
      </c>
      <c r="G470" s="1002">
        <v>0</v>
      </c>
      <c r="H470" s="1002">
        <v>0</v>
      </c>
      <c r="I470" s="1002">
        <v>0</v>
      </c>
      <c r="J470" s="1002">
        <v>0.54700000000000004</v>
      </c>
      <c r="K470" s="1002">
        <v>0.56320119999999996</v>
      </c>
      <c r="L470" s="1002">
        <v>0</v>
      </c>
      <c r="M470" s="1002">
        <v>0</v>
      </c>
      <c r="N470" s="1002">
        <v>0</v>
      </c>
      <c r="O470" s="1002">
        <v>0</v>
      </c>
      <c r="P470" s="1002">
        <v>0.56320119999999996</v>
      </c>
    </row>
    <row r="471" spans="1:16" hidden="1" x14ac:dyDescent="0.35">
      <c r="A471" t="s">
        <v>1712</v>
      </c>
      <c r="B471" t="s">
        <v>530</v>
      </c>
      <c r="C471" t="s">
        <v>531</v>
      </c>
      <c r="D471" t="s">
        <v>1844</v>
      </c>
      <c r="E471" s="1002">
        <v>1.893</v>
      </c>
      <c r="F471" s="1002">
        <v>0</v>
      </c>
      <c r="G471" s="1002">
        <v>0</v>
      </c>
      <c r="H471" s="1002">
        <v>0</v>
      </c>
      <c r="I471" s="1002">
        <v>0</v>
      </c>
      <c r="J471" s="1002">
        <v>1.893</v>
      </c>
      <c r="K471" s="1002">
        <v>1.8440000000000001</v>
      </c>
      <c r="L471" s="1002">
        <v>0</v>
      </c>
      <c r="M471" s="1002">
        <v>0</v>
      </c>
      <c r="N471" s="1002">
        <v>0</v>
      </c>
      <c r="O471" s="1002">
        <v>0</v>
      </c>
      <c r="P471" s="1002">
        <v>1.8440000000000001</v>
      </c>
    </row>
    <row r="472" spans="1:16" hidden="1" x14ac:dyDescent="0.35">
      <c r="A472" t="s">
        <v>1712</v>
      </c>
      <c r="B472" t="s">
        <v>530</v>
      </c>
      <c r="C472" t="s">
        <v>531</v>
      </c>
      <c r="D472" t="s">
        <v>1846</v>
      </c>
      <c r="E472" s="1002">
        <v>1.637</v>
      </c>
      <c r="F472" s="1002">
        <v>0.435</v>
      </c>
      <c r="G472" s="1002">
        <v>0</v>
      </c>
      <c r="H472" s="1002">
        <v>0</v>
      </c>
      <c r="I472" s="1002">
        <v>0</v>
      </c>
      <c r="J472" s="1002">
        <v>2.0720000000000001</v>
      </c>
      <c r="K472" s="1002">
        <v>1.6601099000000001</v>
      </c>
      <c r="L472" s="1002">
        <v>0.435</v>
      </c>
      <c r="M472" s="1002">
        <v>0</v>
      </c>
      <c r="N472" s="1002">
        <v>0</v>
      </c>
      <c r="O472" s="1002">
        <v>0</v>
      </c>
      <c r="P472" s="1002">
        <v>2.0951099000000002</v>
      </c>
    </row>
    <row r="473" spans="1:16" hidden="1" x14ac:dyDescent="0.35">
      <c r="A473" t="s">
        <v>1712</v>
      </c>
      <c r="B473" t="s">
        <v>530</v>
      </c>
      <c r="C473" t="s">
        <v>531</v>
      </c>
      <c r="D473" t="s">
        <v>1849</v>
      </c>
      <c r="E473" s="1002">
        <v>0.46</v>
      </c>
      <c r="F473" s="1002">
        <v>0</v>
      </c>
      <c r="G473" s="1002">
        <v>0</v>
      </c>
      <c r="H473" s="1002">
        <v>0</v>
      </c>
      <c r="I473" s="1002">
        <v>0</v>
      </c>
      <c r="J473" s="1002">
        <v>0.46</v>
      </c>
      <c r="K473" s="1002">
        <v>0.49608944999999999</v>
      </c>
      <c r="L473" s="1002">
        <v>0</v>
      </c>
      <c r="M473" s="1002">
        <v>0</v>
      </c>
      <c r="N473" s="1002">
        <v>0</v>
      </c>
      <c r="O473" s="1002">
        <v>0</v>
      </c>
      <c r="P473" s="1002">
        <v>0.49608944999999999</v>
      </c>
    </row>
    <row r="474" spans="1:16" hidden="1" x14ac:dyDescent="0.35">
      <c r="A474" t="s">
        <v>1712</v>
      </c>
      <c r="B474" t="s">
        <v>530</v>
      </c>
      <c r="C474" t="s">
        <v>531</v>
      </c>
      <c r="D474" t="s">
        <v>1851</v>
      </c>
      <c r="E474" s="1002">
        <v>0.45900000000000002</v>
      </c>
      <c r="F474" s="1002">
        <v>0</v>
      </c>
      <c r="G474" s="1002">
        <v>0</v>
      </c>
      <c r="H474" s="1002">
        <v>0</v>
      </c>
      <c r="I474" s="1002">
        <v>0</v>
      </c>
      <c r="J474" s="1002">
        <v>0.45900000000000002</v>
      </c>
      <c r="K474" s="1002">
        <v>0.48162502000000001</v>
      </c>
      <c r="L474" s="1002">
        <v>0</v>
      </c>
      <c r="M474" s="1002">
        <v>0</v>
      </c>
      <c r="N474" s="1002">
        <v>0</v>
      </c>
      <c r="O474" s="1002">
        <v>0</v>
      </c>
      <c r="P474" s="1002">
        <v>0.48162502000000001</v>
      </c>
    </row>
    <row r="475" spans="1:16" hidden="1" x14ac:dyDescent="0.35">
      <c r="A475" t="s">
        <v>1712</v>
      </c>
      <c r="B475" t="s">
        <v>530</v>
      </c>
      <c r="C475" t="s">
        <v>1854</v>
      </c>
      <c r="D475" t="s">
        <v>1854</v>
      </c>
      <c r="E475" s="1002">
        <v>0.17499999999999999</v>
      </c>
      <c r="F475" s="1002">
        <v>0</v>
      </c>
      <c r="G475" s="1002">
        <v>0</v>
      </c>
      <c r="H475" s="1002">
        <v>0</v>
      </c>
      <c r="I475" s="1002">
        <v>0</v>
      </c>
      <c r="J475" s="1002">
        <v>0.17499999999999999</v>
      </c>
      <c r="K475" s="1002">
        <v>0.1</v>
      </c>
      <c r="L475" s="1002">
        <v>0</v>
      </c>
      <c r="M475" s="1002">
        <v>0</v>
      </c>
      <c r="N475" s="1002">
        <v>0</v>
      </c>
      <c r="O475" s="1002">
        <v>0</v>
      </c>
      <c r="P475" s="1002">
        <v>0.1</v>
      </c>
    </row>
    <row r="476" spans="1:16" hidden="1" x14ac:dyDescent="0.35">
      <c r="A476" t="s">
        <v>224</v>
      </c>
      <c r="B476" t="s">
        <v>227</v>
      </c>
      <c r="C476" t="s">
        <v>228</v>
      </c>
      <c r="D476" t="s">
        <v>228</v>
      </c>
      <c r="E476" s="1002">
        <v>5.2220000000000004</v>
      </c>
      <c r="F476" s="1002">
        <v>0</v>
      </c>
      <c r="G476" s="1002">
        <v>0</v>
      </c>
      <c r="H476" s="1002">
        <v>0</v>
      </c>
      <c r="I476" s="1002">
        <v>0</v>
      </c>
      <c r="J476" s="1002">
        <v>5.2220000000000004</v>
      </c>
      <c r="K476" s="1002">
        <v>35.387000000000008</v>
      </c>
      <c r="L476" s="1002">
        <v>0</v>
      </c>
      <c r="M476" s="1002">
        <v>0</v>
      </c>
      <c r="N476" s="1002">
        <v>0</v>
      </c>
      <c r="O476" s="1002">
        <v>0</v>
      </c>
      <c r="P476" s="1002">
        <v>35.387000000000008</v>
      </c>
    </row>
    <row r="477" spans="1:16" hidden="1" x14ac:dyDescent="0.35">
      <c r="A477" t="s">
        <v>224</v>
      </c>
      <c r="B477" t="s">
        <v>227</v>
      </c>
      <c r="C477" t="s">
        <v>231</v>
      </c>
      <c r="D477" t="s">
        <v>231</v>
      </c>
      <c r="E477" s="1002">
        <v>0</v>
      </c>
      <c r="F477" s="1002">
        <v>0</v>
      </c>
      <c r="G477" s="1002">
        <v>0</v>
      </c>
      <c r="H477" s="1002">
        <v>0</v>
      </c>
      <c r="I477" s="1002">
        <v>0</v>
      </c>
      <c r="J477" s="1002">
        <v>0</v>
      </c>
      <c r="K477" s="1002">
        <v>0</v>
      </c>
      <c r="L477" s="1002">
        <v>0</v>
      </c>
      <c r="M477" s="1002">
        <v>0</v>
      </c>
      <c r="N477" s="1002">
        <v>0</v>
      </c>
      <c r="O477" s="1002">
        <v>0</v>
      </c>
      <c r="P477" s="1002">
        <v>0</v>
      </c>
    </row>
    <row r="478" spans="1:16" hidden="1" x14ac:dyDescent="0.35">
      <c r="A478" t="s">
        <v>224</v>
      </c>
      <c r="B478" t="s">
        <v>234</v>
      </c>
      <c r="C478" t="s">
        <v>235</v>
      </c>
      <c r="D478" t="s">
        <v>235</v>
      </c>
      <c r="E478" s="1002">
        <v>10034.816000000001</v>
      </c>
      <c r="F478" s="1002">
        <v>0</v>
      </c>
      <c r="G478" s="1002">
        <v>0</v>
      </c>
      <c r="H478" s="1002">
        <v>0</v>
      </c>
      <c r="I478" s="1002">
        <v>0</v>
      </c>
      <c r="J478" s="1002">
        <v>10034.816000000001</v>
      </c>
      <c r="K478" s="1002">
        <v>9458.4239999999991</v>
      </c>
      <c r="L478" s="1002">
        <v>0</v>
      </c>
      <c r="M478" s="1002">
        <v>0</v>
      </c>
      <c r="N478" s="1002">
        <v>0</v>
      </c>
      <c r="O478" s="1002">
        <v>0</v>
      </c>
      <c r="P478" s="1002">
        <v>9458.4239999999991</v>
      </c>
    </row>
    <row r="479" spans="1:16" hidden="1" x14ac:dyDescent="0.35">
      <c r="A479" t="s">
        <v>224</v>
      </c>
      <c r="B479" t="s">
        <v>234</v>
      </c>
      <c r="C479" t="s">
        <v>238</v>
      </c>
      <c r="D479" t="s">
        <v>238</v>
      </c>
      <c r="E479" s="1002">
        <v>0</v>
      </c>
      <c r="F479" s="1002">
        <v>0</v>
      </c>
      <c r="G479" s="1002">
        <v>0</v>
      </c>
      <c r="H479" s="1002">
        <v>0</v>
      </c>
      <c r="I479" s="1002">
        <v>3068</v>
      </c>
      <c r="J479" s="1002">
        <v>3068</v>
      </c>
      <c r="K479" s="1002">
        <v>0</v>
      </c>
      <c r="L479" s="1002">
        <v>0</v>
      </c>
      <c r="M479" s="1002">
        <v>0</v>
      </c>
      <c r="N479" s="1002">
        <v>0</v>
      </c>
      <c r="O479" s="1002">
        <v>3114</v>
      </c>
      <c r="P479" s="1002">
        <v>3114</v>
      </c>
    </row>
    <row r="480" spans="1:16" hidden="1" x14ac:dyDescent="0.35">
      <c r="A480" t="s">
        <v>224</v>
      </c>
      <c r="B480" t="s">
        <v>234</v>
      </c>
      <c r="C480" t="s">
        <v>240</v>
      </c>
      <c r="D480" t="s">
        <v>240</v>
      </c>
      <c r="E480" s="1002">
        <v>0</v>
      </c>
      <c r="F480" s="1002">
        <v>0</v>
      </c>
      <c r="G480" s="1002">
        <v>0</v>
      </c>
      <c r="H480" s="1002">
        <v>0</v>
      </c>
      <c r="I480" s="1002">
        <v>0</v>
      </c>
      <c r="J480" s="1002">
        <v>0</v>
      </c>
      <c r="K480" s="1002">
        <v>0</v>
      </c>
      <c r="L480" s="1002">
        <v>0</v>
      </c>
      <c r="M480" s="1002">
        <v>0</v>
      </c>
      <c r="N480" s="1002">
        <v>0</v>
      </c>
      <c r="O480" s="1002">
        <v>0</v>
      </c>
      <c r="P480" s="1002">
        <v>0</v>
      </c>
    </row>
    <row r="481" spans="1:16" hidden="1" x14ac:dyDescent="0.35">
      <c r="A481" t="s">
        <v>224</v>
      </c>
      <c r="B481" t="s">
        <v>234</v>
      </c>
      <c r="C481" t="s">
        <v>241</v>
      </c>
      <c r="D481" t="s">
        <v>241</v>
      </c>
      <c r="E481" s="1002">
        <v>0</v>
      </c>
      <c r="F481" s="1002">
        <v>0</v>
      </c>
      <c r="G481" s="1002">
        <v>538.4</v>
      </c>
      <c r="H481" s="1002">
        <v>0</v>
      </c>
      <c r="I481" s="1002">
        <v>0</v>
      </c>
      <c r="J481" s="1002">
        <v>538.4</v>
      </c>
      <c r="K481" s="1002">
        <v>0</v>
      </c>
      <c r="L481" s="1002">
        <v>0</v>
      </c>
      <c r="M481" s="1002">
        <v>556</v>
      </c>
      <c r="N481" s="1002">
        <v>0</v>
      </c>
      <c r="O481" s="1002">
        <v>0</v>
      </c>
      <c r="P481" s="1002">
        <v>556</v>
      </c>
    </row>
    <row r="482" spans="1:16" hidden="1" x14ac:dyDescent="0.35">
      <c r="A482" t="s">
        <v>224</v>
      </c>
      <c r="B482" t="s">
        <v>234</v>
      </c>
      <c r="C482" t="s">
        <v>243</v>
      </c>
      <c r="D482" t="s">
        <v>243</v>
      </c>
      <c r="E482" s="1002">
        <v>263.31400000000002</v>
      </c>
      <c r="F482" s="1002">
        <v>0</v>
      </c>
      <c r="G482" s="1002">
        <v>0</v>
      </c>
      <c r="H482" s="1002">
        <v>0</v>
      </c>
      <c r="I482" s="1002">
        <v>0</v>
      </c>
      <c r="J482" s="1002">
        <v>263.31400000000002</v>
      </c>
      <c r="K482" s="1002">
        <v>247.4</v>
      </c>
      <c r="L482" s="1002">
        <v>0</v>
      </c>
      <c r="M482" s="1002">
        <v>0</v>
      </c>
      <c r="N482" s="1002">
        <v>0</v>
      </c>
      <c r="O482" s="1002">
        <v>0</v>
      </c>
      <c r="P482" s="1002">
        <v>247.4</v>
      </c>
    </row>
    <row r="483" spans="1:16" hidden="1" x14ac:dyDescent="0.35">
      <c r="A483" t="s">
        <v>224</v>
      </c>
      <c r="B483" t="s">
        <v>234</v>
      </c>
      <c r="C483" t="s">
        <v>245</v>
      </c>
      <c r="D483" t="s">
        <v>245</v>
      </c>
      <c r="E483" s="1002">
        <v>0</v>
      </c>
      <c r="F483" s="1002">
        <v>0</v>
      </c>
      <c r="G483" s="1002">
        <v>97.173000000000002</v>
      </c>
      <c r="H483" s="1002">
        <v>0</v>
      </c>
      <c r="I483" s="1002">
        <v>0</v>
      </c>
      <c r="J483" s="1002">
        <v>97.173000000000002</v>
      </c>
      <c r="K483" s="1002">
        <v>0</v>
      </c>
      <c r="L483" s="1002">
        <v>0</v>
      </c>
      <c r="M483" s="1002">
        <v>196.1</v>
      </c>
      <c r="N483" s="1002">
        <v>0</v>
      </c>
      <c r="O483" s="1002">
        <v>0</v>
      </c>
      <c r="P483" s="1002">
        <v>196.1</v>
      </c>
    </row>
    <row r="484" spans="1:16" hidden="1" x14ac:dyDescent="0.35">
      <c r="A484" t="s">
        <v>224</v>
      </c>
      <c r="B484" t="s">
        <v>234</v>
      </c>
      <c r="C484" t="s">
        <v>247</v>
      </c>
      <c r="D484" t="s">
        <v>247</v>
      </c>
      <c r="E484" s="1002">
        <v>2.855</v>
      </c>
      <c r="F484" s="1002">
        <v>0</v>
      </c>
      <c r="G484" s="1002">
        <v>0</v>
      </c>
      <c r="H484" s="1002">
        <v>0</v>
      </c>
      <c r="I484" s="1002">
        <v>0</v>
      </c>
      <c r="J484" s="1002">
        <v>2.855</v>
      </c>
      <c r="K484" s="1002">
        <v>3.2309999999999999</v>
      </c>
      <c r="L484" s="1002">
        <v>0</v>
      </c>
      <c r="M484" s="1002">
        <v>0</v>
      </c>
      <c r="N484" s="1002">
        <v>0</v>
      </c>
      <c r="O484" s="1002">
        <v>0</v>
      </c>
      <c r="P484" s="1002">
        <v>3.2309999999999999</v>
      </c>
    </row>
    <row r="485" spans="1:16" hidden="1" x14ac:dyDescent="0.35">
      <c r="A485" t="s">
        <v>224</v>
      </c>
      <c r="B485" t="s">
        <v>227</v>
      </c>
      <c r="C485" t="s">
        <v>249</v>
      </c>
      <c r="D485" t="s">
        <v>249</v>
      </c>
      <c r="E485" s="1002">
        <v>0.42799999999999999</v>
      </c>
      <c r="F485" s="1002">
        <v>0</v>
      </c>
      <c r="G485" s="1002">
        <v>0</v>
      </c>
      <c r="H485" s="1002">
        <v>0</v>
      </c>
      <c r="I485" s="1002">
        <v>0</v>
      </c>
      <c r="J485" s="1002">
        <v>0.42799999999999999</v>
      </c>
      <c r="K485" s="1002">
        <v>0.52800000000000002</v>
      </c>
      <c r="L485" s="1002">
        <v>0</v>
      </c>
      <c r="M485" s="1002">
        <v>0</v>
      </c>
      <c r="N485" s="1002">
        <v>0</v>
      </c>
      <c r="O485" s="1002">
        <v>0</v>
      </c>
      <c r="P485" s="1002">
        <v>0.52800000000000002</v>
      </c>
    </row>
    <row r="486" spans="1:16" hidden="1" x14ac:dyDescent="0.35">
      <c r="A486" t="s">
        <v>224</v>
      </c>
      <c r="B486" t="s">
        <v>253</v>
      </c>
      <c r="C486" t="s">
        <v>256</v>
      </c>
      <c r="D486" t="s">
        <v>255</v>
      </c>
      <c r="E486" s="1002">
        <v>23.210999999999999</v>
      </c>
      <c r="F486" s="1002">
        <v>0</v>
      </c>
      <c r="G486" s="1002">
        <v>0</v>
      </c>
      <c r="H486" s="1002">
        <v>0</v>
      </c>
      <c r="I486" s="1002">
        <v>0</v>
      </c>
      <c r="J486" s="1002">
        <v>23.210999999999999</v>
      </c>
      <c r="K486" s="1002">
        <v>30.62</v>
      </c>
      <c r="L486" s="1002">
        <v>0</v>
      </c>
      <c r="M486" s="1002">
        <v>0</v>
      </c>
      <c r="N486" s="1002">
        <v>0</v>
      </c>
      <c r="O486" s="1002">
        <v>0</v>
      </c>
      <c r="P486" s="1002">
        <v>30.62</v>
      </c>
    </row>
    <row r="487" spans="1:16" hidden="1" x14ac:dyDescent="0.35">
      <c r="A487" t="s">
        <v>224</v>
      </c>
      <c r="B487" t="s">
        <v>253</v>
      </c>
      <c r="C487" t="s">
        <v>256</v>
      </c>
      <c r="D487" t="s">
        <v>259</v>
      </c>
      <c r="E487" s="1002">
        <v>0</v>
      </c>
      <c r="F487" s="1002">
        <v>6</v>
      </c>
      <c r="G487" s="1002">
        <v>0</v>
      </c>
      <c r="H487" s="1002">
        <v>0</v>
      </c>
      <c r="I487" s="1002">
        <v>0</v>
      </c>
      <c r="J487" s="1002">
        <v>6</v>
      </c>
      <c r="K487" s="1002">
        <v>0</v>
      </c>
      <c r="L487" s="1002">
        <v>2.5</v>
      </c>
      <c r="M487" s="1002">
        <v>0</v>
      </c>
      <c r="N487" s="1002">
        <v>0</v>
      </c>
      <c r="O487" s="1002">
        <v>0</v>
      </c>
      <c r="P487" s="1002">
        <v>2.5</v>
      </c>
    </row>
    <row r="488" spans="1:16" hidden="1" x14ac:dyDescent="0.35">
      <c r="A488" t="s">
        <v>224</v>
      </c>
      <c r="B488" t="s">
        <v>253</v>
      </c>
      <c r="C488" t="s">
        <v>256</v>
      </c>
      <c r="D488" t="s">
        <v>261</v>
      </c>
      <c r="E488" s="1002">
        <v>0</v>
      </c>
      <c r="F488" s="1002">
        <v>0</v>
      </c>
      <c r="G488" s="1002">
        <v>2.7</v>
      </c>
      <c r="H488" s="1002">
        <v>0</v>
      </c>
      <c r="I488" s="1002">
        <v>0</v>
      </c>
      <c r="J488" s="1002">
        <v>2.7</v>
      </c>
      <c r="K488" s="1002">
        <v>0</v>
      </c>
      <c r="L488" s="1002">
        <v>0</v>
      </c>
      <c r="M488" s="1002">
        <v>2.8</v>
      </c>
      <c r="N488" s="1002">
        <v>0</v>
      </c>
      <c r="O488" s="1002">
        <v>0</v>
      </c>
      <c r="P488" s="1002">
        <v>2.8</v>
      </c>
    </row>
    <row r="489" spans="1:16" hidden="1" x14ac:dyDescent="0.35">
      <c r="A489" t="s">
        <v>224</v>
      </c>
      <c r="B489" t="s">
        <v>253</v>
      </c>
      <c r="C489" t="s">
        <v>264</v>
      </c>
      <c r="D489" t="s">
        <v>265</v>
      </c>
      <c r="E489" s="1002">
        <v>0</v>
      </c>
      <c r="F489" s="1002">
        <v>0</v>
      </c>
      <c r="G489" s="1002">
        <v>0</v>
      </c>
      <c r="H489" s="1002">
        <v>0</v>
      </c>
      <c r="I489" s="1002">
        <v>2661.018</v>
      </c>
      <c r="J489" s="1002">
        <v>2661.018</v>
      </c>
      <c r="K489" s="1002">
        <v>0</v>
      </c>
      <c r="L489" s="1002">
        <v>0</v>
      </c>
      <c r="M489" s="1002">
        <v>0</v>
      </c>
      <c r="N489" s="1002">
        <v>0</v>
      </c>
      <c r="O489" s="1002">
        <v>2319.0819999999999</v>
      </c>
      <c r="P489" s="1002">
        <v>2319.0819999999999</v>
      </c>
    </row>
    <row r="490" spans="1:16" hidden="1" x14ac:dyDescent="0.35">
      <c r="A490" t="s">
        <v>224</v>
      </c>
      <c r="B490" t="s">
        <v>253</v>
      </c>
      <c r="C490" t="s">
        <v>264</v>
      </c>
      <c r="D490" t="s">
        <v>266</v>
      </c>
      <c r="E490" s="1002">
        <v>0</v>
      </c>
      <c r="F490" s="1002">
        <v>0</v>
      </c>
      <c r="G490" s="1002">
        <v>0</v>
      </c>
      <c r="H490" s="1002">
        <v>0</v>
      </c>
      <c r="I490" s="1002">
        <v>-1231.0260000000001</v>
      </c>
      <c r="J490" s="1002">
        <v>-1231.0260000000001</v>
      </c>
      <c r="K490" s="1002">
        <v>0</v>
      </c>
      <c r="L490" s="1002">
        <v>0</v>
      </c>
      <c r="M490" s="1002">
        <v>0</v>
      </c>
      <c r="N490" s="1002">
        <v>0</v>
      </c>
      <c r="O490" s="1002">
        <v>-1283.4690000000001</v>
      </c>
      <c r="P490" s="1002">
        <v>-1283.4690000000001</v>
      </c>
    </row>
    <row r="491" spans="1:16" hidden="1" x14ac:dyDescent="0.35">
      <c r="A491" t="s">
        <v>224</v>
      </c>
      <c r="B491" t="s">
        <v>253</v>
      </c>
      <c r="C491" t="s">
        <v>268</v>
      </c>
      <c r="D491" t="s">
        <v>269</v>
      </c>
      <c r="E491" s="1002">
        <v>0</v>
      </c>
      <c r="F491" s="1002">
        <v>0</v>
      </c>
      <c r="G491" s="1002">
        <v>0</v>
      </c>
      <c r="H491" s="1002">
        <v>0</v>
      </c>
      <c r="I491" s="1002">
        <v>4670.0010000000002</v>
      </c>
      <c r="J491" s="1002">
        <v>4670.0010000000002</v>
      </c>
      <c r="K491" s="1002">
        <v>0</v>
      </c>
      <c r="L491" s="1002">
        <v>0</v>
      </c>
      <c r="M491" s="1002">
        <v>0</v>
      </c>
      <c r="N491" s="1002">
        <v>0</v>
      </c>
      <c r="O491" s="1002">
        <v>4540.5829999999996</v>
      </c>
      <c r="P491" s="1002">
        <v>4540.5829999999996</v>
      </c>
    </row>
    <row r="492" spans="1:16" hidden="1" x14ac:dyDescent="0.35">
      <c r="A492" t="s">
        <v>224</v>
      </c>
      <c r="B492" t="s">
        <v>253</v>
      </c>
      <c r="C492" t="s">
        <v>268</v>
      </c>
      <c r="D492" t="s">
        <v>271</v>
      </c>
      <c r="E492" s="1002">
        <v>0</v>
      </c>
      <c r="F492" s="1002">
        <v>0</v>
      </c>
      <c r="G492" s="1002">
        <v>0</v>
      </c>
      <c r="H492" s="1002">
        <v>0</v>
      </c>
      <c r="I492" s="1002">
        <v>-2583.6439999999998</v>
      </c>
      <c r="J492" s="1002">
        <v>-2583.6439999999998</v>
      </c>
      <c r="K492" s="1002">
        <v>0</v>
      </c>
      <c r="L492" s="1002">
        <v>0</v>
      </c>
      <c r="M492" s="1002">
        <v>0</v>
      </c>
      <c r="N492" s="1002">
        <v>0</v>
      </c>
      <c r="O492" s="1002">
        <v>-2659.877</v>
      </c>
      <c r="P492" s="1002">
        <v>-2659.877</v>
      </c>
    </row>
    <row r="493" spans="1:16" hidden="1" x14ac:dyDescent="0.35">
      <c r="A493" t="s">
        <v>224</v>
      </c>
      <c r="B493" t="s">
        <v>275</v>
      </c>
      <c r="C493" t="s">
        <v>275</v>
      </c>
      <c r="D493" t="s">
        <v>275</v>
      </c>
      <c r="E493" s="1002">
        <v>2.706</v>
      </c>
      <c r="F493" s="1002">
        <v>0</v>
      </c>
      <c r="G493" s="1002">
        <v>0</v>
      </c>
      <c r="H493" s="1002">
        <v>0</v>
      </c>
      <c r="I493" s="1002">
        <v>0</v>
      </c>
      <c r="J493" s="1002">
        <v>2.706</v>
      </c>
      <c r="K493" s="1002">
        <v>2.7650000000000001</v>
      </c>
      <c r="L493" s="1002">
        <v>0</v>
      </c>
      <c r="M493" s="1002">
        <v>0</v>
      </c>
      <c r="N493" s="1002">
        <v>0</v>
      </c>
      <c r="O493" s="1002">
        <v>0</v>
      </c>
      <c r="P493" s="1002">
        <v>2.7650000000000001</v>
      </c>
    </row>
    <row r="494" spans="1:16" hidden="1" x14ac:dyDescent="0.35">
      <c r="A494" t="s">
        <v>224</v>
      </c>
      <c r="B494" t="s">
        <v>278</v>
      </c>
      <c r="C494" t="s">
        <v>278</v>
      </c>
      <c r="D494" t="s">
        <v>255</v>
      </c>
      <c r="E494" s="1002">
        <v>0</v>
      </c>
      <c r="F494" s="1002">
        <v>0</v>
      </c>
      <c r="G494" s="1002">
        <v>0</v>
      </c>
      <c r="H494" s="1002">
        <v>0</v>
      </c>
      <c r="I494" s="1002">
        <v>0</v>
      </c>
      <c r="J494" s="1002">
        <v>0</v>
      </c>
      <c r="K494" s="1002">
        <v>0</v>
      </c>
      <c r="L494" s="1002">
        <v>0</v>
      </c>
      <c r="M494" s="1002">
        <v>0</v>
      </c>
      <c r="N494" s="1002">
        <v>0</v>
      </c>
      <c r="O494" s="1002">
        <v>0</v>
      </c>
      <c r="P494" s="1002">
        <v>0</v>
      </c>
    </row>
    <row r="495" spans="1:16" hidden="1" x14ac:dyDescent="0.35">
      <c r="A495" t="s">
        <v>224</v>
      </c>
      <c r="B495" t="s">
        <v>278</v>
      </c>
      <c r="C495" t="s">
        <v>278</v>
      </c>
      <c r="D495" t="s">
        <v>259</v>
      </c>
      <c r="E495" s="1002">
        <v>0</v>
      </c>
      <c r="F495" s="1002">
        <v>4.1820000000000004</v>
      </c>
      <c r="G495" s="1002">
        <v>0</v>
      </c>
      <c r="H495" s="1002">
        <v>0</v>
      </c>
      <c r="I495" s="1002">
        <v>0</v>
      </c>
      <c r="J495" s="1002">
        <v>4.1820000000000004</v>
      </c>
      <c r="K495" s="1002">
        <v>0</v>
      </c>
      <c r="L495" s="1002">
        <v>4.3070000000000004</v>
      </c>
      <c r="M495" s="1002">
        <v>0</v>
      </c>
      <c r="N495" s="1002">
        <v>0</v>
      </c>
      <c r="O495" s="1002">
        <v>0</v>
      </c>
      <c r="P495" s="1002">
        <v>4.3070000000000004</v>
      </c>
    </row>
    <row r="496" spans="1:16" hidden="1" x14ac:dyDescent="0.35">
      <c r="A496" t="s">
        <v>224</v>
      </c>
      <c r="B496" t="s">
        <v>278</v>
      </c>
      <c r="C496" t="s">
        <v>278</v>
      </c>
      <c r="D496" t="s">
        <v>261</v>
      </c>
      <c r="E496" s="1002">
        <v>0</v>
      </c>
      <c r="F496" s="1002">
        <v>0</v>
      </c>
      <c r="G496" s="1002">
        <v>5.7889999999999997</v>
      </c>
      <c r="H496" s="1002">
        <v>0</v>
      </c>
      <c r="I496" s="1002">
        <v>0</v>
      </c>
      <c r="J496" s="1002">
        <v>5.7889999999999997</v>
      </c>
      <c r="K496" s="1002">
        <v>0</v>
      </c>
      <c r="L496" s="1002">
        <v>0</v>
      </c>
      <c r="M496" s="1002">
        <v>0.7</v>
      </c>
      <c r="N496" s="1002">
        <v>0</v>
      </c>
      <c r="O496" s="1002">
        <v>0</v>
      </c>
      <c r="P496" s="1002">
        <v>0.7</v>
      </c>
    </row>
    <row r="497" spans="1:16" hidden="1" x14ac:dyDescent="0.35">
      <c r="A497" t="s">
        <v>224</v>
      </c>
      <c r="B497" t="s">
        <v>284</v>
      </c>
      <c r="C497" t="s">
        <v>284</v>
      </c>
      <c r="D497" t="s">
        <v>285</v>
      </c>
      <c r="E497" s="1002">
        <v>0.26300000000000001</v>
      </c>
      <c r="F497" s="1002">
        <v>1.046</v>
      </c>
      <c r="G497" s="1002">
        <v>0</v>
      </c>
      <c r="H497" s="1002">
        <v>0</v>
      </c>
      <c r="I497" s="1002">
        <v>0</v>
      </c>
      <c r="J497" s="1002">
        <v>1.3090000000000002</v>
      </c>
      <c r="K497" s="1002">
        <v>0.48800000000000004</v>
      </c>
      <c r="L497" s="1002">
        <v>1.363</v>
      </c>
      <c r="M497" s="1002">
        <v>0</v>
      </c>
      <c r="N497" s="1002">
        <v>0</v>
      </c>
      <c r="O497" s="1002">
        <v>0</v>
      </c>
      <c r="P497" s="1002">
        <v>1.851</v>
      </c>
    </row>
    <row r="498" spans="1:16" hidden="1" x14ac:dyDescent="0.35">
      <c r="A498" t="s">
        <v>224</v>
      </c>
      <c r="B498" t="s">
        <v>284</v>
      </c>
      <c r="C498" t="s">
        <v>284</v>
      </c>
      <c r="D498" t="s">
        <v>287</v>
      </c>
      <c r="E498" s="1002">
        <v>0</v>
      </c>
      <c r="F498" s="1002">
        <v>0</v>
      </c>
      <c r="G498" s="1002">
        <v>1.1000000000000001</v>
      </c>
      <c r="H498" s="1002">
        <v>0</v>
      </c>
      <c r="I498" s="1002">
        <v>0</v>
      </c>
      <c r="J498" s="1002">
        <v>1.1000000000000001</v>
      </c>
      <c r="K498" s="1002">
        <v>0</v>
      </c>
      <c r="L498" s="1002">
        <v>0</v>
      </c>
      <c r="M498" s="1002">
        <v>1.1000000000000001</v>
      </c>
      <c r="N498" s="1002">
        <v>0</v>
      </c>
      <c r="O498" s="1002">
        <v>0</v>
      </c>
      <c r="P498" s="1002">
        <v>1.1000000000000001</v>
      </c>
    </row>
    <row r="499" spans="1:16" hidden="1" x14ac:dyDescent="0.35">
      <c r="A499" t="s">
        <v>224</v>
      </c>
      <c r="B499" t="s">
        <v>290</v>
      </c>
      <c r="C499" t="s">
        <v>290</v>
      </c>
      <c r="D499" t="s">
        <v>290</v>
      </c>
      <c r="E499" s="1002">
        <v>1.554</v>
      </c>
      <c r="F499" s="1002">
        <v>0</v>
      </c>
      <c r="G499" s="1002">
        <v>0</v>
      </c>
      <c r="H499" s="1002">
        <v>0</v>
      </c>
      <c r="I499" s="1002">
        <v>0</v>
      </c>
      <c r="J499" s="1002">
        <v>1.554</v>
      </c>
      <c r="K499" s="1002">
        <v>1.4259999999999999</v>
      </c>
      <c r="L499" s="1002">
        <v>0</v>
      </c>
      <c r="M499" s="1002">
        <v>0</v>
      </c>
      <c r="N499" s="1002">
        <v>0</v>
      </c>
      <c r="O499" s="1002">
        <v>0</v>
      </c>
      <c r="P499" s="1002">
        <v>1.4259999999999999</v>
      </c>
    </row>
    <row r="500" spans="1:16" hidden="1" x14ac:dyDescent="0.35">
      <c r="A500" t="s">
        <v>224</v>
      </c>
      <c r="B500" t="s">
        <v>294</v>
      </c>
      <c r="C500" t="s">
        <v>294</v>
      </c>
      <c r="D500" t="s">
        <v>294</v>
      </c>
      <c r="E500" s="1002">
        <v>6.3070000000000004</v>
      </c>
      <c r="F500" s="1002">
        <v>0</v>
      </c>
      <c r="G500" s="1002">
        <v>0</v>
      </c>
      <c r="H500" s="1002">
        <v>0</v>
      </c>
      <c r="I500" s="1002">
        <v>0</v>
      </c>
      <c r="J500" s="1002">
        <v>6.3070000000000004</v>
      </c>
      <c r="K500" s="1002">
        <v>9.0300000000000011</v>
      </c>
      <c r="L500" s="1002">
        <v>0</v>
      </c>
      <c r="M500" s="1002">
        <v>0</v>
      </c>
      <c r="N500" s="1002">
        <v>0</v>
      </c>
      <c r="O500" s="1002">
        <v>0</v>
      </c>
      <c r="P500" s="1002">
        <v>9.0300000000000011</v>
      </c>
    </row>
    <row r="501" spans="1:16" hidden="1" x14ac:dyDescent="0.35">
      <c r="A501" t="s">
        <v>224</v>
      </c>
      <c r="B501" t="s">
        <v>294</v>
      </c>
      <c r="C501" t="s">
        <v>299</v>
      </c>
      <c r="D501" t="s">
        <v>299</v>
      </c>
      <c r="E501" s="1002">
        <v>0.56499999999999995</v>
      </c>
      <c r="F501" s="1002">
        <v>0</v>
      </c>
      <c r="G501" s="1002">
        <v>0</v>
      </c>
      <c r="H501" s="1002">
        <v>0</v>
      </c>
      <c r="I501" s="1002">
        <v>0</v>
      </c>
      <c r="J501" s="1002">
        <v>0.56499999999999995</v>
      </c>
      <c r="K501" s="1002">
        <v>0.56499999999999995</v>
      </c>
      <c r="L501" s="1002">
        <v>0</v>
      </c>
      <c r="M501" s="1002">
        <v>0</v>
      </c>
      <c r="N501" s="1002">
        <v>0</v>
      </c>
      <c r="O501" s="1002">
        <v>0</v>
      </c>
      <c r="P501" s="1002">
        <v>0.56499999999999995</v>
      </c>
    </row>
    <row r="502" spans="1:16" hidden="1" x14ac:dyDescent="0.35">
      <c r="A502" t="s">
        <v>224</v>
      </c>
      <c r="B502" t="s">
        <v>302</v>
      </c>
      <c r="C502" t="s">
        <v>303</v>
      </c>
      <c r="D502" t="s">
        <v>303</v>
      </c>
      <c r="E502" s="1002">
        <v>3</v>
      </c>
      <c r="F502" s="1002">
        <v>0</v>
      </c>
      <c r="G502" s="1002">
        <v>0</v>
      </c>
      <c r="H502" s="1002">
        <v>0</v>
      </c>
      <c r="I502" s="1002">
        <v>0</v>
      </c>
      <c r="J502" s="1002">
        <v>3</v>
      </c>
      <c r="K502" s="1002">
        <v>4</v>
      </c>
      <c r="L502" s="1002">
        <v>0</v>
      </c>
      <c r="M502" s="1002">
        <v>0</v>
      </c>
      <c r="N502" s="1002">
        <v>0</v>
      </c>
      <c r="O502" s="1002">
        <v>0</v>
      </c>
      <c r="P502" s="1002">
        <v>4</v>
      </c>
    </row>
    <row r="503" spans="1:16" hidden="1" x14ac:dyDescent="0.35">
      <c r="A503" t="s">
        <v>224</v>
      </c>
      <c r="B503" t="s">
        <v>302</v>
      </c>
      <c r="C503" t="s">
        <v>306</v>
      </c>
      <c r="D503" t="s">
        <v>306</v>
      </c>
      <c r="E503" s="1002">
        <v>0</v>
      </c>
      <c r="F503" s="1002">
        <v>0</v>
      </c>
      <c r="G503" s="1002">
        <v>0</v>
      </c>
      <c r="H503" s="1002">
        <v>0</v>
      </c>
      <c r="I503" s="1002">
        <v>0</v>
      </c>
      <c r="J503" s="1002">
        <v>0</v>
      </c>
      <c r="K503" s="1002">
        <v>0</v>
      </c>
      <c r="L503" s="1002">
        <v>4.9000000000000002E-2</v>
      </c>
      <c r="M503" s="1002">
        <v>0</v>
      </c>
      <c r="N503" s="1002">
        <v>0</v>
      </c>
      <c r="O503" s="1002">
        <v>0</v>
      </c>
      <c r="P503" s="1002">
        <v>4.9000000000000002E-2</v>
      </c>
    </row>
    <row r="504" spans="1:16" hidden="1" x14ac:dyDescent="0.35">
      <c r="A504" t="s">
        <v>224</v>
      </c>
      <c r="B504" t="s">
        <v>302</v>
      </c>
      <c r="C504" t="s">
        <v>308</v>
      </c>
      <c r="D504" t="s">
        <v>308</v>
      </c>
      <c r="E504" s="1002">
        <v>18.129000000000001</v>
      </c>
      <c r="F504" s="1002">
        <v>0</v>
      </c>
      <c r="G504" s="1002">
        <v>0</v>
      </c>
      <c r="H504" s="1002">
        <v>0</v>
      </c>
      <c r="I504" s="1002">
        <v>0</v>
      </c>
      <c r="J504" s="1002">
        <v>18.129000000000001</v>
      </c>
      <c r="K504" s="1002">
        <v>18</v>
      </c>
      <c r="L504" s="1002">
        <v>0</v>
      </c>
      <c r="M504" s="1002">
        <v>0</v>
      </c>
      <c r="N504" s="1002">
        <v>0</v>
      </c>
      <c r="O504" s="1002">
        <v>0</v>
      </c>
      <c r="P504" s="1002">
        <v>18</v>
      </c>
    </row>
    <row r="505" spans="1:16" hidden="1" x14ac:dyDescent="0.35">
      <c r="A505" t="s">
        <v>224</v>
      </c>
      <c r="B505" t="s">
        <v>302</v>
      </c>
      <c r="C505" t="s">
        <v>310</v>
      </c>
      <c r="D505" t="s">
        <v>310</v>
      </c>
      <c r="E505" s="1002">
        <v>9.6430000000000007</v>
      </c>
      <c r="F505" s="1002">
        <v>0</v>
      </c>
      <c r="G505" s="1002">
        <v>0</v>
      </c>
      <c r="H505" s="1002">
        <v>0</v>
      </c>
      <c r="I505" s="1002">
        <v>0</v>
      </c>
      <c r="J505" s="1002">
        <v>9.6430000000000007</v>
      </c>
      <c r="K505" s="1002">
        <v>11.8</v>
      </c>
      <c r="L505" s="1002">
        <v>0</v>
      </c>
      <c r="M505" s="1002">
        <v>0</v>
      </c>
      <c r="N505" s="1002">
        <v>0</v>
      </c>
      <c r="O505" s="1002">
        <v>0</v>
      </c>
      <c r="P505" s="1002">
        <v>11.8</v>
      </c>
    </row>
    <row r="506" spans="1:16" hidden="1" x14ac:dyDescent="0.35">
      <c r="A506" t="s">
        <v>224</v>
      </c>
      <c r="B506" t="s">
        <v>302</v>
      </c>
      <c r="C506" t="s">
        <v>313</v>
      </c>
      <c r="D506" t="s">
        <v>313</v>
      </c>
      <c r="E506" s="1002">
        <v>0.23400000000000001</v>
      </c>
      <c r="F506" s="1002">
        <v>10.914999999999999</v>
      </c>
      <c r="G506" s="1002">
        <v>12.718999999999999</v>
      </c>
      <c r="H506" s="1002">
        <v>0</v>
      </c>
      <c r="I506" s="1002">
        <v>1.4999999999999999E-2</v>
      </c>
      <c r="J506" s="1002">
        <v>23.882999999999999</v>
      </c>
      <c r="K506" s="1002">
        <v>0</v>
      </c>
      <c r="L506" s="1002">
        <v>4.0030000000000001</v>
      </c>
      <c r="M506" s="1002">
        <v>12.063000000000001</v>
      </c>
      <c r="N506" s="1002">
        <v>0</v>
      </c>
      <c r="O506" s="1002">
        <v>0</v>
      </c>
      <c r="P506" s="1002">
        <v>16.066000000000003</v>
      </c>
    </row>
    <row r="507" spans="1:16" hidden="1" x14ac:dyDescent="0.35">
      <c r="A507" t="s">
        <v>224</v>
      </c>
      <c r="B507" t="s">
        <v>302</v>
      </c>
      <c r="C507" t="s">
        <v>315</v>
      </c>
      <c r="D507" t="s">
        <v>315</v>
      </c>
      <c r="E507" s="1002">
        <v>0</v>
      </c>
      <c r="F507" s="1002">
        <v>0</v>
      </c>
      <c r="G507" s="1002">
        <v>0</v>
      </c>
      <c r="H507" s="1002">
        <v>0</v>
      </c>
      <c r="I507" s="1002">
        <v>0</v>
      </c>
      <c r="J507" s="1002">
        <v>0</v>
      </c>
      <c r="K507" s="1002">
        <v>0</v>
      </c>
      <c r="L507" s="1002">
        <v>0</v>
      </c>
      <c r="M507" s="1002">
        <v>0</v>
      </c>
      <c r="N507" s="1002">
        <v>0</v>
      </c>
      <c r="O507" s="1002">
        <v>0</v>
      </c>
      <c r="P507" s="1002">
        <v>0</v>
      </c>
    </row>
    <row r="508" spans="1:16" hidden="1" x14ac:dyDescent="0.35">
      <c r="A508" t="s">
        <v>224</v>
      </c>
      <c r="B508" t="s">
        <v>302</v>
      </c>
      <c r="C508" t="s">
        <v>316</v>
      </c>
      <c r="D508" t="s">
        <v>316</v>
      </c>
      <c r="E508" s="1002">
        <v>5.3289999999999997</v>
      </c>
      <c r="F508" s="1002">
        <v>0</v>
      </c>
      <c r="G508" s="1002">
        <v>0</v>
      </c>
      <c r="H508" s="1002">
        <v>0</v>
      </c>
      <c r="I508" s="1002">
        <v>0</v>
      </c>
      <c r="J508" s="1002">
        <v>5.3289999999999997</v>
      </c>
      <c r="K508" s="1002">
        <v>5</v>
      </c>
      <c r="L508" s="1002">
        <v>0</v>
      </c>
      <c r="M508" s="1002">
        <v>0</v>
      </c>
      <c r="N508" s="1002">
        <v>0</v>
      </c>
      <c r="O508" s="1002">
        <v>0</v>
      </c>
      <c r="P508" s="1002">
        <v>5</v>
      </c>
    </row>
    <row r="509" spans="1:16" hidden="1" x14ac:dyDescent="0.35">
      <c r="A509" t="s">
        <v>224</v>
      </c>
      <c r="B509" t="s">
        <v>302</v>
      </c>
      <c r="C509" t="s">
        <v>318</v>
      </c>
      <c r="D509" t="s">
        <v>318</v>
      </c>
      <c r="E509" s="1002">
        <v>6.1580000000000004</v>
      </c>
      <c r="F509" s="1002">
        <v>0</v>
      </c>
      <c r="G509" s="1002">
        <v>0</v>
      </c>
      <c r="H509" s="1002">
        <v>0</v>
      </c>
      <c r="I509" s="1002">
        <v>0</v>
      </c>
      <c r="J509" s="1002">
        <v>6.1580000000000004</v>
      </c>
      <c r="K509" s="1002">
        <v>3.7</v>
      </c>
      <c r="L509" s="1002">
        <v>0</v>
      </c>
      <c r="M509" s="1002">
        <v>7.2999999999999995E-2</v>
      </c>
      <c r="N509" s="1002">
        <v>0</v>
      </c>
      <c r="O509" s="1002">
        <v>0</v>
      </c>
      <c r="P509" s="1002">
        <v>3.7730000000000001</v>
      </c>
    </row>
    <row r="510" spans="1:16" hidden="1" x14ac:dyDescent="0.35">
      <c r="A510" t="s">
        <v>224</v>
      </c>
      <c r="B510" t="s">
        <v>322</v>
      </c>
      <c r="C510" t="s">
        <v>322</v>
      </c>
      <c r="D510" t="s">
        <v>322</v>
      </c>
      <c r="E510" s="1002">
        <v>3.35</v>
      </c>
      <c r="F510" s="1002">
        <v>6.8000000000000005E-2</v>
      </c>
      <c r="G510" s="1002">
        <v>0.65500000000000003</v>
      </c>
      <c r="H510" s="1002">
        <v>0</v>
      </c>
      <c r="I510" s="1002">
        <v>0</v>
      </c>
      <c r="J510" s="1002">
        <v>4.0730000000000004</v>
      </c>
      <c r="K510" s="1002">
        <v>3.5249999999999999</v>
      </c>
      <c r="L510" s="1002">
        <v>0</v>
      </c>
      <c r="M510" s="1002">
        <v>0.58699999999999997</v>
      </c>
      <c r="N510" s="1002">
        <v>0</v>
      </c>
      <c r="O510" s="1002">
        <v>0</v>
      </c>
      <c r="P510" s="1002">
        <v>4.1120000000000001</v>
      </c>
    </row>
    <row r="511" spans="1:16" hidden="1" x14ac:dyDescent="0.35">
      <c r="A511" t="s">
        <v>224</v>
      </c>
      <c r="B511" t="s">
        <v>325</v>
      </c>
      <c r="C511" t="s">
        <v>326</v>
      </c>
      <c r="D511" t="s">
        <v>326</v>
      </c>
      <c r="E511" s="1002">
        <v>8.86</v>
      </c>
      <c r="F511" s="1002">
        <v>0.64</v>
      </c>
      <c r="G511" s="1002">
        <v>0</v>
      </c>
      <c r="H511" s="1002">
        <v>0</v>
      </c>
      <c r="I511" s="1002">
        <v>0</v>
      </c>
      <c r="J511" s="1002">
        <v>9.5</v>
      </c>
      <c r="K511" s="1002">
        <v>9.4529999999999994</v>
      </c>
      <c r="L511" s="1002">
        <v>0.76</v>
      </c>
      <c r="M511" s="1002">
        <v>0</v>
      </c>
      <c r="N511" s="1002">
        <v>0</v>
      </c>
      <c r="O511" s="1002">
        <v>0</v>
      </c>
      <c r="P511" s="1002">
        <v>10.212999999999999</v>
      </c>
    </row>
    <row r="512" spans="1:16" hidden="1" x14ac:dyDescent="0.35">
      <c r="A512" t="s">
        <v>224</v>
      </c>
      <c r="B512" t="s">
        <v>325</v>
      </c>
      <c r="C512" t="s">
        <v>329</v>
      </c>
      <c r="D512" t="s">
        <v>329</v>
      </c>
      <c r="E512" s="1002">
        <v>0</v>
      </c>
      <c r="F512" s="1002">
        <v>0</v>
      </c>
      <c r="G512" s="1002">
        <v>1.5</v>
      </c>
      <c r="H512" s="1002">
        <v>0</v>
      </c>
      <c r="I512" s="1002">
        <v>0</v>
      </c>
      <c r="J512" s="1002">
        <v>1.5</v>
      </c>
      <c r="K512" s="1002">
        <v>0</v>
      </c>
      <c r="L512" s="1002">
        <v>0</v>
      </c>
      <c r="M512" s="1002">
        <v>1.75</v>
      </c>
      <c r="N512" s="1002">
        <v>0</v>
      </c>
      <c r="O512" s="1002">
        <v>0</v>
      </c>
      <c r="P512" s="1002">
        <v>1.75</v>
      </c>
    </row>
    <row r="513" spans="1:16" hidden="1" x14ac:dyDescent="0.35">
      <c r="A513" t="s">
        <v>224</v>
      </c>
      <c r="B513" t="s">
        <v>333</v>
      </c>
      <c r="C513" t="s">
        <v>333</v>
      </c>
      <c r="D513" t="s">
        <v>333</v>
      </c>
      <c r="E513" s="1002">
        <v>200.81800000000001</v>
      </c>
      <c r="F513" s="1002">
        <v>0</v>
      </c>
      <c r="G513" s="1002">
        <v>0</v>
      </c>
      <c r="H513" s="1002">
        <v>0</v>
      </c>
      <c r="I513" s="1002">
        <v>0</v>
      </c>
      <c r="J513" s="1002">
        <v>200.81800000000001</v>
      </c>
      <c r="K513" s="1002">
        <v>207.34100000000001</v>
      </c>
      <c r="L513" s="1002">
        <v>0</v>
      </c>
      <c r="M513" s="1002">
        <v>0</v>
      </c>
      <c r="N513" s="1002">
        <v>0</v>
      </c>
      <c r="O513" s="1002">
        <v>0.57099999999999995</v>
      </c>
      <c r="P513" s="1002">
        <v>207.91200000000001</v>
      </c>
    </row>
    <row r="514" spans="1:16" hidden="1" x14ac:dyDescent="0.35">
      <c r="A514" t="s">
        <v>224</v>
      </c>
      <c r="B514" t="s">
        <v>336</v>
      </c>
      <c r="C514" t="s">
        <v>336</v>
      </c>
      <c r="D514" t="s">
        <v>336</v>
      </c>
      <c r="E514" s="1002">
        <v>0</v>
      </c>
      <c r="F514" s="1002">
        <v>0</v>
      </c>
      <c r="G514" s="1002">
        <v>0</v>
      </c>
      <c r="H514" s="1002">
        <v>25</v>
      </c>
      <c r="I514" s="1002">
        <v>0</v>
      </c>
      <c r="J514" s="1002">
        <v>25</v>
      </c>
      <c r="K514" s="1002">
        <v>0</v>
      </c>
      <c r="L514" s="1002">
        <v>0</v>
      </c>
      <c r="M514" s="1002">
        <v>0</v>
      </c>
      <c r="N514" s="1002">
        <v>25</v>
      </c>
      <c r="O514" s="1002">
        <v>0</v>
      </c>
      <c r="P514" s="1002">
        <v>25</v>
      </c>
    </row>
    <row r="515" spans="1:16" hidden="1" x14ac:dyDescent="0.35">
      <c r="A515" t="s">
        <v>926</v>
      </c>
      <c r="B515" t="s">
        <v>1198</v>
      </c>
      <c r="C515" t="s">
        <v>1199</v>
      </c>
      <c r="D515" t="s">
        <v>1200</v>
      </c>
      <c r="E515" s="1002">
        <v>0</v>
      </c>
      <c r="F515" s="1002">
        <v>0</v>
      </c>
      <c r="G515" s="1002">
        <v>140.19999999999999</v>
      </c>
      <c r="H515" s="1002">
        <v>0</v>
      </c>
      <c r="I515" s="1002">
        <v>0</v>
      </c>
      <c r="J515" s="1002">
        <v>140.19999999999999</v>
      </c>
      <c r="K515" s="1002">
        <v>0</v>
      </c>
      <c r="L515" s="1002">
        <v>0</v>
      </c>
      <c r="M515" s="1002">
        <v>97.53</v>
      </c>
      <c r="N515" s="1002">
        <v>0</v>
      </c>
      <c r="O515" s="1002">
        <v>0</v>
      </c>
      <c r="P515" s="1002">
        <v>97.53</v>
      </c>
    </row>
    <row r="516" spans="1:16" hidden="1" x14ac:dyDescent="0.35">
      <c r="A516" t="s">
        <v>926</v>
      </c>
      <c r="B516" t="s">
        <v>1198</v>
      </c>
      <c r="C516" t="s">
        <v>1199</v>
      </c>
      <c r="D516" t="s">
        <v>1203</v>
      </c>
      <c r="E516" s="1002">
        <v>0</v>
      </c>
      <c r="F516" s="1002">
        <v>0</v>
      </c>
      <c r="G516" s="1002">
        <v>0</v>
      </c>
      <c r="H516" s="1002">
        <v>0</v>
      </c>
      <c r="I516" s="1002">
        <v>0</v>
      </c>
      <c r="J516" s="1002">
        <v>0</v>
      </c>
      <c r="K516" s="1002">
        <v>0</v>
      </c>
      <c r="L516" s="1002">
        <v>0</v>
      </c>
      <c r="M516" s="1002">
        <v>-67.7</v>
      </c>
      <c r="N516" s="1002">
        <v>0</v>
      </c>
      <c r="O516" s="1002">
        <v>0</v>
      </c>
      <c r="P516" s="1002">
        <v>-67.7</v>
      </c>
    </row>
    <row r="517" spans="1:16" hidden="1" x14ac:dyDescent="0.35">
      <c r="A517" t="s">
        <v>926</v>
      </c>
      <c r="B517" t="s">
        <v>1198</v>
      </c>
      <c r="C517" t="s">
        <v>1199</v>
      </c>
      <c r="D517" t="s">
        <v>1206</v>
      </c>
      <c r="E517" s="1002">
        <v>2.7149999999999999</v>
      </c>
      <c r="F517" s="1002">
        <v>0</v>
      </c>
      <c r="G517" s="1002">
        <v>0</v>
      </c>
      <c r="H517" s="1002">
        <v>0</v>
      </c>
      <c r="I517" s="1002">
        <v>0</v>
      </c>
      <c r="J517" s="1002">
        <v>2.7149999999999999</v>
      </c>
      <c r="K517" s="1002">
        <v>3.6059999999999999</v>
      </c>
      <c r="L517" s="1002">
        <v>0</v>
      </c>
      <c r="M517" s="1002">
        <v>0</v>
      </c>
      <c r="N517" s="1002">
        <v>0</v>
      </c>
      <c r="O517" s="1002">
        <v>0</v>
      </c>
      <c r="P517" s="1002">
        <v>3.6059999999999999</v>
      </c>
    </row>
    <row r="518" spans="1:16" hidden="1" x14ac:dyDescent="0.35">
      <c r="A518" t="s">
        <v>926</v>
      </c>
      <c r="B518" t="s">
        <v>1198</v>
      </c>
      <c r="C518" t="s">
        <v>1210</v>
      </c>
      <c r="D518" t="s">
        <v>1211</v>
      </c>
      <c r="E518" s="1002">
        <v>0</v>
      </c>
      <c r="F518" s="1002">
        <v>0</v>
      </c>
      <c r="G518" s="1002">
        <v>0</v>
      </c>
      <c r="H518" s="1002">
        <v>0</v>
      </c>
      <c r="I518" s="1002">
        <v>0</v>
      </c>
      <c r="J518" s="1002">
        <v>0</v>
      </c>
      <c r="K518" s="1002">
        <v>0</v>
      </c>
      <c r="L518" s="1002">
        <v>0</v>
      </c>
      <c r="M518" s="1002">
        <v>0</v>
      </c>
      <c r="N518" s="1002">
        <v>0</v>
      </c>
      <c r="O518" s="1002">
        <v>0</v>
      </c>
      <c r="P518" s="1002">
        <v>0</v>
      </c>
    </row>
    <row r="519" spans="1:16" hidden="1" x14ac:dyDescent="0.35">
      <c r="A519" t="s">
        <v>926</v>
      </c>
      <c r="B519" t="s">
        <v>1198</v>
      </c>
      <c r="C519" t="s">
        <v>1215</v>
      </c>
      <c r="D519" t="s">
        <v>1215</v>
      </c>
      <c r="E519" s="1002">
        <v>36.270000000000003</v>
      </c>
      <c r="F519" s="1002">
        <v>4.8</v>
      </c>
      <c r="G519" s="1002">
        <v>26.3</v>
      </c>
      <c r="H519" s="1002">
        <v>0</v>
      </c>
      <c r="I519" s="1002">
        <v>0</v>
      </c>
      <c r="J519" s="1002">
        <v>67.37</v>
      </c>
      <c r="K519" s="1002">
        <v>34.295000000000002</v>
      </c>
      <c r="L519" s="1002">
        <v>4.8</v>
      </c>
      <c r="M519" s="1002">
        <v>25.5</v>
      </c>
      <c r="N519" s="1002">
        <v>0</v>
      </c>
      <c r="O519" s="1002">
        <v>0</v>
      </c>
      <c r="P519" s="1002">
        <v>64.594999999999999</v>
      </c>
    </row>
    <row r="520" spans="1:16" hidden="1" x14ac:dyDescent="0.35">
      <c r="A520" t="s">
        <v>926</v>
      </c>
      <c r="B520" t="s">
        <v>1220</v>
      </c>
      <c r="C520" t="s">
        <v>1220</v>
      </c>
      <c r="D520" t="s">
        <v>1221</v>
      </c>
      <c r="E520" s="1002">
        <v>83.355000000000004</v>
      </c>
      <c r="F520" s="1002">
        <v>0</v>
      </c>
      <c r="G520" s="1002">
        <v>0</v>
      </c>
      <c r="H520" s="1002">
        <v>0</v>
      </c>
      <c r="I520" s="1002">
        <v>0</v>
      </c>
      <c r="J520" s="1002">
        <v>83.355000000000004</v>
      </c>
      <c r="K520" s="1002">
        <v>98.1</v>
      </c>
      <c r="L520" s="1002">
        <v>0</v>
      </c>
      <c r="M520" s="1002">
        <v>0</v>
      </c>
      <c r="N520" s="1002">
        <v>0</v>
      </c>
      <c r="O520" s="1002">
        <v>0</v>
      </c>
      <c r="P520" s="1002">
        <v>98.1</v>
      </c>
    </row>
    <row r="521" spans="1:16" hidden="1" x14ac:dyDescent="0.35">
      <c r="A521" t="s">
        <v>926</v>
      </c>
      <c r="B521" t="s">
        <v>1220</v>
      </c>
      <c r="C521" t="s">
        <v>1220</v>
      </c>
      <c r="D521" t="s">
        <v>1224</v>
      </c>
      <c r="E521" s="1002">
        <v>13.3</v>
      </c>
      <c r="F521" s="1002">
        <v>3.5999999999999997E-2</v>
      </c>
      <c r="G521" s="1002">
        <v>0</v>
      </c>
      <c r="H521" s="1002">
        <v>0</v>
      </c>
      <c r="I521" s="1002">
        <v>0</v>
      </c>
      <c r="J521" s="1002">
        <v>13.336</v>
      </c>
      <c r="K521" s="1002">
        <v>2.8</v>
      </c>
      <c r="L521" s="1002">
        <v>3.5999999999999997E-2</v>
      </c>
      <c r="M521" s="1002">
        <v>0</v>
      </c>
      <c r="N521" s="1002">
        <v>0</v>
      </c>
      <c r="O521" s="1002">
        <v>0</v>
      </c>
      <c r="P521" s="1002">
        <v>2.8359999999999999</v>
      </c>
    </row>
    <row r="522" spans="1:16" hidden="1" x14ac:dyDescent="0.35">
      <c r="A522" t="s">
        <v>926</v>
      </c>
      <c r="B522" t="s">
        <v>1220</v>
      </c>
      <c r="C522" t="s">
        <v>1220</v>
      </c>
      <c r="D522" t="s">
        <v>1227</v>
      </c>
      <c r="E522" s="1002">
        <v>3.5</v>
      </c>
      <c r="F522" s="1002">
        <v>0</v>
      </c>
      <c r="G522" s="1002">
        <v>0</v>
      </c>
      <c r="H522" s="1002">
        <v>0</v>
      </c>
      <c r="I522" s="1002">
        <v>0</v>
      </c>
      <c r="J522" s="1002">
        <v>3.5</v>
      </c>
      <c r="K522" s="1002">
        <v>3.516</v>
      </c>
      <c r="L522" s="1002">
        <v>0</v>
      </c>
      <c r="M522" s="1002">
        <v>0</v>
      </c>
      <c r="N522" s="1002">
        <v>0</v>
      </c>
      <c r="O522" s="1002">
        <v>0</v>
      </c>
      <c r="P522" s="1002">
        <v>3.516</v>
      </c>
    </row>
    <row r="523" spans="1:16" hidden="1" x14ac:dyDescent="0.35">
      <c r="A523" t="s">
        <v>926</v>
      </c>
      <c r="B523" t="s">
        <v>1232</v>
      </c>
      <c r="C523" t="s">
        <v>1233</v>
      </c>
      <c r="D523" t="s">
        <v>1234</v>
      </c>
      <c r="E523" s="1002">
        <v>1.81</v>
      </c>
      <c r="F523" s="1002">
        <v>0</v>
      </c>
      <c r="G523" s="1002">
        <v>0</v>
      </c>
      <c r="H523" s="1002">
        <v>0</v>
      </c>
      <c r="I523" s="1002">
        <v>0</v>
      </c>
      <c r="J523" s="1002">
        <v>1.81</v>
      </c>
      <c r="K523" s="1002">
        <v>2.36</v>
      </c>
      <c r="L523" s="1002">
        <v>0</v>
      </c>
      <c r="M523" s="1002">
        <v>6.94</v>
      </c>
      <c r="N523" s="1002">
        <v>0</v>
      </c>
      <c r="O523" s="1002">
        <v>0</v>
      </c>
      <c r="P523" s="1002">
        <v>9.3000000000000007</v>
      </c>
    </row>
    <row r="524" spans="1:16" hidden="1" x14ac:dyDescent="0.35">
      <c r="A524" t="s">
        <v>926</v>
      </c>
      <c r="B524" t="s">
        <v>1232</v>
      </c>
      <c r="C524" t="s">
        <v>1233</v>
      </c>
      <c r="D524" t="s">
        <v>1236</v>
      </c>
      <c r="E524" s="1002">
        <v>2.4</v>
      </c>
      <c r="F524" s="1002">
        <v>0</v>
      </c>
      <c r="G524" s="1002">
        <v>0</v>
      </c>
      <c r="H524" s="1002">
        <v>0</v>
      </c>
      <c r="I524" s="1002">
        <v>0</v>
      </c>
      <c r="J524" s="1002">
        <v>2.4</v>
      </c>
      <c r="K524" s="1002">
        <v>0.34499999999999997</v>
      </c>
      <c r="L524" s="1002">
        <v>0</v>
      </c>
      <c r="M524" s="1002">
        <v>0</v>
      </c>
      <c r="N524" s="1002">
        <v>0</v>
      </c>
      <c r="O524" s="1002">
        <v>0</v>
      </c>
      <c r="P524" s="1002">
        <v>0.34499999999999997</v>
      </c>
    </row>
    <row r="525" spans="1:16" hidden="1" x14ac:dyDescent="0.35">
      <c r="A525" t="s">
        <v>926</v>
      </c>
      <c r="B525" t="s">
        <v>1232</v>
      </c>
      <c r="C525" t="s">
        <v>1233</v>
      </c>
      <c r="D525" t="s">
        <v>1239</v>
      </c>
      <c r="E525" s="1002">
        <v>0</v>
      </c>
      <c r="F525" s="1002">
        <v>0</v>
      </c>
      <c r="G525" s="1002">
        <v>0</v>
      </c>
      <c r="H525" s="1002">
        <v>0</v>
      </c>
      <c r="I525" s="1002">
        <v>0</v>
      </c>
      <c r="J525" s="1002">
        <v>0</v>
      </c>
      <c r="K525" s="1002">
        <v>0</v>
      </c>
      <c r="L525" s="1002">
        <v>0</v>
      </c>
      <c r="M525" s="1002">
        <v>0</v>
      </c>
      <c r="N525" s="1002">
        <v>0</v>
      </c>
      <c r="O525" s="1002">
        <v>0</v>
      </c>
      <c r="P525" s="1002">
        <v>0</v>
      </c>
    </row>
    <row r="526" spans="1:16" hidden="1" x14ac:dyDescent="0.35">
      <c r="A526" t="s">
        <v>926</v>
      </c>
      <c r="B526" t="s">
        <v>1232</v>
      </c>
      <c r="C526" t="s">
        <v>1242</v>
      </c>
      <c r="D526" t="s">
        <v>1243</v>
      </c>
      <c r="E526" s="1002">
        <v>136.708</v>
      </c>
      <c r="F526" s="1002">
        <v>0</v>
      </c>
      <c r="G526" s="1002">
        <v>0</v>
      </c>
      <c r="H526" s="1002">
        <v>0</v>
      </c>
      <c r="I526" s="1002">
        <v>0</v>
      </c>
      <c r="J526" s="1002">
        <v>136.708</v>
      </c>
      <c r="K526" s="1002">
        <v>132.422</v>
      </c>
      <c r="L526" s="1002">
        <v>0</v>
      </c>
      <c r="M526" s="1002">
        <v>0</v>
      </c>
      <c r="N526" s="1002">
        <v>0</v>
      </c>
      <c r="O526" s="1002">
        <v>0</v>
      </c>
      <c r="P526" s="1002">
        <v>132.422</v>
      </c>
    </row>
    <row r="527" spans="1:16" hidden="1" x14ac:dyDescent="0.35">
      <c r="A527" t="s">
        <v>926</v>
      </c>
      <c r="B527" t="s">
        <v>1232</v>
      </c>
      <c r="C527" t="s">
        <v>1242</v>
      </c>
      <c r="D527" t="s">
        <v>1246</v>
      </c>
      <c r="E527" s="1002">
        <v>0</v>
      </c>
      <c r="F527" s="1002">
        <v>0</v>
      </c>
      <c r="G527" s="1002">
        <v>82.941000000000003</v>
      </c>
      <c r="H527" s="1002">
        <v>0</v>
      </c>
      <c r="I527" s="1002">
        <v>0</v>
      </c>
      <c r="J527" s="1002">
        <v>82.941000000000003</v>
      </c>
      <c r="K527" s="1002">
        <v>0</v>
      </c>
      <c r="L527" s="1002">
        <v>0</v>
      </c>
      <c r="M527" s="1002">
        <v>82.037999999999997</v>
      </c>
      <c r="N527" s="1002">
        <v>0</v>
      </c>
      <c r="O527" s="1002">
        <v>0</v>
      </c>
      <c r="P527" s="1002">
        <v>82.037999999999997</v>
      </c>
    </row>
    <row r="528" spans="1:16" hidden="1" x14ac:dyDescent="0.35">
      <c r="A528" t="s">
        <v>926</v>
      </c>
      <c r="B528" t="s">
        <v>1232</v>
      </c>
      <c r="C528" t="s">
        <v>1242</v>
      </c>
      <c r="D528" t="s">
        <v>1249</v>
      </c>
      <c r="E528" s="1002">
        <v>0</v>
      </c>
      <c r="F528" s="1002">
        <v>15.042999999999999</v>
      </c>
      <c r="G528" s="1002">
        <v>0</v>
      </c>
      <c r="H528" s="1002">
        <v>0</v>
      </c>
      <c r="I528" s="1002">
        <v>0</v>
      </c>
      <c r="J528" s="1002">
        <v>15.042999999999999</v>
      </c>
      <c r="K528" s="1002">
        <v>0</v>
      </c>
      <c r="L528" s="1002">
        <v>13.5</v>
      </c>
      <c r="M528" s="1002">
        <v>0</v>
      </c>
      <c r="N528" s="1002">
        <v>0</v>
      </c>
      <c r="O528" s="1002">
        <v>0</v>
      </c>
      <c r="P528" s="1002">
        <v>13.5</v>
      </c>
    </row>
    <row r="529" spans="1:16" hidden="1" x14ac:dyDescent="0.35">
      <c r="A529" t="s">
        <v>926</v>
      </c>
      <c r="B529" t="s">
        <v>1232</v>
      </c>
      <c r="C529" t="s">
        <v>1242</v>
      </c>
      <c r="D529" t="s">
        <v>1251</v>
      </c>
      <c r="E529" s="1002">
        <v>0</v>
      </c>
      <c r="F529" s="1002">
        <v>0</v>
      </c>
      <c r="G529" s="1002">
        <v>0</v>
      </c>
      <c r="H529" s="1002">
        <v>27.4</v>
      </c>
      <c r="I529" s="1002">
        <v>0</v>
      </c>
      <c r="J529" s="1002">
        <v>27.4</v>
      </c>
      <c r="K529" s="1002">
        <v>0</v>
      </c>
      <c r="L529" s="1002">
        <v>0</v>
      </c>
      <c r="M529" s="1002">
        <v>0</v>
      </c>
      <c r="N529" s="1002">
        <v>28.76</v>
      </c>
      <c r="O529" s="1002">
        <v>0</v>
      </c>
      <c r="P529" s="1002">
        <v>28.76</v>
      </c>
    </row>
    <row r="530" spans="1:16" hidden="1" x14ac:dyDescent="0.35">
      <c r="A530" t="s">
        <v>926</v>
      </c>
      <c r="B530" t="s">
        <v>1232</v>
      </c>
      <c r="C530" t="s">
        <v>1242</v>
      </c>
      <c r="D530" t="s">
        <v>1254</v>
      </c>
      <c r="E530" s="1002">
        <v>0</v>
      </c>
      <c r="F530" s="1002">
        <v>0</v>
      </c>
      <c r="G530" s="1002">
        <v>0</v>
      </c>
      <c r="H530" s="1002">
        <v>-27.4</v>
      </c>
      <c r="I530" s="1002">
        <v>0</v>
      </c>
      <c r="J530" s="1002">
        <v>-27.4</v>
      </c>
      <c r="K530" s="1002">
        <v>0</v>
      </c>
      <c r="L530" s="1002">
        <v>0</v>
      </c>
      <c r="M530" s="1002">
        <v>0</v>
      </c>
      <c r="N530" s="1002">
        <v>-20.66</v>
      </c>
      <c r="O530" s="1002">
        <v>0</v>
      </c>
      <c r="P530" s="1002">
        <v>-20.66</v>
      </c>
    </row>
    <row r="531" spans="1:16" hidden="1" x14ac:dyDescent="0.35">
      <c r="A531" t="s">
        <v>926</v>
      </c>
      <c r="B531" t="s">
        <v>1232</v>
      </c>
      <c r="C531" t="s">
        <v>1256</v>
      </c>
      <c r="D531" t="s">
        <v>1257</v>
      </c>
      <c r="E531" s="1002">
        <v>27.864999999999998</v>
      </c>
      <c r="F531" s="1002">
        <v>0</v>
      </c>
      <c r="G531" s="1002">
        <v>0</v>
      </c>
      <c r="H531" s="1002">
        <v>0</v>
      </c>
      <c r="I531" s="1002">
        <v>0</v>
      </c>
      <c r="J531" s="1002">
        <v>27.864999999999998</v>
      </c>
      <c r="K531" s="1002">
        <v>28.01</v>
      </c>
      <c r="L531" s="1002">
        <v>0</v>
      </c>
      <c r="M531" s="1002">
        <v>0</v>
      </c>
      <c r="N531" s="1002">
        <v>0</v>
      </c>
      <c r="O531" s="1002">
        <v>0</v>
      </c>
      <c r="P531" s="1002">
        <v>28.01</v>
      </c>
    </row>
    <row r="532" spans="1:16" hidden="1" x14ac:dyDescent="0.35">
      <c r="A532" t="s">
        <v>926</v>
      </c>
      <c r="B532" t="s">
        <v>1232</v>
      </c>
      <c r="C532" t="s">
        <v>1256</v>
      </c>
      <c r="D532" t="s">
        <v>1260</v>
      </c>
      <c r="E532" s="1002">
        <v>0</v>
      </c>
      <c r="F532" s="1002">
        <v>0</v>
      </c>
      <c r="G532" s="1002">
        <v>24.4</v>
      </c>
      <c r="H532" s="1002">
        <v>0</v>
      </c>
      <c r="I532" s="1002">
        <v>0</v>
      </c>
      <c r="J532" s="1002">
        <v>24.4</v>
      </c>
      <c r="K532" s="1002">
        <v>0</v>
      </c>
      <c r="L532" s="1002">
        <v>0</v>
      </c>
      <c r="M532" s="1002">
        <v>25.245000000000001</v>
      </c>
      <c r="N532" s="1002">
        <v>0</v>
      </c>
      <c r="O532" s="1002">
        <v>0</v>
      </c>
      <c r="P532" s="1002">
        <v>25.245000000000001</v>
      </c>
    </row>
    <row r="533" spans="1:16" hidden="1" x14ac:dyDescent="0.35">
      <c r="A533" t="s">
        <v>926</v>
      </c>
      <c r="B533" t="s">
        <v>1232</v>
      </c>
      <c r="C533" t="s">
        <v>1256</v>
      </c>
      <c r="D533" t="s">
        <v>1262</v>
      </c>
      <c r="E533" s="1002">
        <v>0</v>
      </c>
      <c r="F533" s="1002">
        <v>0</v>
      </c>
      <c r="G533" s="1002">
        <v>0</v>
      </c>
      <c r="H533" s="1002">
        <v>0</v>
      </c>
      <c r="I533" s="1002">
        <v>0</v>
      </c>
      <c r="J533" s="1002">
        <v>0</v>
      </c>
      <c r="K533" s="1002">
        <v>0</v>
      </c>
      <c r="L533" s="1002">
        <v>0</v>
      </c>
      <c r="M533" s="1002">
        <v>0</v>
      </c>
      <c r="N533" s="1002">
        <v>0</v>
      </c>
      <c r="O533" s="1002">
        <v>0</v>
      </c>
      <c r="P533" s="1002">
        <v>0</v>
      </c>
    </row>
    <row r="534" spans="1:16" hidden="1" x14ac:dyDescent="0.35">
      <c r="A534" t="s">
        <v>926</v>
      </c>
      <c r="B534" t="s">
        <v>1232</v>
      </c>
      <c r="C534" t="s">
        <v>1256</v>
      </c>
      <c r="D534" t="s">
        <v>1263</v>
      </c>
      <c r="E534" s="1002">
        <v>0</v>
      </c>
      <c r="F534" s="1002">
        <v>0</v>
      </c>
      <c r="G534" s="1002">
        <v>0</v>
      </c>
      <c r="H534" s="1002">
        <v>0</v>
      </c>
      <c r="I534" s="1002">
        <v>0</v>
      </c>
      <c r="J534" s="1002">
        <v>0</v>
      </c>
      <c r="K534" s="1002">
        <v>0</v>
      </c>
      <c r="L534" s="1002">
        <v>0</v>
      </c>
      <c r="M534" s="1002">
        <v>0</v>
      </c>
      <c r="N534" s="1002">
        <v>0</v>
      </c>
      <c r="O534" s="1002">
        <v>0</v>
      </c>
      <c r="P534" s="1002">
        <v>0</v>
      </c>
    </row>
    <row r="535" spans="1:16" hidden="1" x14ac:dyDescent="0.35">
      <c r="A535" t="s">
        <v>926</v>
      </c>
      <c r="B535" t="s">
        <v>1232</v>
      </c>
      <c r="C535" t="s">
        <v>1256</v>
      </c>
      <c r="D535" t="s">
        <v>1264</v>
      </c>
      <c r="E535" s="1002">
        <v>0</v>
      </c>
      <c r="F535" s="1002">
        <v>3.6960000000000002</v>
      </c>
      <c r="G535" s="1002">
        <v>0</v>
      </c>
      <c r="H535" s="1002">
        <v>0</v>
      </c>
      <c r="I535" s="1002">
        <v>0</v>
      </c>
      <c r="J535" s="1002">
        <v>3.6960000000000002</v>
      </c>
      <c r="K535" s="1002">
        <v>0</v>
      </c>
      <c r="L535" s="1002">
        <v>3</v>
      </c>
      <c r="M535" s="1002">
        <v>0</v>
      </c>
      <c r="N535" s="1002">
        <v>0</v>
      </c>
      <c r="O535" s="1002">
        <v>0</v>
      </c>
      <c r="P535" s="1002">
        <v>3</v>
      </c>
    </row>
    <row r="536" spans="1:16" hidden="1" x14ac:dyDescent="0.35">
      <c r="A536" t="s">
        <v>926</v>
      </c>
      <c r="B536" t="s">
        <v>1232</v>
      </c>
      <c r="C536" t="s">
        <v>1256</v>
      </c>
      <c r="D536" t="s">
        <v>1266</v>
      </c>
      <c r="E536" s="1002">
        <v>0</v>
      </c>
      <c r="F536" s="1002">
        <v>0</v>
      </c>
      <c r="G536" s="1002">
        <v>0</v>
      </c>
      <c r="H536" s="1002">
        <v>0</v>
      </c>
      <c r="I536" s="1002">
        <v>0</v>
      </c>
      <c r="J536" s="1002">
        <v>0</v>
      </c>
      <c r="K536" s="1002">
        <v>0</v>
      </c>
      <c r="L536" s="1002">
        <v>0</v>
      </c>
      <c r="M536" s="1002">
        <v>0</v>
      </c>
      <c r="N536" s="1002">
        <v>0</v>
      </c>
      <c r="O536" s="1002">
        <v>0</v>
      </c>
      <c r="P536" s="1002">
        <v>0</v>
      </c>
    </row>
    <row r="537" spans="1:16" hidden="1" x14ac:dyDescent="0.35">
      <c r="A537" t="s">
        <v>926</v>
      </c>
      <c r="B537" t="s">
        <v>1232</v>
      </c>
      <c r="C537" t="s">
        <v>1268</v>
      </c>
      <c r="D537" t="s">
        <v>1269</v>
      </c>
      <c r="E537" s="1002">
        <v>0</v>
      </c>
      <c r="F537" s="1002">
        <v>0</v>
      </c>
      <c r="G537" s="1002">
        <v>0</v>
      </c>
      <c r="H537" s="1002">
        <v>0</v>
      </c>
      <c r="I537" s="1002">
        <v>0</v>
      </c>
      <c r="J537" s="1002">
        <v>0</v>
      </c>
      <c r="K537" s="1002">
        <v>0</v>
      </c>
      <c r="L537" s="1002">
        <v>0</v>
      </c>
      <c r="M537" s="1002">
        <v>0</v>
      </c>
      <c r="N537" s="1002">
        <v>0</v>
      </c>
      <c r="O537" s="1002">
        <v>0</v>
      </c>
      <c r="P537" s="1002">
        <v>0</v>
      </c>
    </row>
    <row r="538" spans="1:16" hidden="1" x14ac:dyDescent="0.35">
      <c r="A538" t="s">
        <v>926</v>
      </c>
      <c r="B538" t="s">
        <v>1232</v>
      </c>
      <c r="C538" t="s">
        <v>1268</v>
      </c>
      <c r="D538" t="s">
        <v>1272</v>
      </c>
      <c r="E538" s="1002">
        <v>27.943999999999999</v>
      </c>
      <c r="F538" s="1002">
        <v>0</v>
      </c>
      <c r="G538" s="1002">
        <v>0</v>
      </c>
      <c r="H538" s="1002">
        <v>0</v>
      </c>
      <c r="I538" s="1002">
        <v>0</v>
      </c>
      <c r="J538" s="1002">
        <v>27.943999999999999</v>
      </c>
      <c r="K538" s="1002">
        <v>43.18</v>
      </c>
      <c r="L538" s="1002">
        <v>0</v>
      </c>
      <c r="M538" s="1002">
        <v>0</v>
      </c>
      <c r="N538" s="1002">
        <v>0</v>
      </c>
      <c r="O538" s="1002">
        <v>0</v>
      </c>
      <c r="P538" s="1002">
        <v>43.18</v>
      </c>
    </row>
    <row r="539" spans="1:16" hidden="1" x14ac:dyDescent="0.35">
      <c r="A539" t="s">
        <v>926</v>
      </c>
      <c r="B539" t="s">
        <v>1232</v>
      </c>
      <c r="C539" t="s">
        <v>1268</v>
      </c>
      <c r="D539" t="s">
        <v>1275</v>
      </c>
      <c r="E539" s="1002">
        <v>6.2690000000000001</v>
      </c>
      <c r="F539" s="1002">
        <v>0</v>
      </c>
      <c r="G539" s="1002">
        <v>0</v>
      </c>
      <c r="H539" s="1002">
        <v>0</v>
      </c>
      <c r="I539" s="1002">
        <v>0</v>
      </c>
      <c r="J539" s="1002">
        <v>6.2690000000000001</v>
      </c>
      <c r="K539" s="1002">
        <v>6.2690000000000001</v>
      </c>
      <c r="L539" s="1002">
        <v>0</v>
      </c>
      <c r="M539" s="1002">
        <v>0</v>
      </c>
      <c r="N539" s="1002">
        <v>0</v>
      </c>
      <c r="O539" s="1002">
        <v>0</v>
      </c>
      <c r="P539" s="1002">
        <v>6.2690000000000001</v>
      </c>
    </row>
    <row r="540" spans="1:16" hidden="1" x14ac:dyDescent="0.35">
      <c r="A540" t="s">
        <v>926</v>
      </c>
      <c r="B540" t="s">
        <v>1232</v>
      </c>
      <c r="C540" t="s">
        <v>1268</v>
      </c>
      <c r="D540" t="s">
        <v>1277</v>
      </c>
      <c r="E540" s="1002">
        <v>10.221</v>
      </c>
      <c r="F540" s="1002">
        <v>0</v>
      </c>
      <c r="G540" s="1002">
        <v>32.9</v>
      </c>
      <c r="H540" s="1002">
        <v>25</v>
      </c>
      <c r="I540" s="1002">
        <v>0</v>
      </c>
      <c r="J540" s="1002">
        <v>68.120999999999995</v>
      </c>
      <c r="K540" s="1002">
        <v>14.228999999999999</v>
      </c>
      <c r="L540" s="1002">
        <v>0</v>
      </c>
      <c r="M540" s="1002">
        <v>0</v>
      </c>
      <c r="N540" s="1002">
        <v>0</v>
      </c>
      <c r="O540" s="1002">
        <v>0</v>
      </c>
      <c r="P540" s="1002">
        <v>14.228999999999999</v>
      </c>
    </row>
    <row r="541" spans="1:16" hidden="1" x14ac:dyDescent="0.35">
      <c r="A541" t="s">
        <v>926</v>
      </c>
      <c r="B541" t="s">
        <v>1232</v>
      </c>
      <c r="C541" t="s">
        <v>1268</v>
      </c>
      <c r="D541" t="s">
        <v>1280</v>
      </c>
      <c r="E541" s="1002">
        <v>0</v>
      </c>
      <c r="F541" s="1002">
        <v>0</v>
      </c>
      <c r="G541" s="1002">
        <v>0</v>
      </c>
      <c r="H541" s="1002">
        <v>3.1</v>
      </c>
      <c r="I541" s="1002">
        <v>0</v>
      </c>
      <c r="J541" s="1002">
        <v>3.1</v>
      </c>
      <c r="K541" s="1002">
        <v>0</v>
      </c>
      <c r="L541" s="1002">
        <v>0</v>
      </c>
      <c r="M541" s="1002">
        <v>0</v>
      </c>
      <c r="N541" s="1002">
        <v>6.8250000000000002</v>
      </c>
      <c r="O541" s="1002">
        <v>0</v>
      </c>
      <c r="P541" s="1002">
        <v>6.8250000000000002</v>
      </c>
    </row>
    <row r="542" spans="1:16" hidden="1" x14ac:dyDescent="0.35">
      <c r="A542" t="s">
        <v>926</v>
      </c>
      <c r="B542" t="s">
        <v>1232</v>
      </c>
      <c r="C542" t="s">
        <v>1268</v>
      </c>
      <c r="D542" t="s">
        <v>1283</v>
      </c>
      <c r="E542" s="1002">
        <v>0</v>
      </c>
      <c r="F542" s="1002">
        <v>0</v>
      </c>
      <c r="G542" s="1002">
        <v>0</v>
      </c>
      <c r="H542" s="1002">
        <v>-9.1999999999999993</v>
      </c>
      <c r="I542" s="1002">
        <v>0</v>
      </c>
      <c r="J542" s="1002">
        <v>-9.1999999999999993</v>
      </c>
      <c r="K542" s="1002">
        <v>0</v>
      </c>
      <c r="L542" s="1002">
        <v>0</v>
      </c>
      <c r="M542" s="1002">
        <v>0</v>
      </c>
      <c r="N542" s="1002">
        <v>-14.925000000000001</v>
      </c>
      <c r="O542" s="1002">
        <v>0</v>
      </c>
      <c r="P542" s="1002">
        <v>-14.925000000000001</v>
      </c>
    </row>
    <row r="543" spans="1:16" hidden="1" x14ac:dyDescent="0.35">
      <c r="A543" t="s">
        <v>926</v>
      </c>
      <c r="B543" t="s">
        <v>1232</v>
      </c>
      <c r="C543" t="s">
        <v>1286</v>
      </c>
      <c r="D543" t="s">
        <v>1286</v>
      </c>
      <c r="E543" s="1002">
        <v>15.81</v>
      </c>
      <c r="F543" s="1002">
        <v>5.7000000000000002E-2</v>
      </c>
      <c r="G543" s="1002">
        <v>13</v>
      </c>
      <c r="H543" s="1002">
        <v>0</v>
      </c>
      <c r="I543" s="1002">
        <v>0</v>
      </c>
      <c r="J543" s="1002">
        <v>28.867000000000001</v>
      </c>
      <c r="K543" s="1002">
        <v>14.39</v>
      </c>
      <c r="L543" s="1002">
        <v>0.65</v>
      </c>
      <c r="M543" s="1002">
        <v>14.097</v>
      </c>
      <c r="N543" s="1002">
        <v>0</v>
      </c>
      <c r="O543" s="1002">
        <v>0</v>
      </c>
      <c r="P543" s="1002">
        <v>29.137</v>
      </c>
    </row>
    <row r="544" spans="1:16" hidden="1" x14ac:dyDescent="0.35">
      <c r="A544" t="s">
        <v>926</v>
      </c>
      <c r="B544" t="s">
        <v>1232</v>
      </c>
      <c r="C544" t="s">
        <v>1286</v>
      </c>
      <c r="D544" t="s">
        <v>1289</v>
      </c>
      <c r="E544" s="1002">
        <v>0</v>
      </c>
      <c r="F544" s="1002">
        <v>0</v>
      </c>
      <c r="G544" s="1002">
        <v>0</v>
      </c>
      <c r="H544" s="1002">
        <v>0</v>
      </c>
      <c r="I544" s="1002">
        <v>0</v>
      </c>
      <c r="J544" s="1002">
        <v>0</v>
      </c>
      <c r="K544" s="1002">
        <v>0</v>
      </c>
      <c r="L544" s="1002">
        <v>0</v>
      </c>
      <c r="M544" s="1002">
        <v>0</v>
      </c>
      <c r="N544" s="1002">
        <v>0</v>
      </c>
      <c r="O544" s="1002">
        <v>0</v>
      </c>
      <c r="P544" s="1002">
        <v>0</v>
      </c>
    </row>
    <row r="545" spans="1:16" hidden="1" x14ac:dyDescent="0.35">
      <c r="A545" t="s">
        <v>926</v>
      </c>
      <c r="B545" t="s">
        <v>1292</v>
      </c>
      <c r="C545" t="s">
        <v>1293</v>
      </c>
      <c r="D545" t="s">
        <v>1294</v>
      </c>
      <c r="E545" s="1002">
        <v>3.6120000000000001</v>
      </c>
      <c r="F545" s="1002">
        <v>0</v>
      </c>
      <c r="G545" s="1002">
        <v>0</v>
      </c>
      <c r="H545" s="1002">
        <v>0</v>
      </c>
      <c r="I545" s="1002">
        <v>0</v>
      </c>
      <c r="J545" s="1002">
        <v>3.6120000000000001</v>
      </c>
      <c r="K545" s="1002">
        <v>4.407</v>
      </c>
      <c r="L545" s="1002">
        <v>0</v>
      </c>
      <c r="M545" s="1002">
        <v>0</v>
      </c>
      <c r="N545" s="1002">
        <v>0</v>
      </c>
      <c r="O545" s="1002">
        <v>0</v>
      </c>
      <c r="P545" s="1002">
        <v>4.407</v>
      </c>
    </row>
    <row r="546" spans="1:16" hidden="1" x14ac:dyDescent="0.35">
      <c r="A546" t="s">
        <v>926</v>
      </c>
      <c r="B546" t="s">
        <v>1292</v>
      </c>
      <c r="C546" t="s">
        <v>1298</v>
      </c>
      <c r="D546" t="s">
        <v>1298</v>
      </c>
      <c r="E546" s="1002">
        <v>3.0249999999999999</v>
      </c>
      <c r="F546" s="1002">
        <v>0</v>
      </c>
      <c r="G546" s="1002">
        <v>0</v>
      </c>
      <c r="H546" s="1002">
        <v>0</v>
      </c>
      <c r="I546" s="1002">
        <v>0</v>
      </c>
      <c r="J546" s="1002">
        <v>3.0249999999999999</v>
      </c>
      <c r="K546" s="1002">
        <v>3.0249999999999999</v>
      </c>
      <c r="L546" s="1002">
        <v>0</v>
      </c>
      <c r="M546" s="1002">
        <v>0</v>
      </c>
      <c r="N546" s="1002">
        <v>0</v>
      </c>
      <c r="O546" s="1002">
        <v>0</v>
      </c>
      <c r="P546" s="1002">
        <v>3.0249999999999999</v>
      </c>
    </row>
    <row r="547" spans="1:16" hidden="1" x14ac:dyDescent="0.35">
      <c r="A547" t="s">
        <v>926</v>
      </c>
      <c r="B547" t="s">
        <v>1292</v>
      </c>
      <c r="C547" t="s">
        <v>1302</v>
      </c>
      <c r="D547" t="s">
        <v>1302</v>
      </c>
      <c r="E547" s="1002">
        <v>6.2080000000000002</v>
      </c>
      <c r="F547" s="1002">
        <v>0</v>
      </c>
      <c r="G547" s="1002">
        <v>0</v>
      </c>
      <c r="H547" s="1002">
        <v>0</v>
      </c>
      <c r="I547" s="1002">
        <v>0</v>
      </c>
      <c r="J547" s="1002">
        <v>6.2080000000000002</v>
      </c>
      <c r="K547" s="1002">
        <v>6.7729999999999997</v>
      </c>
      <c r="L547" s="1002">
        <v>0</v>
      </c>
      <c r="M547" s="1002">
        <v>0</v>
      </c>
      <c r="N547" s="1002">
        <v>0</v>
      </c>
      <c r="O547" s="1002">
        <v>0</v>
      </c>
      <c r="P547" s="1002">
        <v>6.7729999999999997</v>
      </c>
    </row>
    <row r="548" spans="1:16" hidden="1" x14ac:dyDescent="0.35">
      <c r="A548" t="s">
        <v>926</v>
      </c>
      <c r="B548" t="s">
        <v>1307</v>
      </c>
      <c r="C548" t="s">
        <v>1307</v>
      </c>
      <c r="D548" t="s">
        <v>1307</v>
      </c>
      <c r="E548" s="1002">
        <v>2.8</v>
      </c>
      <c r="F548" s="1002">
        <v>0.31</v>
      </c>
      <c r="G548" s="1002">
        <v>0</v>
      </c>
      <c r="H548" s="1002">
        <v>0</v>
      </c>
      <c r="I548" s="1002">
        <v>0</v>
      </c>
      <c r="J548" s="1002">
        <v>3.11</v>
      </c>
      <c r="K548" s="1002">
        <v>0</v>
      </c>
      <c r="L548" s="1002">
        <v>0.39400000000000002</v>
      </c>
      <c r="M548" s="1002">
        <v>32.6</v>
      </c>
      <c r="N548" s="1002">
        <v>0</v>
      </c>
      <c r="O548" s="1002">
        <v>0</v>
      </c>
      <c r="P548" s="1002">
        <v>32.994</v>
      </c>
    </row>
    <row r="549" spans="1:16" hidden="1" x14ac:dyDescent="0.35">
      <c r="A549" t="s">
        <v>926</v>
      </c>
      <c r="B549" t="s">
        <v>1307</v>
      </c>
      <c r="C549" t="s">
        <v>1307</v>
      </c>
      <c r="D549" t="s">
        <v>1310</v>
      </c>
      <c r="E549" s="1002">
        <v>0</v>
      </c>
      <c r="F549" s="1002">
        <v>0</v>
      </c>
      <c r="G549" s="1002">
        <v>0</v>
      </c>
      <c r="H549" s="1002">
        <v>180.9</v>
      </c>
      <c r="I549" s="1002">
        <v>0</v>
      </c>
      <c r="J549" s="1002">
        <v>180.9</v>
      </c>
      <c r="K549" s="1002">
        <v>0</v>
      </c>
      <c r="L549" s="1002">
        <v>0</v>
      </c>
      <c r="M549" s="1002">
        <v>0</v>
      </c>
      <c r="N549" s="1002">
        <v>175.1</v>
      </c>
      <c r="O549" s="1002">
        <v>0</v>
      </c>
      <c r="P549" s="1002">
        <v>175.1</v>
      </c>
    </row>
    <row r="550" spans="1:16" hidden="1" x14ac:dyDescent="0.35">
      <c r="A550" t="s">
        <v>926</v>
      </c>
      <c r="B550" t="s">
        <v>1307</v>
      </c>
      <c r="C550" t="s">
        <v>1307</v>
      </c>
      <c r="D550" t="s">
        <v>1312</v>
      </c>
      <c r="E550" s="1002">
        <v>0</v>
      </c>
      <c r="F550" s="1002">
        <v>0</v>
      </c>
      <c r="G550" s="1002">
        <v>0</v>
      </c>
      <c r="H550" s="1002">
        <v>-6.9</v>
      </c>
      <c r="I550" s="1002">
        <v>0</v>
      </c>
      <c r="J550" s="1002">
        <v>-6.9</v>
      </c>
      <c r="K550" s="1002">
        <v>0</v>
      </c>
      <c r="L550" s="1002">
        <v>0</v>
      </c>
      <c r="M550" s="1002">
        <v>0</v>
      </c>
      <c r="N550" s="1002">
        <v>-7.7</v>
      </c>
      <c r="O550" s="1002">
        <v>0</v>
      </c>
      <c r="P550" s="1002">
        <v>-7.7</v>
      </c>
    </row>
    <row r="551" spans="1:16" hidden="1" x14ac:dyDescent="0.35">
      <c r="A551" t="s">
        <v>926</v>
      </c>
      <c r="B551" t="s">
        <v>1316</v>
      </c>
      <c r="C551" t="s">
        <v>1317</v>
      </c>
      <c r="D551" t="s">
        <v>1317</v>
      </c>
      <c r="E551" s="1002">
        <v>3.33</v>
      </c>
      <c r="F551" s="1002">
        <v>0</v>
      </c>
      <c r="G551" s="1002">
        <v>0</v>
      </c>
      <c r="H551" s="1002">
        <v>0</v>
      </c>
      <c r="I551" s="1002">
        <v>0</v>
      </c>
      <c r="J551" s="1002">
        <v>3.33</v>
      </c>
      <c r="K551" s="1002">
        <v>7.7450000000000001</v>
      </c>
      <c r="L551" s="1002">
        <v>0</v>
      </c>
      <c r="M551" s="1002">
        <v>0</v>
      </c>
      <c r="N551" s="1002">
        <v>0</v>
      </c>
      <c r="O551" s="1002">
        <v>0</v>
      </c>
      <c r="P551" s="1002">
        <v>7.7450000000000001</v>
      </c>
    </row>
    <row r="552" spans="1:16" hidden="1" x14ac:dyDescent="0.35">
      <c r="A552" t="s">
        <v>926</v>
      </c>
      <c r="B552" t="s">
        <v>1316</v>
      </c>
      <c r="C552" t="s">
        <v>1320</v>
      </c>
      <c r="D552" t="s">
        <v>1320</v>
      </c>
      <c r="E552" s="1002">
        <v>4.66</v>
      </c>
      <c r="F552" s="1002">
        <v>0</v>
      </c>
      <c r="G552" s="1002">
        <v>0</v>
      </c>
      <c r="H552" s="1002">
        <v>0</v>
      </c>
      <c r="I552" s="1002">
        <v>0</v>
      </c>
      <c r="J552" s="1002">
        <v>4.66</v>
      </c>
      <c r="K552" s="1002">
        <v>4.6479999999999997</v>
      </c>
      <c r="L552" s="1002">
        <v>0</v>
      </c>
      <c r="M552" s="1002">
        <v>0</v>
      </c>
      <c r="N552" s="1002">
        <v>0</v>
      </c>
      <c r="O552" s="1002">
        <v>0</v>
      </c>
      <c r="P552" s="1002">
        <v>4.6479999999999997</v>
      </c>
    </row>
    <row r="553" spans="1:16" hidden="1" x14ac:dyDescent="0.35">
      <c r="A553" t="s">
        <v>926</v>
      </c>
      <c r="B553" t="s">
        <v>1316</v>
      </c>
      <c r="C553" t="s">
        <v>1323</v>
      </c>
      <c r="D553" t="s">
        <v>1323</v>
      </c>
      <c r="E553" s="1002">
        <v>0.76500000000000001</v>
      </c>
      <c r="F553" s="1002">
        <v>0</v>
      </c>
      <c r="G553" s="1002">
        <v>0</v>
      </c>
      <c r="H553" s="1002">
        <v>0</v>
      </c>
      <c r="I553" s="1002">
        <v>0</v>
      </c>
      <c r="J553" s="1002">
        <v>0.76500000000000001</v>
      </c>
      <c r="K553" s="1002">
        <v>0.95</v>
      </c>
      <c r="L553" s="1002">
        <v>0</v>
      </c>
      <c r="M553" s="1002">
        <v>0</v>
      </c>
      <c r="N553" s="1002">
        <v>0</v>
      </c>
      <c r="O553" s="1002">
        <v>0</v>
      </c>
      <c r="P553" s="1002">
        <v>0.95</v>
      </c>
    </row>
    <row r="554" spans="1:16" hidden="1" x14ac:dyDescent="0.35">
      <c r="A554" t="s">
        <v>926</v>
      </c>
      <c r="B554" t="s">
        <v>1316</v>
      </c>
      <c r="C554" t="s">
        <v>1325</v>
      </c>
      <c r="D554" t="s">
        <v>1325</v>
      </c>
      <c r="E554" s="1002">
        <v>28.489000000000001</v>
      </c>
      <c r="F554" s="1002">
        <v>0.67200000000000004</v>
      </c>
      <c r="G554" s="1002">
        <v>0</v>
      </c>
      <c r="H554" s="1002">
        <v>0</v>
      </c>
      <c r="I554" s="1002">
        <v>0</v>
      </c>
      <c r="J554" s="1002">
        <v>29.161000000000001</v>
      </c>
      <c r="K554" s="1002">
        <v>26.669</v>
      </c>
      <c r="L554" s="1002">
        <v>0</v>
      </c>
      <c r="M554" s="1002">
        <v>0</v>
      </c>
      <c r="N554" s="1002">
        <v>0</v>
      </c>
      <c r="O554" s="1002">
        <v>0</v>
      </c>
      <c r="P554" s="1002">
        <v>26.669</v>
      </c>
    </row>
    <row r="555" spans="1:16" hidden="1" x14ac:dyDescent="0.35">
      <c r="A555" t="s">
        <v>926</v>
      </c>
      <c r="B555" t="s">
        <v>1329</v>
      </c>
      <c r="C555" t="s">
        <v>1330</v>
      </c>
      <c r="D555" t="s">
        <v>1330</v>
      </c>
      <c r="E555" s="1002">
        <v>0.75</v>
      </c>
      <c r="F555" s="1002">
        <v>0</v>
      </c>
      <c r="G555" s="1002">
        <v>0</v>
      </c>
      <c r="H555" s="1002">
        <v>0</v>
      </c>
      <c r="I555" s="1002">
        <v>0</v>
      </c>
      <c r="J555" s="1002">
        <v>0.75</v>
      </c>
      <c r="K555" s="1002">
        <v>0.75</v>
      </c>
      <c r="L555" s="1002">
        <v>0</v>
      </c>
      <c r="M555" s="1002">
        <v>0</v>
      </c>
      <c r="N555" s="1002">
        <v>0</v>
      </c>
      <c r="O555" s="1002">
        <v>0</v>
      </c>
      <c r="P555" s="1002">
        <v>0.75</v>
      </c>
    </row>
    <row r="556" spans="1:16" hidden="1" x14ac:dyDescent="0.35">
      <c r="A556" t="s">
        <v>926</v>
      </c>
      <c r="B556" t="s">
        <v>1329</v>
      </c>
      <c r="C556" t="s">
        <v>1334</v>
      </c>
      <c r="D556" t="s">
        <v>1333</v>
      </c>
      <c r="E556" s="1002">
        <v>0.41499999999999998</v>
      </c>
      <c r="F556" s="1002">
        <v>0</v>
      </c>
      <c r="G556" s="1002">
        <v>0</v>
      </c>
      <c r="H556" s="1002">
        <v>0</v>
      </c>
      <c r="I556" s="1002">
        <v>0</v>
      </c>
      <c r="J556" s="1002">
        <v>0.41499999999999998</v>
      </c>
      <c r="K556" s="1002">
        <v>0.39400000000000002</v>
      </c>
      <c r="L556" s="1002">
        <v>0</v>
      </c>
      <c r="M556" s="1002">
        <v>0</v>
      </c>
      <c r="N556" s="1002">
        <v>0</v>
      </c>
      <c r="O556" s="1002">
        <v>0</v>
      </c>
      <c r="P556" s="1002">
        <v>0.39400000000000002</v>
      </c>
    </row>
    <row r="557" spans="1:16" hidden="1" x14ac:dyDescent="0.35">
      <c r="A557" t="s">
        <v>926</v>
      </c>
      <c r="B557" t="s">
        <v>1329</v>
      </c>
      <c r="C557" t="s">
        <v>1336</v>
      </c>
      <c r="D557" t="s">
        <v>1336</v>
      </c>
      <c r="E557" s="1002">
        <v>0.13</v>
      </c>
      <c r="F557" s="1002">
        <v>0</v>
      </c>
      <c r="G557" s="1002">
        <v>0</v>
      </c>
      <c r="H557" s="1002">
        <v>0</v>
      </c>
      <c r="I557" s="1002">
        <v>0</v>
      </c>
      <c r="J557" s="1002">
        <v>0.13</v>
      </c>
      <c r="K557" s="1002">
        <v>0.13</v>
      </c>
      <c r="L557" s="1002">
        <v>0</v>
      </c>
      <c r="M557" s="1002">
        <v>0</v>
      </c>
      <c r="N557" s="1002">
        <v>0</v>
      </c>
      <c r="O557" s="1002">
        <v>0</v>
      </c>
      <c r="P557" s="1002">
        <v>0.13</v>
      </c>
    </row>
    <row r="558" spans="1:16" hidden="1" x14ac:dyDescent="0.35">
      <c r="A558" t="s">
        <v>926</v>
      </c>
      <c r="B558" t="s">
        <v>1329</v>
      </c>
      <c r="C558" t="s">
        <v>1338</v>
      </c>
      <c r="D558" t="s">
        <v>1338</v>
      </c>
      <c r="E558" s="1002">
        <v>8.298</v>
      </c>
      <c r="F558" s="1002">
        <v>0</v>
      </c>
      <c r="G558" s="1002">
        <v>0</v>
      </c>
      <c r="H558" s="1002">
        <v>0</v>
      </c>
      <c r="I558" s="1002">
        <v>0</v>
      </c>
      <c r="J558" s="1002">
        <v>8.298</v>
      </c>
      <c r="K558" s="1002">
        <v>5.92</v>
      </c>
      <c r="L558" s="1002">
        <v>0</v>
      </c>
      <c r="M558" s="1002">
        <v>0</v>
      </c>
      <c r="N558" s="1002">
        <v>0</v>
      </c>
      <c r="O558" s="1002">
        <v>0</v>
      </c>
      <c r="P558" s="1002">
        <v>5.92</v>
      </c>
    </row>
    <row r="559" spans="1:16" hidden="1" x14ac:dyDescent="0.35">
      <c r="A559" t="s">
        <v>926</v>
      </c>
      <c r="B559" t="s">
        <v>1342</v>
      </c>
      <c r="C559" t="s">
        <v>1342</v>
      </c>
      <c r="D559" t="s">
        <v>1343</v>
      </c>
      <c r="E559" s="1002">
        <v>14.942</v>
      </c>
      <c r="F559" s="1002">
        <v>0</v>
      </c>
      <c r="G559" s="1002">
        <v>45.8</v>
      </c>
      <c r="H559" s="1002">
        <v>0</v>
      </c>
      <c r="I559" s="1002">
        <v>0</v>
      </c>
      <c r="J559" s="1002">
        <v>60.741999999999997</v>
      </c>
      <c r="K559" s="1002">
        <v>12.15</v>
      </c>
      <c r="L559" s="1002">
        <v>0</v>
      </c>
      <c r="M559" s="1002">
        <v>50</v>
      </c>
      <c r="N559" s="1002">
        <v>0</v>
      </c>
      <c r="O559" s="1002">
        <v>0</v>
      </c>
      <c r="P559" s="1002">
        <v>62.15</v>
      </c>
    </row>
    <row r="560" spans="1:16" hidden="1" x14ac:dyDescent="0.35">
      <c r="A560" t="s">
        <v>926</v>
      </c>
      <c r="B560" t="s">
        <v>1342</v>
      </c>
      <c r="C560" t="s">
        <v>1342</v>
      </c>
      <c r="D560" t="s">
        <v>1346</v>
      </c>
      <c r="E560" s="1002">
        <v>0</v>
      </c>
      <c r="F560" s="1002">
        <v>0</v>
      </c>
      <c r="G560" s="1002">
        <v>0</v>
      </c>
      <c r="H560" s="1002">
        <v>0</v>
      </c>
      <c r="I560" s="1002">
        <v>0</v>
      </c>
      <c r="J560" s="1002">
        <v>0</v>
      </c>
      <c r="K560" s="1002">
        <v>0</v>
      </c>
      <c r="L560" s="1002">
        <v>0</v>
      </c>
      <c r="M560" s="1002">
        <v>0</v>
      </c>
      <c r="N560" s="1002">
        <v>0</v>
      </c>
      <c r="O560" s="1002">
        <v>0</v>
      </c>
      <c r="P560" s="1002">
        <v>0</v>
      </c>
    </row>
    <row r="561" spans="1:16" hidden="1" x14ac:dyDescent="0.35">
      <c r="A561" t="s">
        <v>926</v>
      </c>
      <c r="B561" t="s">
        <v>1342</v>
      </c>
      <c r="C561" t="s">
        <v>1342</v>
      </c>
      <c r="D561" t="s">
        <v>1347</v>
      </c>
      <c r="E561" s="1002">
        <v>0</v>
      </c>
      <c r="F561" s="1002">
        <v>0</v>
      </c>
      <c r="G561" s="1002">
        <v>0</v>
      </c>
      <c r="H561" s="1002">
        <v>0</v>
      </c>
      <c r="I561" s="1002">
        <v>0</v>
      </c>
      <c r="J561" s="1002">
        <v>0</v>
      </c>
      <c r="K561" s="1002">
        <v>0</v>
      </c>
      <c r="L561" s="1002">
        <v>0</v>
      </c>
      <c r="M561" s="1002">
        <v>0</v>
      </c>
      <c r="N561" s="1002">
        <v>0</v>
      </c>
      <c r="O561" s="1002">
        <v>0</v>
      </c>
      <c r="P561" s="1002">
        <v>0</v>
      </c>
    </row>
    <row r="562" spans="1:16" hidden="1" x14ac:dyDescent="0.35">
      <c r="A562" t="s">
        <v>926</v>
      </c>
      <c r="B562" t="s">
        <v>1348</v>
      </c>
      <c r="C562" t="s">
        <v>1348</v>
      </c>
      <c r="D562" t="s">
        <v>1348</v>
      </c>
      <c r="E562" s="1002">
        <v>12.7</v>
      </c>
      <c r="F562" s="1002">
        <v>0</v>
      </c>
      <c r="G562" s="1002">
        <v>185</v>
      </c>
      <c r="H562" s="1002">
        <v>0</v>
      </c>
      <c r="I562" s="1002">
        <v>0</v>
      </c>
      <c r="J562" s="1002">
        <v>197.7</v>
      </c>
      <c r="K562" s="1002">
        <v>12.2</v>
      </c>
      <c r="L562" s="1002">
        <v>0</v>
      </c>
      <c r="M562" s="1002">
        <v>202.75</v>
      </c>
      <c r="N562" s="1002">
        <v>0</v>
      </c>
      <c r="O562" s="1002">
        <v>0</v>
      </c>
      <c r="P562" s="1002">
        <v>214.95</v>
      </c>
    </row>
    <row r="563" spans="1:16" hidden="1" x14ac:dyDescent="0.35">
      <c r="A563" t="s">
        <v>926</v>
      </c>
      <c r="B563" t="s">
        <v>1352</v>
      </c>
      <c r="C563" t="s">
        <v>1352</v>
      </c>
      <c r="D563" t="s">
        <v>1352</v>
      </c>
      <c r="E563" s="1002">
        <v>8.5150000000000006</v>
      </c>
      <c r="F563" s="1002">
        <v>0</v>
      </c>
      <c r="G563" s="1002">
        <v>0</v>
      </c>
      <c r="H563" s="1002">
        <v>0</v>
      </c>
      <c r="I563" s="1002">
        <v>0</v>
      </c>
      <c r="J563" s="1002">
        <v>8.5150000000000006</v>
      </c>
      <c r="K563" s="1002">
        <v>9.0150000000000006</v>
      </c>
      <c r="L563" s="1002">
        <v>0</v>
      </c>
      <c r="M563" s="1002">
        <v>0</v>
      </c>
      <c r="N563" s="1002">
        <v>0</v>
      </c>
      <c r="O563" s="1002">
        <v>0</v>
      </c>
      <c r="P563" s="1002">
        <v>9.0150000000000006</v>
      </c>
    </row>
    <row r="564" spans="1:16" hidden="1" x14ac:dyDescent="0.35">
      <c r="A564" t="s">
        <v>926</v>
      </c>
      <c r="B564" t="s">
        <v>1356</v>
      </c>
      <c r="C564" t="s">
        <v>1356</v>
      </c>
      <c r="D564" t="s">
        <v>1356</v>
      </c>
      <c r="E564" s="1002">
        <v>1.86</v>
      </c>
      <c r="F564" s="1002">
        <v>0.624</v>
      </c>
      <c r="G564" s="1002">
        <v>60.2</v>
      </c>
      <c r="H564" s="1002">
        <v>0</v>
      </c>
      <c r="I564" s="1002">
        <v>0</v>
      </c>
      <c r="J564" s="1002">
        <v>62.684000000000005</v>
      </c>
      <c r="K564" s="1002">
        <v>1.86</v>
      </c>
      <c r="L564" s="1002">
        <v>0</v>
      </c>
      <c r="M564" s="1002">
        <v>46</v>
      </c>
      <c r="N564" s="1002">
        <v>0</v>
      </c>
      <c r="O564" s="1002">
        <v>0</v>
      </c>
      <c r="P564" s="1002">
        <v>47.86</v>
      </c>
    </row>
    <row r="565" spans="1:16" hidden="1" x14ac:dyDescent="0.35">
      <c r="A565" t="s">
        <v>926</v>
      </c>
      <c r="B565" t="s">
        <v>1360</v>
      </c>
      <c r="C565" t="s">
        <v>1361</v>
      </c>
      <c r="D565" t="s">
        <v>1362</v>
      </c>
      <c r="E565" s="1002">
        <v>42.354999999999997</v>
      </c>
      <c r="F565" s="1002">
        <v>0</v>
      </c>
      <c r="G565" s="1002">
        <v>0</v>
      </c>
      <c r="H565" s="1002">
        <v>0</v>
      </c>
      <c r="I565" s="1002">
        <v>4.2000000000000003E-2</v>
      </c>
      <c r="J565" s="1002">
        <v>42.396999999999998</v>
      </c>
      <c r="K565" s="1002">
        <v>38.805</v>
      </c>
      <c r="L565" s="1002">
        <v>0</v>
      </c>
      <c r="M565" s="1002">
        <v>0</v>
      </c>
      <c r="N565" s="1002">
        <v>0</v>
      </c>
      <c r="O565" s="1002">
        <v>0</v>
      </c>
      <c r="P565" s="1002">
        <v>38.805</v>
      </c>
    </row>
    <row r="566" spans="1:16" hidden="1" x14ac:dyDescent="0.35">
      <c r="A566" t="s">
        <v>926</v>
      </c>
      <c r="B566" t="s">
        <v>1360</v>
      </c>
      <c r="C566" t="s">
        <v>1361</v>
      </c>
      <c r="D566" t="s">
        <v>1365</v>
      </c>
      <c r="E566" s="1002">
        <v>0</v>
      </c>
      <c r="F566" s="1002">
        <v>0</v>
      </c>
      <c r="G566" s="1002">
        <v>2.6</v>
      </c>
      <c r="H566" s="1002">
        <v>0</v>
      </c>
      <c r="I566" s="1002">
        <v>0</v>
      </c>
      <c r="J566" s="1002">
        <v>2.6</v>
      </c>
      <c r="K566" s="1002">
        <v>0</v>
      </c>
      <c r="L566" s="1002">
        <v>0</v>
      </c>
      <c r="M566" s="1002">
        <v>2.2999999999999998</v>
      </c>
      <c r="N566" s="1002">
        <v>0</v>
      </c>
      <c r="O566" s="1002">
        <v>0</v>
      </c>
      <c r="P566" s="1002">
        <v>2.2999999999999998</v>
      </c>
    </row>
    <row r="567" spans="1:16" hidden="1" x14ac:dyDescent="0.35">
      <c r="A567" t="s">
        <v>926</v>
      </c>
      <c r="B567" t="s">
        <v>1360</v>
      </c>
      <c r="C567" t="s">
        <v>1361</v>
      </c>
      <c r="D567" t="s">
        <v>1368</v>
      </c>
      <c r="E567" s="1002">
        <v>0</v>
      </c>
      <c r="F567" s="1002">
        <v>3.25</v>
      </c>
      <c r="G567" s="1002">
        <v>0</v>
      </c>
      <c r="H567" s="1002">
        <v>0</v>
      </c>
      <c r="I567" s="1002">
        <v>0</v>
      </c>
      <c r="J567" s="1002">
        <v>3.25</v>
      </c>
      <c r="K567" s="1002">
        <v>0</v>
      </c>
      <c r="L567" s="1002">
        <v>3.07</v>
      </c>
      <c r="M567" s="1002">
        <v>0</v>
      </c>
      <c r="N567" s="1002">
        <v>0</v>
      </c>
      <c r="O567" s="1002">
        <v>0</v>
      </c>
      <c r="P567" s="1002">
        <v>3.07</v>
      </c>
    </row>
    <row r="568" spans="1:16" hidden="1" x14ac:dyDescent="0.35">
      <c r="A568" t="s">
        <v>926</v>
      </c>
      <c r="B568" t="s">
        <v>1360</v>
      </c>
      <c r="C568" t="s">
        <v>1361</v>
      </c>
      <c r="D568" t="s">
        <v>1371</v>
      </c>
      <c r="E568" s="1002">
        <v>0</v>
      </c>
      <c r="F568" s="1002">
        <v>0</v>
      </c>
      <c r="G568" s="1002">
        <v>2.6</v>
      </c>
      <c r="H568" s="1002">
        <v>0</v>
      </c>
      <c r="I568" s="1002">
        <v>0</v>
      </c>
      <c r="J568" s="1002">
        <v>2.6</v>
      </c>
      <c r="K568" s="1002">
        <v>2</v>
      </c>
      <c r="L568" s="1002">
        <v>0</v>
      </c>
      <c r="M568" s="1002">
        <v>6</v>
      </c>
      <c r="N568" s="1002">
        <v>0</v>
      </c>
      <c r="O568" s="1002">
        <v>0</v>
      </c>
      <c r="P568" s="1002">
        <v>8</v>
      </c>
    </row>
    <row r="569" spans="1:16" hidden="1" x14ac:dyDescent="0.35">
      <c r="A569" t="s">
        <v>926</v>
      </c>
      <c r="B569" t="s">
        <v>1360</v>
      </c>
      <c r="C569" t="s">
        <v>1375</v>
      </c>
      <c r="D569" t="s">
        <v>1375</v>
      </c>
      <c r="E569" s="1002">
        <v>0.88300000000000001</v>
      </c>
      <c r="F569" s="1002">
        <v>0</v>
      </c>
      <c r="G569" s="1002">
        <v>0</v>
      </c>
      <c r="H569" s="1002">
        <v>0</v>
      </c>
      <c r="I569" s="1002">
        <v>0</v>
      </c>
      <c r="J569" s="1002">
        <v>0.88300000000000001</v>
      </c>
      <c r="K569" s="1002">
        <v>6.3540000000000001</v>
      </c>
      <c r="L569" s="1002">
        <v>0</v>
      </c>
      <c r="M569" s="1002">
        <v>0</v>
      </c>
      <c r="N569" s="1002">
        <v>0</v>
      </c>
      <c r="O569" s="1002">
        <v>0</v>
      </c>
      <c r="P569" s="1002">
        <v>6.3540000000000001</v>
      </c>
    </row>
    <row r="570" spans="1:16" hidden="1" x14ac:dyDescent="0.35">
      <c r="A570" t="s">
        <v>926</v>
      </c>
      <c r="B570" t="s">
        <v>1380</v>
      </c>
      <c r="C570" t="s">
        <v>1380</v>
      </c>
      <c r="D570" t="s">
        <v>1381</v>
      </c>
      <c r="E570" s="1002">
        <v>5.3250000000000002</v>
      </c>
      <c r="F570" s="1002">
        <v>0</v>
      </c>
      <c r="G570" s="1002">
        <v>0</v>
      </c>
      <c r="H570" s="1002">
        <v>0</v>
      </c>
      <c r="I570" s="1002">
        <v>0</v>
      </c>
      <c r="J570" s="1002">
        <v>5.3250000000000002</v>
      </c>
      <c r="K570" s="1002">
        <v>5.6349999999999998</v>
      </c>
      <c r="L570" s="1002">
        <v>0</v>
      </c>
      <c r="M570" s="1002">
        <v>0</v>
      </c>
      <c r="N570" s="1002">
        <v>0</v>
      </c>
      <c r="O570" s="1002">
        <v>0</v>
      </c>
      <c r="P570" s="1002">
        <v>5.6349999999999998</v>
      </c>
    </row>
    <row r="571" spans="1:16" hidden="1" x14ac:dyDescent="0.35">
      <c r="A571" t="s">
        <v>926</v>
      </c>
      <c r="B571" t="s">
        <v>1380</v>
      </c>
      <c r="C571" t="s">
        <v>1380</v>
      </c>
      <c r="D571" t="s">
        <v>1384</v>
      </c>
      <c r="E571" s="1002">
        <v>0</v>
      </c>
      <c r="F571" s="1002">
        <v>0</v>
      </c>
      <c r="G571" s="1002">
        <v>4</v>
      </c>
      <c r="H571" s="1002">
        <v>0</v>
      </c>
      <c r="I571" s="1002">
        <v>0</v>
      </c>
      <c r="J571" s="1002">
        <v>4</v>
      </c>
      <c r="K571" s="1002">
        <v>0</v>
      </c>
      <c r="L571" s="1002">
        <v>0</v>
      </c>
      <c r="M571" s="1002">
        <v>5</v>
      </c>
      <c r="N571" s="1002">
        <v>0</v>
      </c>
      <c r="O571" s="1002">
        <v>0</v>
      </c>
      <c r="P571" s="1002">
        <v>5</v>
      </c>
    </row>
    <row r="572" spans="1:16" hidden="1" x14ac:dyDescent="0.35">
      <c r="A572" t="s">
        <v>926</v>
      </c>
      <c r="B572" t="s">
        <v>1380</v>
      </c>
      <c r="C572" t="s">
        <v>1380</v>
      </c>
      <c r="D572" t="s">
        <v>1387</v>
      </c>
      <c r="E572" s="1002">
        <v>0</v>
      </c>
      <c r="F572" s="1002">
        <v>0</v>
      </c>
      <c r="G572" s="1002">
        <v>0</v>
      </c>
      <c r="H572" s="1002">
        <v>0</v>
      </c>
      <c r="I572" s="1002">
        <v>0</v>
      </c>
      <c r="J572" s="1002">
        <v>0</v>
      </c>
      <c r="K572" s="1002">
        <v>1</v>
      </c>
      <c r="L572" s="1002">
        <v>0</v>
      </c>
      <c r="M572" s="1002">
        <v>0</v>
      </c>
      <c r="N572" s="1002">
        <v>0</v>
      </c>
      <c r="O572" s="1002">
        <v>0</v>
      </c>
      <c r="P572" s="1002">
        <v>1</v>
      </c>
    </row>
    <row r="573" spans="1:16" hidden="1" x14ac:dyDescent="0.35">
      <c r="A573" t="s">
        <v>926</v>
      </c>
      <c r="B573" t="s">
        <v>1380</v>
      </c>
      <c r="C573" t="s">
        <v>1380</v>
      </c>
      <c r="D573" t="s">
        <v>1390</v>
      </c>
      <c r="E573" s="1002">
        <v>12.8</v>
      </c>
      <c r="F573" s="1002">
        <v>0</v>
      </c>
      <c r="G573" s="1002">
        <v>0</v>
      </c>
      <c r="H573" s="1002">
        <v>0</v>
      </c>
      <c r="I573" s="1002">
        <v>0</v>
      </c>
      <c r="J573" s="1002">
        <v>12.8</v>
      </c>
      <c r="K573" s="1002">
        <v>13.1</v>
      </c>
      <c r="L573" s="1002">
        <v>0</v>
      </c>
      <c r="M573" s="1002">
        <v>0</v>
      </c>
      <c r="N573" s="1002">
        <v>0</v>
      </c>
      <c r="O573" s="1002">
        <v>0</v>
      </c>
      <c r="P573" s="1002">
        <v>13.1</v>
      </c>
    </row>
    <row r="574" spans="1:16" hidden="1" x14ac:dyDescent="0.35">
      <c r="A574" t="s">
        <v>926</v>
      </c>
      <c r="B574" t="s">
        <v>1380</v>
      </c>
      <c r="C574" t="s">
        <v>1380</v>
      </c>
      <c r="D574" t="s">
        <v>1392</v>
      </c>
      <c r="E574" s="1002">
        <v>2.4</v>
      </c>
      <c r="F574" s="1002">
        <v>0</v>
      </c>
      <c r="G574" s="1002">
        <v>0</v>
      </c>
      <c r="H574" s="1002">
        <v>0</v>
      </c>
      <c r="I574" s="1002">
        <v>0</v>
      </c>
      <c r="J574" s="1002">
        <v>2.4</v>
      </c>
      <c r="K574" s="1002">
        <v>3.15</v>
      </c>
      <c r="L574" s="1002">
        <v>0</v>
      </c>
      <c r="M574" s="1002">
        <v>0</v>
      </c>
      <c r="N574" s="1002">
        <v>0</v>
      </c>
      <c r="O574" s="1002">
        <v>0</v>
      </c>
      <c r="P574" s="1002">
        <v>3.15</v>
      </c>
    </row>
    <row r="575" spans="1:16" hidden="1" x14ac:dyDescent="0.35">
      <c r="A575" t="s">
        <v>926</v>
      </c>
      <c r="B575" t="s">
        <v>1380</v>
      </c>
      <c r="C575" t="s">
        <v>1380</v>
      </c>
      <c r="D575" t="s">
        <v>1394</v>
      </c>
      <c r="E575" s="1002">
        <v>0.5</v>
      </c>
      <c r="F575" s="1002">
        <v>0</v>
      </c>
      <c r="G575" s="1002">
        <v>0</v>
      </c>
      <c r="H575" s="1002">
        <v>0</v>
      </c>
      <c r="I575" s="1002">
        <v>0</v>
      </c>
      <c r="J575" s="1002">
        <v>0.5</v>
      </c>
      <c r="K575" s="1002">
        <v>0.95</v>
      </c>
      <c r="L575" s="1002">
        <v>0</v>
      </c>
      <c r="M575" s="1002">
        <v>0</v>
      </c>
      <c r="N575" s="1002">
        <v>0</v>
      </c>
      <c r="O575" s="1002">
        <v>0</v>
      </c>
      <c r="P575" s="1002">
        <v>0.95</v>
      </c>
    </row>
    <row r="576" spans="1:16" hidden="1" x14ac:dyDescent="0.35">
      <c r="A576" t="s">
        <v>926</v>
      </c>
      <c r="B576" t="s">
        <v>1380</v>
      </c>
      <c r="C576" t="s">
        <v>1380</v>
      </c>
      <c r="D576" t="s">
        <v>1396</v>
      </c>
      <c r="E576" s="1002">
        <v>0.5</v>
      </c>
      <c r="F576" s="1002">
        <v>0</v>
      </c>
      <c r="G576" s="1002">
        <v>0</v>
      </c>
      <c r="H576" s="1002">
        <v>0</v>
      </c>
      <c r="I576" s="1002">
        <v>0</v>
      </c>
      <c r="J576" s="1002">
        <v>0.5</v>
      </c>
      <c r="K576" s="1002">
        <v>1.7</v>
      </c>
      <c r="L576" s="1002">
        <v>0</v>
      </c>
      <c r="M576" s="1002">
        <v>0</v>
      </c>
      <c r="N576" s="1002">
        <v>0</v>
      </c>
      <c r="O576" s="1002">
        <v>0</v>
      </c>
      <c r="P576" s="1002">
        <v>1.7</v>
      </c>
    </row>
    <row r="577" spans="1:16" hidden="1" x14ac:dyDescent="0.35">
      <c r="A577" t="s">
        <v>926</v>
      </c>
      <c r="B577" t="s">
        <v>1399</v>
      </c>
      <c r="C577" t="s">
        <v>1399</v>
      </c>
      <c r="D577" t="s">
        <v>1400</v>
      </c>
      <c r="E577" s="1002">
        <v>6.0620000000000003</v>
      </c>
      <c r="F577" s="1002">
        <v>0.67700000000000005</v>
      </c>
      <c r="G577" s="1002">
        <v>0</v>
      </c>
      <c r="H577" s="1002">
        <v>0</v>
      </c>
      <c r="I577" s="1002">
        <v>2.1000000000000001E-2</v>
      </c>
      <c r="J577" s="1002">
        <v>6.7600000000000007</v>
      </c>
      <c r="K577" s="1002">
        <v>6.0949999999999998</v>
      </c>
      <c r="L577" s="1002">
        <v>0.67700000000000005</v>
      </c>
      <c r="M577" s="1002">
        <v>0</v>
      </c>
      <c r="N577" s="1002">
        <v>0</v>
      </c>
      <c r="O577" s="1002">
        <v>0</v>
      </c>
      <c r="P577" s="1002">
        <v>6.7720000000000002</v>
      </c>
    </row>
    <row r="578" spans="1:16" hidden="1" x14ac:dyDescent="0.35">
      <c r="A578" t="s">
        <v>926</v>
      </c>
      <c r="B578" t="s">
        <v>1399</v>
      </c>
      <c r="C578" t="s">
        <v>1399</v>
      </c>
      <c r="D578" t="s">
        <v>1403</v>
      </c>
      <c r="E578" s="1002">
        <v>34.917000000000002</v>
      </c>
      <c r="F578" s="1002">
        <v>0</v>
      </c>
      <c r="G578" s="1002">
        <v>0</v>
      </c>
      <c r="H578" s="1002">
        <v>0</v>
      </c>
      <c r="I578" s="1002">
        <v>0</v>
      </c>
      <c r="J578" s="1002">
        <v>34.917000000000002</v>
      </c>
      <c r="K578" s="1002">
        <v>40.917000000000002</v>
      </c>
      <c r="L578" s="1002">
        <v>0</v>
      </c>
      <c r="M578" s="1002">
        <v>0</v>
      </c>
      <c r="N578" s="1002">
        <v>0</v>
      </c>
      <c r="O578" s="1002">
        <v>0</v>
      </c>
      <c r="P578" s="1002">
        <v>40.917000000000002</v>
      </c>
    </row>
    <row r="579" spans="1:16" hidden="1" x14ac:dyDescent="0.35">
      <c r="A579" t="s">
        <v>926</v>
      </c>
      <c r="B579" t="s">
        <v>1399</v>
      </c>
      <c r="C579" t="s">
        <v>1399</v>
      </c>
      <c r="D579" t="s">
        <v>1406</v>
      </c>
      <c r="E579" s="1002">
        <v>7.5739999999999998</v>
      </c>
      <c r="F579" s="1002">
        <v>0</v>
      </c>
      <c r="G579" s="1002">
        <v>0</v>
      </c>
      <c r="H579" s="1002">
        <v>0</v>
      </c>
      <c r="I579" s="1002">
        <v>0</v>
      </c>
      <c r="J579" s="1002">
        <v>7.5739999999999998</v>
      </c>
      <c r="K579" s="1002">
        <v>7.69</v>
      </c>
      <c r="L579" s="1002">
        <v>0</v>
      </c>
      <c r="M579" s="1002">
        <v>0</v>
      </c>
      <c r="N579" s="1002">
        <v>0</v>
      </c>
      <c r="O579" s="1002">
        <v>0</v>
      </c>
      <c r="P579" s="1002">
        <v>7.69</v>
      </c>
    </row>
    <row r="580" spans="1:16" hidden="1" x14ac:dyDescent="0.35">
      <c r="A580" t="s">
        <v>926</v>
      </c>
      <c r="B580" t="s">
        <v>1399</v>
      </c>
      <c r="C580" t="s">
        <v>1399</v>
      </c>
      <c r="D580" t="s">
        <v>1408</v>
      </c>
      <c r="E580" s="1002">
        <v>5</v>
      </c>
      <c r="F580" s="1002">
        <v>0</v>
      </c>
      <c r="G580" s="1002">
        <v>0</v>
      </c>
      <c r="H580" s="1002">
        <v>0</v>
      </c>
      <c r="I580" s="1002">
        <v>0</v>
      </c>
      <c r="J580" s="1002">
        <v>5</v>
      </c>
      <c r="K580" s="1002">
        <v>5.0460000000000003</v>
      </c>
      <c r="L580" s="1002">
        <v>0</v>
      </c>
      <c r="M580" s="1002">
        <v>0</v>
      </c>
      <c r="N580" s="1002">
        <v>0</v>
      </c>
      <c r="O580" s="1002">
        <v>0</v>
      </c>
      <c r="P580" s="1002">
        <v>5.0460000000000003</v>
      </c>
    </row>
    <row r="581" spans="1:16" hidden="1" x14ac:dyDescent="0.35">
      <c r="A581" t="s">
        <v>1873</v>
      </c>
      <c r="B581" t="s">
        <v>1873</v>
      </c>
      <c r="C581" t="s">
        <v>1873</v>
      </c>
      <c r="D581" t="s">
        <v>1873</v>
      </c>
      <c r="E581" s="1002">
        <v>205.22400000000002</v>
      </c>
      <c r="F581" s="1002">
        <v>9.9060000000000006</v>
      </c>
      <c r="G581" s="1002">
        <v>10.145</v>
      </c>
      <c r="H581" s="1002">
        <v>0</v>
      </c>
      <c r="I581" s="1002">
        <v>0.17</v>
      </c>
      <c r="J581" s="1002">
        <v>225.44500000000002</v>
      </c>
      <c r="K581" s="1002">
        <v>225.2</v>
      </c>
      <c r="L581" s="1002">
        <v>10.157999999999999</v>
      </c>
      <c r="M581" s="1002">
        <v>12.4</v>
      </c>
      <c r="N581" s="1002">
        <v>0</v>
      </c>
      <c r="O581" s="1002">
        <v>1.37</v>
      </c>
      <c r="P581" s="1002">
        <v>249.12800000000001</v>
      </c>
    </row>
    <row r="582" spans="1:16" hidden="1" x14ac:dyDescent="0.35">
      <c r="A582" t="s">
        <v>1874</v>
      </c>
      <c r="B582" t="s">
        <v>1874</v>
      </c>
      <c r="C582" t="s">
        <v>1874</v>
      </c>
      <c r="D582" t="s">
        <v>1874</v>
      </c>
      <c r="E582" s="1002">
        <v>124.971</v>
      </c>
      <c r="F582" s="1002">
        <v>14.584</v>
      </c>
      <c r="G582" s="1002">
        <v>1.55</v>
      </c>
      <c r="H582" s="1002">
        <v>0</v>
      </c>
      <c r="I582" s="1002">
        <v>2</v>
      </c>
      <c r="J582" s="1002">
        <v>143.10500000000002</v>
      </c>
      <c r="K582" s="1002">
        <v>135.18100000000001</v>
      </c>
      <c r="L582" s="1002">
        <v>14.9</v>
      </c>
      <c r="M582" s="1002">
        <v>1</v>
      </c>
      <c r="N582" s="1002">
        <v>0</v>
      </c>
      <c r="O582" s="1002">
        <v>2</v>
      </c>
      <c r="P582" s="1002">
        <v>153.08100000000002</v>
      </c>
    </row>
    <row r="583" spans="1:16" hidden="1" x14ac:dyDescent="0.35">
      <c r="A583" t="s">
        <v>1875</v>
      </c>
      <c r="B583" t="s">
        <v>1875</v>
      </c>
      <c r="C583" t="s">
        <v>1875</v>
      </c>
      <c r="D583" t="s">
        <v>1875</v>
      </c>
      <c r="E583" s="1002">
        <v>11.929000000000002</v>
      </c>
      <c r="F583" s="1002">
        <v>1.1499999999999999</v>
      </c>
      <c r="G583" s="1002">
        <v>0.43299999999999994</v>
      </c>
      <c r="H583" s="1002">
        <v>0</v>
      </c>
      <c r="I583" s="1002">
        <v>0</v>
      </c>
      <c r="J583" s="1002">
        <v>13.512000000000002</v>
      </c>
      <c r="K583" s="1002">
        <v>14.108000000000001</v>
      </c>
      <c r="L583" s="1002">
        <v>0.51500000000000001</v>
      </c>
      <c r="M583" s="1002">
        <v>0.36</v>
      </c>
      <c r="N583" s="1002">
        <v>0</v>
      </c>
      <c r="O583" s="1002">
        <v>0</v>
      </c>
      <c r="P583" s="1002">
        <v>14.983000000000001</v>
      </c>
    </row>
  </sheetData>
  <autoFilter ref="A1:P583" xr:uid="{FC859A70-1CE5-4772-A8C7-BE30AF1B7629}">
    <filterColumn colId="0">
      <filters>
        <filter val="Health and Social Care"/>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Contents</vt:lpstr>
      <vt:lpstr>HSC</vt:lpstr>
      <vt:lpstr>FLG</vt:lpstr>
      <vt:lpstr>Social Justice</vt:lpstr>
      <vt:lpstr>E&amp;S</vt:lpstr>
      <vt:lpstr>J&amp;HA</vt:lpstr>
      <vt:lpstr>Transport</vt:lpstr>
      <vt:lpstr>DMFEG</vt:lpstr>
      <vt:lpstr>RALRI</vt:lpstr>
      <vt:lpstr>NZE</vt:lpstr>
      <vt:lpstr>CEAC</vt:lpstr>
      <vt:lpstr>Data Sheet</vt:lpstr>
    </vt:vector>
  </TitlesOfParts>
  <Company>Scottish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Craig Maidment</dc:creator>
  <cp:lastModifiedBy>Craig Maidment</cp:lastModifiedBy>
  <dcterms:created xsi:type="dcterms:W3CDTF">2024-12-02T14:48:44Z</dcterms:created>
  <dcterms:modified xsi:type="dcterms:W3CDTF">2025-05-22T13:50:05Z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