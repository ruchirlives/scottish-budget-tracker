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https://scotsconnect.sharepoint.com/sites/ScottishBudget-2024-25-Project-SG/Shared Documents/General/Budget 2024-25 - Budget Bill - Stage 3 Publications/"/>
    </mc:Choice>
  </mc:AlternateContent>
  <xr:revisionPtr revIDLastSave="48" documentId="8_{DBBE6C2D-BDB9-4ED0-91C0-7D575DBC626D}" xr6:coauthVersionLast="47" xr6:coauthVersionMax="47" xr10:uidLastSave="{F5B14467-15D3-4BFD-B0F3-AAD33B39A3A4}"/>
  <bookViews>
    <workbookView xWindow="28680" yWindow="-120" windowWidth="29040" windowHeight="15840" firstSheet="7" activeTab="8" xr2:uid="{90220C8E-BA49-4213-9A6A-4852BA577E7B}"/>
  </bookViews>
  <sheets>
    <sheet name="CONTENTS" sheetId="1" r:id="rId1"/>
    <sheet name="NHSR, H &amp; SC" sheetId="2" r:id="rId2"/>
    <sheet name="DFM &amp; F" sheetId="11" r:id="rId3"/>
    <sheet name="SJ" sheetId="4" r:id="rId4"/>
    <sheet name="TRANSPORT" sheetId="8" r:id="rId5"/>
    <sheet name="E &amp; S" sheetId="6" r:id="rId6"/>
    <sheet name="JUSTICE" sheetId="7" r:id="rId7"/>
    <sheet name="WENZE" sheetId="5" r:id="rId8"/>
    <sheet name="RA, LR  &amp; I" sheetId="9" r:id="rId9"/>
    <sheet name="C,EA &amp; C"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9" i="8" l="1"/>
  <c r="X119" i="8"/>
  <c r="W119" i="8"/>
  <c r="V119" i="8"/>
  <c r="U119" i="8"/>
  <c r="T119" i="8"/>
  <c r="S119" i="8"/>
  <c r="R119" i="8"/>
  <c r="Y118" i="8"/>
  <c r="X118" i="8"/>
  <c r="W118" i="8"/>
  <c r="V118" i="8"/>
  <c r="U118" i="8"/>
  <c r="T118" i="8"/>
  <c r="S118" i="8"/>
  <c r="R118" i="8"/>
  <c r="Y117" i="8"/>
  <c r="X117" i="8"/>
  <c r="W117" i="8"/>
  <c r="V117" i="8"/>
  <c r="U117" i="8"/>
  <c r="T117" i="8"/>
  <c r="S117" i="8"/>
  <c r="R117" i="8"/>
  <c r="Y105" i="8"/>
  <c r="X105" i="8"/>
  <c r="W105" i="8"/>
  <c r="V105" i="8"/>
  <c r="U105" i="8"/>
  <c r="T105" i="8"/>
  <c r="S105" i="8"/>
  <c r="R105" i="8"/>
  <c r="Y102" i="8"/>
  <c r="X102" i="8"/>
  <c r="W102" i="8"/>
  <c r="V102" i="8"/>
  <c r="U102" i="8"/>
  <c r="T102" i="8"/>
  <c r="S102" i="8"/>
  <c r="R102" i="8"/>
  <c r="Y101" i="8"/>
  <c r="X101" i="8"/>
  <c r="W101" i="8"/>
  <c r="V101" i="8"/>
  <c r="U101" i="8"/>
  <c r="T101" i="8"/>
  <c r="S101" i="8"/>
  <c r="R101" i="8"/>
  <c r="Y100" i="8"/>
  <c r="X100" i="8"/>
  <c r="W100" i="8"/>
  <c r="V100" i="8"/>
  <c r="U100" i="8"/>
  <c r="T100" i="8"/>
  <c r="S100" i="8"/>
  <c r="R100" i="8"/>
  <c r="Y92" i="8"/>
  <c r="X92" i="8"/>
  <c r="W92" i="8"/>
  <c r="V92" i="8"/>
  <c r="U92" i="8"/>
  <c r="T92" i="8"/>
  <c r="S92" i="8"/>
  <c r="R92" i="8"/>
  <c r="Y91" i="8"/>
  <c r="X91" i="8"/>
  <c r="W91" i="8"/>
  <c r="V91" i="8"/>
  <c r="U91" i="8"/>
  <c r="T91" i="8"/>
  <c r="S91" i="8"/>
  <c r="R91" i="8"/>
  <c r="Y90" i="8"/>
  <c r="X90" i="8"/>
  <c r="W90" i="8"/>
  <c r="V90" i="8"/>
  <c r="U90" i="8"/>
  <c r="T90" i="8"/>
  <c r="S90" i="8"/>
  <c r="R90" i="8"/>
  <c r="Y86" i="8"/>
  <c r="X86" i="8"/>
  <c r="W86" i="8"/>
  <c r="V86" i="8"/>
  <c r="U86" i="8"/>
  <c r="T86" i="8"/>
  <c r="S86" i="8"/>
  <c r="R86" i="8"/>
  <c r="Y85" i="8"/>
  <c r="X85" i="8"/>
  <c r="W85" i="8"/>
  <c r="V85" i="8"/>
  <c r="U85" i="8"/>
  <c r="T85" i="8"/>
  <c r="S85" i="8"/>
  <c r="R85" i="8"/>
  <c r="Y84" i="8"/>
  <c r="X84" i="8"/>
  <c r="W84" i="8"/>
  <c r="V84" i="8"/>
  <c r="U84" i="8"/>
  <c r="T84" i="8"/>
  <c r="S84" i="8"/>
  <c r="R84" i="8"/>
  <c r="Y76" i="8"/>
  <c r="X76" i="8"/>
  <c r="W76" i="8"/>
  <c r="V76" i="8"/>
  <c r="U76" i="8"/>
  <c r="T76" i="8"/>
  <c r="S76" i="8"/>
  <c r="R76" i="8"/>
  <c r="Y75" i="8"/>
  <c r="X75" i="8"/>
  <c r="W75" i="8"/>
  <c r="V75" i="8"/>
  <c r="U75" i="8"/>
  <c r="T75" i="8"/>
  <c r="S75" i="8"/>
  <c r="R75" i="8"/>
  <c r="Y74" i="8"/>
  <c r="X74" i="8"/>
  <c r="W74" i="8"/>
  <c r="V74" i="8"/>
  <c r="U74" i="8"/>
  <c r="T74" i="8"/>
  <c r="S74" i="8"/>
  <c r="R74" i="8"/>
  <c r="Y71" i="8"/>
  <c r="X71" i="8"/>
  <c r="W71" i="8"/>
  <c r="V71" i="8"/>
  <c r="U71" i="8"/>
  <c r="T71" i="8"/>
  <c r="S71" i="8"/>
  <c r="R71" i="8"/>
  <c r="Y68" i="8"/>
  <c r="X68" i="8"/>
  <c r="W68" i="8"/>
  <c r="V68" i="8"/>
  <c r="U68" i="8"/>
  <c r="T68" i="8"/>
  <c r="S68" i="8"/>
  <c r="R68" i="8"/>
  <c r="Y66" i="8"/>
  <c r="X66" i="8"/>
  <c r="W66" i="8"/>
  <c r="V66" i="8"/>
  <c r="U66" i="8"/>
  <c r="T66" i="8"/>
  <c r="S66" i="8"/>
  <c r="R66" i="8"/>
  <c r="Y65" i="8"/>
  <c r="X65" i="8"/>
  <c r="W65" i="8"/>
  <c r="V65" i="8"/>
  <c r="U65" i="8"/>
  <c r="T65" i="8"/>
  <c r="S65" i="8"/>
  <c r="R65" i="8"/>
  <c r="Y62" i="8"/>
  <c r="X62" i="8"/>
  <c r="W62" i="8"/>
  <c r="V62" i="8"/>
  <c r="U62" i="8"/>
  <c r="T62" i="8"/>
  <c r="S62" i="8"/>
  <c r="R62" i="8"/>
  <c r="Y59" i="8"/>
  <c r="X59" i="8"/>
  <c r="W59" i="8"/>
  <c r="V59" i="8"/>
  <c r="U59" i="8"/>
  <c r="T59" i="8"/>
  <c r="S59" i="8"/>
  <c r="R59" i="8"/>
  <c r="Y58" i="8"/>
  <c r="X58" i="8"/>
  <c r="W58" i="8"/>
  <c r="V58" i="8"/>
  <c r="U58" i="8"/>
  <c r="T58" i="8"/>
  <c r="S58" i="8"/>
  <c r="R58" i="8"/>
  <c r="Y55" i="8"/>
  <c r="X55" i="8"/>
  <c r="W55" i="8"/>
  <c r="V55" i="8"/>
  <c r="U55" i="8"/>
  <c r="T55" i="8"/>
  <c r="S55" i="8"/>
  <c r="R55" i="8"/>
  <c r="Y50" i="8"/>
  <c r="X50" i="8"/>
  <c r="W50" i="8"/>
  <c r="V50" i="8"/>
  <c r="U50" i="8"/>
  <c r="T50" i="8"/>
  <c r="S50" i="8"/>
  <c r="R50" i="8"/>
  <c r="Y49" i="8"/>
  <c r="X49" i="8"/>
  <c r="W49" i="8"/>
  <c r="V49" i="8"/>
  <c r="U49" i="8"/>
  <c r="T49" i="8"/>
  <c r="S49" i="8"/>
  <c r="R49" i="8"/>
  <c r="Y48" i="8"/>
  <c r="X48" i="8"/>
  <c r="W48" i="8"/>
  <c r="V48" i="8"/>
  <c r="U48" i="8"/>
  <c r="T48" i="8"/>
  <c r="S48" i="8"/>
  <c r="R48" i="8"/>
  <c r="Y47" i="8"/>
  <c r="X47" i="8"/>
  <c r="W47" i="8"/>
  <c r="V47" i="8"/>
  <c r="U47" i="8"/>
  <c r="T47" i="8"/>
  <c r="S47" i="8"/>
  <c r="R47" i="8"/>
  <c r="Y44" i="8"/>
  <c r="X44" i="8"/>
  <c r="W44" i="8"/>
  <c r="V44" i="8"/>
  <c r="U44" i="8"/>
  <c r="T44" i="8"/>
  <c r="S44" i="8"/>
  <c r="R44" i="8"/>
  <c r="Y43" i="8"/>
  <c r="X43" i="8"/>
  <c r="W43" i="8"/>
  <c r="V43" i="8"/>
  <c r="U43" i="8"/>
  <c r="T43" i="8"/>
  <c r="S43" i="8"/>
  <c r="R43" i="8"/>
  <c r="Y42" i="8"/>
  <c r="X42" i="8"/>
  <c r="W42" i="8"/>
  <c r="V42" i="8"/>
  <c r="U42" i="8"/>
  <c r="T42" i="8"/>
  <c r="S42" i="8"/>
  <c r="R42" i="8"/>
  <c r="Y38" i="8"/>
  <c r="X38" i="8"/>
  <c r="W38" i="8"/>
  <c r="V38" i="8"/>
  <c r="U38" i="8"/>
  <c r="T38" i="8"/>
  <c r="S38" i="8"/>
  <c r="R38" i="8"/>
  <c r="Y37" i="8"/>
  <c r="X37" i="8"/>
  <c r="W37" i="8"/>
  <c r="V37" i="8"/>
  <c r="U37" i="8"/>
  <c r="T37" i="8"/>
  <c r="S37" i="8"/>
  <c r="R37" i="8"/>
  <c r="Y34" i="8"/>
  <c r="X34" i="8"/>
  <c r="W34" i="8"/>
  <c r="V34" i="8"/>
  <c r="U34" i="8"/>
  <c r="T34" i="8"/>
  <c r="S34" i="8"/>
  <c r="R34" i="8"/>
  <c r="Y31" i="8"/>
  <c r="X31" i="8"/>
  <c r="W31" i="8"/>
  <c r="V31" i="8"/>
  <c r="U31" i="8"/>
  <c r="T31" i="8"/>
  <c r="S31" i="8"/>
  <c r="R31" i="8"/>
  <c r="Y30" i="8"/>
  <c r="X30" i="8"/>
  <c r="W30" i="8"/>
  <c r="V30" i="8"/>
  <c r="U30" i="8"/>
  <c r="T30" i="8"/>
  <c r="S30" i="8"/>
  <c r="R30" i="8"/>
  <c r="Y25" i="8"/>
  <c r="X25" i="8"/>
  <c r="W25" i="8"/>
  <c r="V25" i="8"/>
  <c r="U25" i="8"/>
  <c r="T25" i="8"/>
  <c r="S25" i="8"/>
  <c r="R25" i="8"/>
  <c r="Y24" i="8"/>
  <c r="X24" i="8"/>
  <c r="W24" i="8"/>
  <c r="V24" i="8"/>
  <c r="T24" i="8"/>
  <c r="S24" i="8"/>
  <c r="Y23" i="8"/>
  <c r="X23" i="8"/>
  <c r="W23" i="8"/>
  <c r="V23" i="8"/>
  <c r="U23" i="8"/>
  <c r="T23" i="8"/>
  <c r="S23" i="8"/>
  <c r="R23" i="8"/>
  <c r="Y16" i="8"/>
  <c r="X16" i="8"/>
  <c r="W16" i="8"/>
  <c r="V16" i="8"/>
  <c r="U16" i="8"/>
  <c r="T16" i="8"/>
  <c r="S16" i="8"/>
  <c r="R16" i="8"/>
  <c r="Y15" i="8"/>
  <c r="X15" i="8"/>
  <c r="W15" i="8"/>
  <c r="V15" i="8"/>
  <c r="U15" i="8"/>
  <c r="T15" i="8"/>
  <c r="S15" i="8"/>
  <c r="R15" i="8"/>
  <c r="Y14" i="8"/>
  <c r="X14" i="8"/>
  <c r="W14" i="8"/>
  <c r="V14" i="8"/>
  <c r="U14" i="8"/>
  <c r="T14" i="8"/>
  <c r="S14" i="8"/>
  <c r="R14" i="8"/>
  <c r="Y10" i="8"/>
  <c r="X10" i="8"/>
  <c r="W10" i="8"/>
  <c r="V10" i="8"/>
  <c r="U10" i="8"/>
  <c r="T10" i="8"/>
  <c r="S10" i="8"/>
  <c r="R10" i="8"/>
  <c r="Y9" i="8"/>
  <c r="X9" i="8"/>
  <c r="W9" i="8"/>
  <c r="T9" i="8"/>
  <c r="S9" i="8"/>
  <c r="Y8" i="8"/>
  <c r="X8" i="8"/>
  <c r="W8" i="8"/>
  <c r="V8" i="8"/>
  <c r="U8" i="8"/>
  <c r="T8" i="8"/>
  <c r="S8" i="8"/>
  <c r="R8" i="8"/>
  <c r="Y7" i="8"/>
  <c r="X7" i="8"/>
  <c r="W7" i="8"/>
  <c r="V7" i="8"/>
  <c r="U7" i="8"/>
  <c r="T7" i="8"/>
  <c r="S7" i="8"/>
  <c r="R7" i="8"/>
  <c r="V9" i="8" l="1"/>
  <c r="R24" i="8"/>
  <c r="U24" i="8"/>
  <c r="R9" i="8"/>
  <c r="U9" i="8"/>
</calcChain>
</file>

<file path=xl/sharedStrings.xml><?xml version="1.0" encoding="utf-8"?>
<sst xmlns="http://schemas.openxmlformats.org/spreadsheetml/2006/main" count="2449" uniqueCount="1793">
  <si>
    <t>Scottish Budget: 2024-25</t>
  </si>
  <si>
    <t>Level 4 Data</t>
  </si>
  <si>
    <t>NHS Recovery, Health and Social Care</t>
  </si>
  <si>
    <t>Deputy First Minister and Finance</t>
  </si>
  <si>
    <t>Social Justice</t>
  </si>
  <si>
    <t>Transport</t>
  </si>
  <si>
    <t>Education &amp; Skills</t>
  </si>
  <si>
    <t>Justice and Home Affairs</t>
  </si>
  <si>
    <t>Wellbeing Economy, Net Zero and Energy</t>
  </si>
  <si>
    <t>Rural Affairs, Land Reform and Islands</t>
  </si>
  <si>
    <t>Constituion, External Affairs and Culture</t>
  </si>
  <si>
    <t>2023-24
Fiscal
Resource
£million</t>
  </si>
  <si>
    <t>2023-24
Non-cash
£million</t>
  </si>
  <si>
    <t>2023-24
Capital
£million</t>
  </si>
  <si>
    <t xml:space="preserve">
2023-24
Financial
Transactions
£million
</t>
  </si>
  <si>
    <t>2023-24
UK Funded
AME
£million</t>
  </si>
  <si>
    <t>2023-24
Scottish
Budget
£million</t>
  </si>
  <si>
    <t>2024-25
Fiscal
Resource
£million</t>
  </si>
  <si>
    <t>2024-25
Non-cash
£million</t>
  </si>
  <si>
    <t>2024-25
Capital
£million</t>
  </si>
  <si>
    <t xml:space="preserve">
2024-25
Financial
Transactions
£million
</t>
  </si>
  <si>
    <t>2024-25
UK Funded
AME
£million</t>
  </si>
  <si>
    <t>2024-25
Scottish
Budget
£million</t>
  </si>
  <si>
    <t>% Change
2024-25
on
2023-24</t>
  </si>
  <si>
    <t>What it buys</t>
  </si>
  <si>
    <t>Explanation of significant changes from previous year</t>
  </si>
  <si>
    <t>NHS Territorial Boards</t>
  </si>
  <si>
    <t xml:space="preserve">NHS Territorial Boards </t>
  </si>
  <si>
    <t>NHS Boards provide free and universal frontline healthcare services for patients and their families. NHS Scotland Territorial Boards use their budget allocations to address National and Local Priorities for Health and Social Care.  This budget includes funding for improving patient outcomes, including waiting times and improvement, Cancer Funding and Trauma Centres.</t>
  </si>
  <si>
    <t xml:space="preserve">NHS Territorial Boards will receive allocation increases of 4.3% for 2024-25 compared to the 2023-24 Scottish Budget. This includes funding for baseline uplifts and recurring allocations transferred to baseline funding. </t>
  </si>
  <si>
    <t>Level 3 Total</t>
  </si>
  <si>
    <t xml:space="preserve">NHS National Boards </t>
  </si>
  <si>
    <t>National Boards provide support services to Territorial Boards in delivering national priorities.</t>
  </si>
  <si>
    <t>National Boards will receive a 3.8% uplift, including recurring allocations transferred to baseline funding.</t>
  </si>
  <si>
    <t>Health Capital Investment</t>
  </si>
  <si>
    <t>NHS Territorial &amp; National Boards Capital Investment</t>
  </si>
  <si>
    <t>Investment in NHS Scotland property and equipment including National Treatment Centres, Baird and Anchor Centre in NHS Grampian and Parkhead Health Centre in NHS Greater Glasgow and Clyde.</t>
  </si>
  <si>
    <t>Due to recent accounting changes (IFRS 16), capital budget cover is required on the commencement of all leases equivalent to the corresponding asset recognised - this position is reflected in current and prior year capital budgets</t>
  </si>
  <si>
    <t>Community Health Services</t>
  </si>
  <si>
    <t>General Medical Services</t>
  </si>
  <si>
    <t xml:space="preserve">Funding of primary medical services commissioned by NHS Boards and delivered through GP practices.  Also includes support for continued preparatory and development work for a Community Hearing Service. </t>
  </si>
  <si>
    <t xml:space="preserve">Budget increase to reflect contractor uplifts and population growth. </t>
  </si>
  <si>
    <t>Primary Care Fund</t>
  </si>
  <si>
    <t>This investment supports the crucial service that General Practice provides. This includes a minimum annual £170m investment in multi-disciplinary teams and developing measures to support GP sustainability. It also includes support for health inequalities, increasing use of data and digital opportunities and supporting improvements in provision of primary care. In addition, continued funding is provided for wrap-around hearing aid support which is delivered with the third sector, as part of initial policy development work on community-based hearing services.</t>
  </si>
  <si>
    <t>Increased investment to support development of  multidisciplinary teams in general practice.</t>
  </si>
  <si>
    <t>Other below £2m</t>
  </si>
  <si>
    <t>Funding for various primary care initiatives including support for mental health and wellbeing, rural primary care and portfolio operating costs.</t>
  </si>
  <si>
    <t>No change.</t>
  </si>
  <si>
    <t>Pharmaceutical Services Contractors' Remuneration</t>
  </si>
  <si>
    <t>National General Pharmacy Service funding as negotiated with Community Pharmacy Scotland (CPS). Also incorporates Pharmacy First funding.</t>
  </si>
  <si>
    <t>Increased funding for the uplift in remuneration arrangements for pharmaceutical care services including the dispensing of prescription medicines.</t>
  </si>
  <si>
    <t>Other Below £2m</t>
  </si>
  <si>
    <t xml:space="preserve">Covers a range of pharmacy related budgets including Achieving Excellence in Pharmaceutical Care, Essential Medicines, Access to Medicines and ePharmacy (which support core components of Community Pharmacy Contract) and resource costs. </t>
  </si>
  <si>
    <t xml:space="preserve">Continued development and deployment of ePharmacy and compulsory education and training requirements for pharmacy profession. Ensures storage and stock of specific medicine stockpiles. Enables monitoring platforms to ensure medicines stock can be tracked and managed centrally. Supports health technology assessment activities to ensure medicines available in Scotland are clinically and cost effective. </t>
  </si>
  <si>
    <t xml:space="preserve"> </t>
  </si>
  <si>
    <t xml:space="preserve">General Dental Services </t>
  </si>
  <si>
    <t>This is a demand led budget area to provide a full range of NHS preventive care and dental treatments.</t>
  </si>
  <si>
    <t>Budget increase to reflect contractor uplifts through the reformed payment arrangements.</t>
  </si>
  <si>
    <t>Miscellaneous Other Dental Services</t>
  </si>
  <si>
    <t>Range of miscellaneous areas that do not fall within the scope of General Dental Services.</t>
  </si>
  <si>
    <t>Community Eyecare</t>
  </si>
  <si>
    <t>This is required to meet the cost of providing free universal NHS-funded eye examinations under General Ophthalmic Services (GOS); as well as a range of other grants and allowances. Funding will also be used to continue roll-out of community-based services, relieving pressure on hospitals.</t>
  </si>
  <si>
    <t>Meeting the cost of providing free universal NHS-funded eye examinations under General Ophthalmic Services (GOS), and other costs such as NHS optical vouchers.</t>
  </si>
  <si>
    <t>Mental Health Services</t>
  </si>
  <si>
    <t>Funding to deliver the mental health strategy delivery and work force action plans, specifically Mental Health Workforce &amp; Primary Care, Data &amp; Digital, Forensic Mental Health, Mental Health Performance, the Mental Health Outcomes Framework and Mental Health Care, Quality and Standards.</t>
  </si>
  <si>
    <t>No change</t>
  </si>
  <si>
    <t>Mental Health &amp; Wellbeing</t>
  </si>
  <si>
    <t>Funding to deliver the mental health strategy delivery plan.  This includes Perinatal and Early Years Mental Health, Children &amp; Young People’s Community Mental Health &amp; Crisis Services, Children &amp; Young People’s Mental Health &amp; Wellbeing Improvement. Funding also supports Child &amp; Adolescent Mental Health Services and Eating Disorders, Mental Wellbeing &amp; Prevention, Suicide Prevention, Distress Intervention &amp; Self Harm and Mental Health Strategy &amp; Co-ordination.</t>
  </si>
  <si>
    <t>Complex Care</t>
  </si>
  <si>
    <t>Funding to deliver the mental health strategy delivery plan.  Includes support for Mental Health and Capacity Law, Mental Welfare Commission for Scotland, Learning Disability, Autism &amp; Neurodivergence, Trauma and ACEs, Veterans Mental Health and Survivor Support.</t>
  </si>
  <si>
    <t>This budget supports resource costs.</t>
  </si>
  <si>
    <t>Departmental Allocations</t>
  </si>
  <si>
    <t>Outcomes Framework</t>
  </si>
  <si>
    <t>This funding is the combination of a number of high value in-year allocations provided to NHS Boards.</t>
  </si>
  <si>
    <t>Partial realignment into Immunisations budget to better align planned spend to budget area.</t>
  </si>
  <si>
    <t>Education and Training</t>
  </si>
  <si>
    <t>Distinction Awards</t>
  </si>
  <si>
    <t>Scheme in place that is aligned with the other UK nations, designed to provide competitive remuneration packages for consultants and ensure we attract and retain the right calibre and quality of employees.</t>
  </si>
  <si>
    <t>AHP &amp; HCS Training &amp; Development</t>
  </si>
  <si>
    <t xml:space="preserve">Funding to support the new Paramedic Degree course.  Planned intake of 280 students per year. Budget covers funding costs, tuition fees, other allowances and associated costs e.g. uniforms, health checks and placement expenses. Funding also supports training and development aligned to career pathways across Allied Health professions and Healthcare Science. </t>
  </si>
  <si>
    <t>Budget reprofiled to reflect forecasted paramedic teaching costs.</t>
  </si>
  <si>
    <t>Clinical Academics and SAGPs</t>
  </si>
  <si>
    <t>The resource supports the commitment in the 2004 consultant contract to cover the salary costs associated with putting clinical academics on to the new consultant salary scale.</t>
  </si>
  <si>
    <t>District Nurses</t>
  </si>
  <si>
    <t>This budget relates to the announcement that an additional 375 nurses will be introduced into the workforce within the district nursing service based upon the current skills mix.</t>
  </si>
  <si>
    <t>Reflects updated costs profile.</t>
  </si>
  <si>
    <t>Bursary (Nursing &amp; Midwifery)</t>
  </si>
  <si>
    <t>This is a demand led budget to enable financial support to student nurses and midwives. It delivers the commitment to retain the Nursing &amp; Midwifery Student Bursary and to provide additional support to students to enable wider participation and increased retention (including placement expenses, single parents, dependants and childcare allowances).</t>
  </si>
  <si>
    <t>Budget amended based on expected intake.</t>
  </si>
  <si>
    <t>Paramedics Bursaries</t>
  </si>
  <si>
    <t>Funding to support the £10,000 per annum bursary for students undertaking the new Paramedic Degree Course.</t>
  </si>
  <si>
    <t>Pre-reg. Nursing &amp; Midwifery Training</t>
  </si>
  <si>
    <t xml:space="preserve">Vast majority of this budget transfers to SFC to fund the cost of nursing and midwifery student education. Also funds student support costs, e.g. health checks and PVG checks. </t>
  </si>
  <si>
    <t>Leadership, Training and Capacity</t>
  </si>
  <si>
    <t>Pays for national attraction, training, recruitment, leadership development and wellbeing interventions to support implementation of the National Workforce Strategy for Health and Social Care.  This includes, targeted clinical recruitment activity, apprenticeships and widening access, and workforce diversification, including monies allocated to the NHS Academy to support residential, distance and virtual reality training activity for upskilling existing NHS staff.  The budget also pays for our national leadership and talent management development and wellbeing offer.</t>
  </si>
  <si>
    <t>Minor change</t>
  </si>
  <si>
    <t>Medical Postgraduates</t>
  </si>
  <si>
    <t>Supports post-graduate specialty training expansion posts across all specialty training disciplines.   All supports expansion of Foundation training posts.</t>
  </si>
  <si>
    <t>Increased investment to support additional foundation places.</t>
  </si>
  <si>
    <t>Medical Undergraduates</t>
  </si>
  <si>
    <t xml:space="preserve">Supports medical undergraduate training for medical school places created since 2016 that are occupied by students eligible for funding (SEFF).  Pays for the additional costs of teaching (including subsidised costs for non SEFF students) allocated to health boards to support clinical training years of a medical degree, for all medical school places created since 2016. </t>
  </si>
  <si>
    <t xml:space="preserve">Budget has been revised to reflect the costs associated with increasing the target controlled intake for medicine by 100 places in each of the last 3 years (300 places overall).  Per capita costs increase as students enter clinical training years (i.e. years' 3-5/6 of an undergraduate degree in medicine). </t>
  </si>
  <si>
    <t>Nursing Workload &amp; Workforce Capacity Building</t>
  </si>
  <si>
    <t>To support implementation of the Health and Care (Staffing) (Scotland) Act 2019.  Funding supports NHS Scotland to use workload tools and methods when setting staffing establishments, and meet other duties in Act to ensure: consistency, transparency, consideration of risk and clinical advice, and process for escalation, in relation to staffing decisions in order to support the provision of safe and high quality care.  Funding also supports the Care Inspectorate to develop staffing methods and tools for use in social care.</t>
  </si>
  <si>
    <t>Budget has been reprofiled to reflect estimated expenditure.</t>
  </si>
  <si>
    <t>Nursing and Midwifery Contribution to the Quality Strategy</t>
  </si>
  <si>
    <t xml:space="preserve">This funding supports the implementation of the national Excellence in Care quality assurance Programme.  </t>
  </si>
  <si>
    <t>This budget covers a range of smaller value budgets including Calman 100, Shape of Training programme, MRSA Screening Programme, nursing budgets for AHP and Healthcare Science Unit and Regulation of Healthcare Professions. Funding also supports Palliative Care Nurse Consultants, Discretionary Hardship Fund and workforce budgets such as Employee Experience/Wellbeing and Medical Revalidation, and portfolio operating costs.</t>
  </si>
  <si>
    <t>Movement of existing budgets to Digital Health and Leadership, Training and Capacity, to better realign planned spend to budget area.</t>
  </si>
  <si>
    <t>Health Improvement and Protection</t>
  </si>
  <si>
    <t>Immunisations</t>
  </si>
  <si>
    <t>This budget includes funding for a range of vaccines including HPV, Meningitis and Shingles.</t>
  </si>
  <si>
    <t>Increased funding for impact of new Shingles and RSV vaccinations. Includes minor realignment from Outcomes Framework budget line.</t>
  </si>
  <si>
    <t>Scottish Infected Blood Support Scheme</t>
  </si>
  <si>
    <t>This covers the financial support for patients infected by NHS blood and their bereaved partners.</t>
  </si>
  <si>
    <t>Organ Donation Policy</t>
  </si>
  <si>
    <t>This budget supports the Scottish contribution to the operation of the UK-wide organ donation system and development and implementation of improvements to organ donation and transplantation in Scotland.</t>
  </si>
  <si>
    <t>Scottish National Blood Transfusion Service</t>
  </si>
  <si>
    <t>Scottish National Blood Transfusion Service funding for investment in plasma collection and additional Hepatitis B testing for blood donors.</t>
  </si>
  <si>
    <t>Gender Identity and Healthcare Access</t>
  </si>
  <si>
    <t>Budget covers funding for PfG commitment to increase access to NHS Gender Identity Services. This centralised crisis intervention funding will improve care, support and services, working with people with lived experience and improving community provision.</t>
  </si>
  <si>
    <t>Tobacco Control (Smoking)</t>
  </si>
  <si>
    <t>Budget supports the commitment to reduce smoking rates to 5% by 2034.</t>
  </si>
  <si>
    <t>Research Data Scotland (RDS)</t>
  </si>
  <si>
    <t>Funding promotes and advances health and social wellbeing in Scotland by enabling access to public sector data about people, places and businesses, and creating the conditions for collaborative data-driven research and innovation in the public good using that data.</t>
  </si>
  <si>
    <t>The budget supports a range of measures to improve population health including national screening programmes, sexual health services and initiatives to support the adoption of healthier eating habits.</t>
  </si>
  <si>
    <t>Movement of existing budgets to Health Improvement &amp; Protection from Active Healthy Lives to better realign planned spend to budget area.</t>
  </si>
  <si>
    <t>Alcohol and Drugs Policy</t>
  </si>
  <si>
    <t>National Mission on Drugs</t>
  </si>
  <si>
    <t>Budget will be used to support the aims of the National Mission; to reduce drug deaths and improve the lives of those impacted by drugs. This includes the additional £50m p.a. funding announced with the National Mission, to support MAT Standards, residential rehabilitation and harm reduction initiatives including delivering the Drug Deaths Taskforce recommendations, cross government and Stigma action plans.</t>
  </si>
  <si>
    <t>Alcohol and Drugs</t>
  </si>
  <si>
    <t>Investment in local prevention, treatment, recovery and dealing with the consequences of problem alcohol and drug use. This includes the £20 million Programme for Government commitment on alcohol and drugs.</t>
  </si>
  <si>
    <t>Minor change.</t>
  </si>
  <si>
    <t>SportScotland</t>
  </si>
  <si>
    <t>Funding to SportScotland to provide support for the development of sport within Scotland, and deliver against the Active Scotland Outcome framework ensuring everyone has the opportunity to be active.</t>
  </si>
  <si>
    <t>Active Healthy Lives</t>
  </si>
  <si>
    <t>Supports a wide range of activities to increase the amount of physical activity undertaken by the people of Scotland and support healthy lives. Also includes measures to address healthy weight management including type 2 diabetes and childhood obesity.</t>
  </si>
  <si>
    <t>Movement of existing budgets from Active Healthy Lives to Health Improvement &amp; Protection to better align planned spend to budget area.</t>
  </si>
  <si>
    <t>National Care Service / Adult Social Care</t>
  </si>
  <si>
    <t>Social Care Support and NCS Delivery</t>
  </si>
  <si>
    <t>Package of support for Social Care for which the majority of funding is transferred to the Local Government settlement for investment in social care and integration. For 2024-25, this budget includes further investment in increasing capacity and sustainability of social care services, investment into the National Care Service, Fair Work for Adult Social Care workforce and short breaks fund for unpaid carers. Also includes Self Directed Support Programme to support focus on reform and improvements in Adult Social Care.</t>
  </si>
  <si>
    <t xml:space="preserve">This investment includes funding for the full year impact of the pay uplift for adult social care staff to £12 per hour and additional investment in Free Personal Nursing Care. </t>
  </si>
  <si>
    <t>Independent Living Fund</t>
  </si>
  <si>
    <t xml:space="preserve">The ILF provides support to disabled persons to enable them to live fulfilling and independent lives.  </t>
  </si>
  <si>
    <t>Additional funding to support re-opening of ILF fund.</t>
  </si>
  <si>
    <t>Care Inspectorate</t>
  </si>
  <si>
    <t xml:space="preserve">Funding to support the Care Inspectorate which is the independent scrutiny and improvement body for care services in Scotland. </t>
  </si>
  <si>
    <t>Additional funding reflects increased resource requirement. Reduction in capital requirement from prior year following recent lease accounting changes (IFRS 16).</t>
  </si>
  <si>
    <t>Collaborative Care Home Support</t>
  </si>
  <si>
    <t>Increased investment in Nurse Directors for nursing support in care homes within social care sector. The funding is to put in place the necessary resources to enable Nurse Directors to ensure the provision of oversight, advice, support and guidance in relation to nursing practice and Infection Protection and Control and deliver improvements in line with the Healthcare Framework within adult social care settings.</t>
  </si>
  <si>
    <t>Short breaks fund</t>
  </si>
  <si>
    <t xml:space="preserve">Funding for the Voluntary Sector Short Breaks Fund, which provides preventative short break support for adult and young carers. </t>
  </si>
  <si>
    <t>Hospital At Home</t>
  </si>
  <si>
    <t xml:space="preserve">Funding to roll out and expand the hospital at home model to deliver increased acute based care within home settings in communities across Scotland. </t>
  </si>
  <si>
    <t>Health and Social Care Integration</t>
  </si>
  <si>
    <t xml:space="preserve">Provision of analytical support to Public Health Scotland to develop linking of health and social care data as part of Health and Social Care Integration; support to the IJB Chief Officers, Chief Finance Officers, and Chairs and Vice Chairs networks; and funding to organisations to support the delivery of integration at local and national level. </t>
  </si>
  <si>
    <t>This budget line covers a number of small value budgets such as Learning Disabilities - The same as you?, Adult Survivors of Childhood Sexual Abuse, Sensory Impairment and the Health Directorate's contribution to the British Sign Language Bill. The budget also now includes staff costs previously included within other Care Support and Rights budgets.</t>
  </si>
  <si>
    <t>Movement of existing budgets to Social Care Support and NCS Delivery line to better realign planned spend to budget area.</t>
  </si>
  <si>
    <t>Digital Health &amp; Care</t>
  </si>
  <si>
    <t xml:space="preserve">Development of new and existing national services and other contractual commitments which support safe, effective and efficient care. </t>
  </si>
  <si>
    <t>This budget covers resource costs.</t>
  </si>
  <si>
    <t>Early Years</t>
  </si>
  <si>
    <t>Family Nurse Partnership (FNP)</t>
  </si>
  <si>
    <t>Relates to continued investment in FNP which aims to embed a licensed programme for young, first time parents, working with the parent to help them develop their own skills and resources to parent their child well and also to support their future aspirations and reduce inter-generational inequalities.</t>
  </si>
  <si>
    <t>Scottish Milk and Snack Scheme</t>
  </si>
  <si>
    <t>Supports the provision of milk and a healthy snack (defined as a portion of fruit or vegetable) to all children enrolled in a registered preschool day care provider or childminder setting.</t>
  </si>
  <si>
    <t>Maternity and Neonatal Services</t>
  </si>
  <si>
    <t>Supports redesign and improvement of maternity and neonatal services</t>
  </si>
  <si>
    <t>IVF</t>
  </si>
  <si>
    <t>Funding to support NHS Boards to continue to deliver equity of access to infertility services and a maximum waiting time of 12 months for IVF treatment throughout Scotland.</t>
  </si>
  <si>
    <t>Young Persons Family Fund</t>
  </si>
  <si>
    <t>Funding to alleviate financial costs for families visiting young in-patients. The fund is an expansion of the previous Neonatal Expenses Fund and now covers all in-patients under the age of 18.</t>
  </si>
  <si>
    <t>Multiple Child Removals</t>
  </si>
  <si>
    <t xml:space="preserve">Budget will be used to fund a number of services designed to support women who have previously had a child/children taken into care, with the aim of keeping birth families together. </t>
  </si>
  <si>
    <t>This resource supports a small number of targeted, often demand-led, programmes</t>
  </si>
  <si>
    <t>Movement of existing budgets to Mental Health, Care Inspectorate and NHS Boards to better realign planned spend to budget area.</t>
  </si>
  <si>
    <t>Quality and Improvement</t>
  </si>
  <si>
    <t>Person Centred and Participation</t>
  </si>
  <si>
    <t xml:space="preserve">Investment in raising the profile of person-centred approaches to healthcare across Scotland, developing and testing a range of evidence-based interventions and approaches. </t>
  </si>
  <si>
    <t>Stroke and Thrombectomy</t>
  </si>
  <si>
    <t>Continued investment for the introduction of a thrombectomy service in Scotland for stroke patients.</t>
  </si>
  <si>
    <t>Additional investment to increase provision of thrombectomy services across Scotland.</t>
  </si>
  <si>
    <t>Genomics</t>
  </si>
  <si>
    <t>Investment in the development of genomic medicine for the diagnosis of rare diseases and characterisation of cancers for targeted treatment. A longer term strategy will help Scotland to keep pace with advancements and realise opportunities for healthcare, research and life sciences.</t>
  </si>
  <si>
    <t>The reduction is due to part of the budget being baselined to NHS Boards budgets.</t>
  </si>
  <si>
    <t>Long Covid</t>
  </si>
  <si>
    <t xml:space="preserve">Part of a £10 million Long COVID Support Fund designed to maximise and improve the co-ordination of a broad range of existing services across the health and social care system and Third Sector in response to the condition. </t>
  </si>
  <si>
    <t>ICU Beds</t>
  </si>
  <si>
    <t>Increased ICU capacity across Scotland.  This will be recurring investment in Boards.</t>
  </si>
  <si>
    <t>This has been baselined to NHS Boards budgets.</t>
  </si>
  <si>
    <t>Includes a range of services including National Action Plan on Neurological Conditions, Openness and Learning Unit, Cochlear Implants, Community Care Section 10 grants and Quality and Safety budget. The budget also includes staff costs.</t>
  </si>
  <si>
    <t>Minor movements including removal of funding for non recurring initiatives.</t>
  </si>
  <si>
    <t>Covid-19 Funding and Other Services (restated)</t>
  </si>
  <si>
    <t>Health Research</t>
  </si>
  <si>
    <t>This budget encompasses support for clinical research in NHS Boards and by HEIs, research charities and other research funders. It also includes the SG health contribution to the National Institute for Health Research enabling access for clinical researchers in Scotland to UK-wide research funding programmes.</t>
  </si>
  <si>
    <t>Additional funding to support increased NHS board resource requirements.</t>
  </si>
  <si>
    <t>Health Innovation</t>
  </si>
  <si>
    <t>Support for the promotion, development and adoption of innovative products, technologies, and services to drive improvements in NHS service delivery and patient care and to support economic growth in the Scottish life sciences sector.</t>
  </si>
  <si>
    <t>Forensic Medical Services (FMS) Act Implementation</t>
  </si>
  <si>
    <t>This funding supports national actions connected to health boards’ implementation of the Forensic Medical Services (Victims of Sexual Offences) (Scotland) Act 2021, which seeks to provide consistent, person-centred, trauma-informed healthcare and forensic medical services for anyone who has experienced rape, sexual assault or child sexual abuse.</t>
  </si>
  <si>
    <t>A number of preparatory actions connected to implementation of the 2021 Act have now been completed, reducing the budget requirement.</t>
  </si>
  <si>
    <t>Empowering Communities</t>
  </si>
  <si>
    <t xml:space="preserve">Health contribution to wider SG initiative supporting communities. </t>
  </si>
  <si>
    <t>Mesh injured women's support fund</t>
  </si>
  <si>
    <t>N/A</t>
  </si>
  <si>
    <t>Support a range of activities including the specialist centre hosted by NHS GGC.</t>
  </si>
  <si>
    <t>Funding based on latest cost estimated of this demand led budget.</t>
  </si>
  <si>
    <t>Medical devices - UDI and scanning</t>
  </si>
  <si>
    <t>A programme to improve identification and tracking of medical devices further to new obligations under the Medicines and Medical Devices Act 2021.</t>
  </si>
  <si>
    <t>Additional funding for a time limited medical devices project delivering from 2023-26.</t>
  </si>
  <si>
    <t>Board resilience</t>
  </si>
  <si>
    <t xml:space="preserve">This spending maintains the preparedness of Scottish Government and NHS Scotland for the event of a new influenza pandemic. </t>
  </si>
  <si>
    <t>Corporate support</t>
  </si>
  <si>
    <t>Corporate support for Health and Social Care Directorates.</t>
  </si>
  <si>
    <t>Budget line no longer includes the Portfolio's share of corporate running costs, which is now captured in the DFM portfolio.</t>
  </si>
  <si>
    <t>Other Board Services and Miscellaneous Income</t>
  </si>
  <si>
    <t>Supports ongoing Covid-19 recovery costs, miscellaneous expenditure and efficiency requirements. Also, includes planned in-year transfers and income including dental and ophthalmic services, and capital/resource switching</t>
  </si>
  <si>
    <t>Budget reprofiled to reflect anticipated ongoing costs for Covid-19 and other expenditure alongside updated income forecasts and efficiency requirements’</t>
  </si>
  <si>
    <t xml:space="preserve">Revenue Consequences of NPD Schemes </t>
  </si>
  <si>
    <t>SG support for annual service payments for operational hub/NPD projects.</t>
  </si>
  <si>
    <t>NHS Impairments (AME)</t>
  </si>
  <si>
    <t>This is a non-cash annually managed expenditure (AME) budget which relates to changes in property valuations of NHSScotland assets. There are a number of reasons as to why an asset may be impaired, all of which are defined by the Treasury published Financial Reporting Manual. For NHSScotland, the majority of impairments relate to properties being written down either when a new a new building is valued for the first time (to depreciated replacement cost) or when it is about to be sold (open market value).</t>
  </si>
  <si>
    <t>Reduction in AME requirement from prior year following recent accounting changes (IFRS 16).</t>
  </si>
  <si>
    <t xml:space="preserve">Health Financial Transactions </t>
  </si>
  <si>
    <t>Health Financial Transactions (Expenditure)</t>
  </si>
  <si>
    <t>Specific loans funding.</t>
  </si>
  <si>
    <t>Reflects reduced budget requirement.</t>
  </si>
  <si>
    <t>Health Capital Income</t>
  </si>
  <si>
    <t xml:space="preserve">Health Capital Receipts </t>
  </si>
  <si>
    <t>Planned capital receipts support the capital programme for the year.</t>
  </si>
  <si>
    <t>Health and Sport TOTAL</t>
  </si>
  <si>
    <t>Food Standards Scotland</t>
  </si>
  <si>
    <t>Food Standards Scotland's primary concern is consumer protection - making sure that food is safe to eat, ensuring customers know what they are eating and improving nutrition.</t>
  </si>
  <si>
    <t>Reduction in resource requirement from prior year following recent accounting changes (IFRS 16).</t>
  </si>
  <si>
    <t>GRAND TOTAL</t>
  </si>
  <si>
    <t>Governance and Reform</t>
  </si>
  <si>
    <t>Public Service Reform and Community Empowerment</t>
  </si>
  <si>
    <t>Investment to transform public services with a focus on prevention, place based approaches and community empowerment.</t>
  </si>
  <si>
    <t/>
  </si>
  <si>
    <t>Covid Recovery</t>
  </si>
  <si>
    <t>To support the delivery of the Covid Recovery Strategy and contribute to strategic oversight and coordination of Covid Recovery activity across the SG.</t>
  </si>
  <si>
    <t>Total - Governance and Reform</t>
  </si>
  <si>
    <t>Government Business and Constitutional Relations</t>
  </si>
  <si>
    <t>Local Government Elections</t>
  </si>
  <si>
    <t>Supports the delivery of preparation for the local government elections in 2027 and the running costs of the Electoral Management Board.</t>
  </si>
  <si>
    <t xml:space="preserve">Next local government election is 2027. </t>
  </si>
  <si>
    <t>Boundaries Scotland</t>
  </si>
  <si>
    <t xml:space="preserve">Supports independent review of electoral and administrative boundaries for local government in Scotland and of Scottish Parliament constituency boundaries.          </t>
  </si>
  <si>
    <t>Scottish Parliamentary Elections</t>
  </si>
  <si>
    <t>To support delivery of Scottish Parliament electoral reform and policy developments.</t>
  </si>
  <si>
    <t xml:space="preserve">Extension of Freedom of Information Coverage </t>
  </si>
  <si>
    <t>Provision for extension of the coverage of the Freedom of Information (Scotland) Act 2002</t>
  </si>
  <si>
    <t>Government Business and Constitutional Relations Policy and Coordination</t>
  </si>
  <si>
    <t>To support the operational and delivery costs of the strategic coordination, government business and constitution relations aspects of the portfolio.</t>
  </si>
  <si>
    <t xml:space="preserve">Restructured budget. </t>
  </si>
  <si>
    <t>Total Government Business and Constitutional Relations</t>
  </si>
  <si>
    <t>Organisational Readiness</t>
  </si>
  <si>
    <t>To support the operational and delivery costs of the SG’s cross-cutting readiness function, including oversight of concurrent risk.</t>
  </si>
  <si>
    <t>Office of the Chief Researcher</t>
  </si>
  <si>
    <t>To support the social research profession within the Scottish Government. The budget supports research capacity-building via the SG research internship scheme – jointly funded via the Scottish Graduate School for Social Sciences, and other strategic investments in skills development.  It pays for SG to access key data/evidence to inform policy development. It is also used for research and evaluation of policy effectiveness in cross-cutting and high priority areas.</t>
  </si>
  <si>
    <t xml:space="preserve">Resilience </t>
  </si>
  <si>
    <t xml:space="preserve">Contributing to a safe and secure Scotland by supporting effective government, demand led multi-agency and community preparedness for and response to emergencies and other incidents.  </t>
  </si>
  <si>
    <t>Response and Readiness</t>
  </si>
  <si>
    <t>To support organisational response, including analysis to inform cross-government priorities, and the establishment and operation of, and response to, public inquiries.</t>
  </si>
  <si>
    <t xml:space="preserve">Major Events </t>
  </si>
  <si>
    <t xml:space="preserve">This budget has increased due to spend profile of 2023 UCI Cycling World Championships and the 2024 World Athletics Indoor Championships. </t>
  </si>
  <si>
    <t>Total - Organisational Readiness</t>
  </si>
  <si>
    <t>Local Government</t>
  </si>
  <si>
    <t>General Revenue Grant</t>
  </si>
  <si>
    <t>The combined General Revenue Grant plus Non Domestic Rates funding below represents the block grant which the Scottish Government provides, and guarantees, to Scotland's local authorities.  This funding together with local authorities own local resources enables them to provide the full range of public services for which they are responsible including for example, education and social services.</t>
  </si>
  <si>
    <t>Additional £266.2m for LG Pay, £120.6m transfer from Capital for LG Pay offset in GCG, £16m baselined for Kinship Care, £21m reduction in GRG offset by increase to NDR and £62.7m overall reduction to GRG</t>
  </si>
  <si>
    <t>Non Domestic Rates &amp; Other AME</t>
  </si>
  <si>
    <t>See above.</t>
  </si>
  <si>
    <t>Funding held for agreement of Council Tax Freeze</t>
  </si>
  <si>
    <t>Support for Capital</t>
  </si>
  <si>
    <t xml:space="preserve">The Scottish Government provides Scotland's local authorities with a General Capital Grants to fund capital investment projects in their areas.  </t>
  </si>
  <si>
    <t>£120.6m reduction for LG Pay offset in GRG, increase of £27m for Flood Protection and £37.1m overall reduction in GCG</t>
  </si>
  <si>
    <t>Specific Resource Grants</t>
  </si>
  <si>
    <t>The Scottish Government provides Scotland's local authorities with a few Specific Resource Grants to fund specific revenue policies, including the Educational Attainment Fund and Early Learning and Childcare.</t>
  </si>
  <si>
    <t>Specific Capital Grants</t>
  </si>
  <si>
    <t>The Scottish Government provides Scotland's local authorities with a few Specific Capital Grants to fund specific capital policies</t>
  </si>
  <si>
    <t>Local Government Advice and Policy</t>
  </si>
  <si>
    <t xml:space="preserve">Provides the budget for staff costs for the Local Government Finance Team, Relationship Team and Analysts.  </t>
  </si>
  <si>
    <t>Local Governance</t>
  </si>
  <si>
    <t>Supports various activities which help councils and other local partners across Scotland to deliver better outcomes in response to local needs and more effective performance.</t>
  </si>
  <si>
    <t>Total - Local Government Advice and Policy</t>
  </si>
  <si>
    <t>Total - Local Government</t>
  </si>
  <si>
    <t>Scottish Public Pensions Agency</t>
  </si>
  <si>
    <t>Scottish Public Pensions Agency  Administration</t>
  </si>
  <si>
    <t>Salaries and Other Costs</t>
  </si>
  <si>
    <t xml:space="preserve">The Scottish Public Pension Agency provides pension administration services for and pays pensions to members of Scotland’s NHS, Teachers’, Police and Firefighters’ pension schemes. Its other administrative responsibilities include injury benefits schemes for the NHS, Police and Fire &amp; Rescue services in Scotland. It also administers a number of 'small schemes'. Its 500,000+ customers are all current or former public servants or their employers. </t>
  </si>
  <si>
    <t xml:space="preserve">Depreciation </t>
  </si>
  <si>
    <t>The Agency operates out of its own premises at 7 Tweedside Park and runs IT systems that administer the pension schemes which fall under its remit. A provision for depreciation and indexation is made on these assets.</t>
  </si>
  <si>
    <t>Capital / IT provision</t>
  </si>
  <si>
    <t>The Agency has a priority list of capital projects that is governed by the need to comply with the legal and regulatory framework in which public pensions and public bodies operate. It is governed primarily by reserved UK and delegated Scottish legislation, the UK Pension Regulator, procurement rules and the Agency's Framework Document with Scottish Ministers.</t>
  </si>
  <si>
    <t>Total - Scottish Public Pensions Agency  Administration</t>
  </si>
  <si>
    <t>Scottish Teachers Superannuation Scheme</t>
  </si>
  <si>
    <t>Teachers Pension Scheme</t>
  </si>
  <si>
    <t>The budget requirements for public sector pension schemes vary from year to year, based on actuarial valuations and changes in employee and employer contributions. The Scottish Budget allocates funding to meet the costs of public sector pension schemes based on the most recent actuarial estimates.</t>
  </si>
  <si>
    <t>Income from Employee and employer contributions and transfers received (Teachers)</t>
  </si>
  <si>
    <t>Total - Scottish Teachers Superannuation Scheme</t>
  </si>
  <si>
    <t>NHS Superannuation Scheme (Scotland)</t>
  </si>
  <si>
    <t>NHS Pension Scheme</t>
  </si>
  <si>
    <t>Pensions accrued by today’s teaching staff in Scotland and interest on scheme liabilities.</t>
  </si>
  <si>
    <t>Income from employee and employer contributions and transfers received (NHS)</t>
  </si>
  <si>
    <t>Income received from employers and employees to meet the cost of future pension payments of today’s teaching staff in Scotland.</t>
  </si>
  <si>
    <t>Total - NHS Superannuation Scheme (Scotland)</t>
  </si>
  <si>
    <t>Total - Scottish Public Pensions Agency</t>
  </si>
  <si>
    <t>Scottish Fiscal Commission</t>
  </si>
  <si>
    <t xml:space="preserve">The budget will enable the statutory Commission to fulfil its functions as they currently stand in the Scottish Fiscal Commission Act and amended regulations based on the current devolved powers. The Commission produces forecasts of revenue from fully devolved taxes and non-savings non-dividend income tax receipts, onshore GDP in Scotland, and devolved social security expenditure. </t>
  </si>
  <si>
    <t>Total - Scottish Fiscal Commission</t>
  </si>
  <si>
    <t>Registers of Scotland</t>
  </si>
  <si>
    <t xml:space="preserve">Provision of registration and information services (wages, salaries, goods and services).  Registers of Scotland is the Non-Ministerial Office responsible for compiling and maintaining twenty public registers relating to property and other legal documents in Scotland, to date broadly self-funded by fees they charge for their services.  </t>
  </si>
  <si>
    <t>Depreciation and amortisation of building and other assets.</t>
  </si>
  <si>
    <t>Additions to digital and estate assets</t>
  </si>
  <si>
    <t>Total - Registers of Scotland</t>
  </si>
  <si>
    <t>Economic Advice</t>
  </si>
  <si>
    <t>Accountant in Bankruptcy</t>
  </si>
  <si>
    <t>Accountant in Bankruptcy Resource</t>
  </si>
  <si>
    <t>The budget continues to allow Accountant in Bankruptcy to ensure access to fair and just processes of debt relief and debt management for the people of Scotland, which takes account of the rights and interests of those involved. Key functions include supporting Ministers to develop and refine policy, supervising the bankruptcy process, delivering, with stakeholders, a range of options for individuals seeking debt relief and debt management and ensuring best value services to our customers.</t>
  </si>
  <si>
    <t>Accountant in Bankruptcy Capital</t>
  </si>
  <si>
    <t>AiB has a range of bespoke IT systems which enable the Agency to fulfil its statutory duties in relation to Bankruptcies, Trust Deeds and the Debt Arrangement Scheme. The capital budget enables the Agency to develop and enhance these systems to deliver our duties as set out in legislation and to deliver legislative changes as required. This expenditure contributes towards AiB meeting its digital agenda.</t>
  </si>
  <si>
    <t>Total - Accountant in Bankruptcy</t>
  </si>
  <si>
    <t>Consumer Policy and Advice</t>
  </si>
  <si>
    <t>Comprises grant-in-aid for vital front line consumer advice and support from Citizens Advice Scotland and Advice Direct Scotland.</t>
  </si>
  <si>
    <t>Total - Consumer Policy and Advice</t>
  </si>
  <si>
    <t>Total - Economic Advice</t>
  </si>
  <si>
    <t>Planning</t>
  </si>
  <si>
    <t>Regeneration</t>
  </si>
  <si>
    <t>Regeneration Programmes</t>
  </si>
  <si>
    <t xml:space="preserve">These budgets deliver placed based, community led, investment and regeneration which is targeted to support our most fragile and disadvantaged communities - reducing inequalities and tackling poverty.  These programmes are delivered in partnership with COSLA, local authorities and local communities to ensure they deliver the greatest collective benefit. </t>
  </si>
  <si>
    <t xml:space="preserve">Reduced capital funding for Regeneration programmes which provide place based community led investment in our most disadvantaged communities.    </t>
  </si>
  <si>
    <t>Regeneration Programmes - FT Income</t>
  </si>
  <si>
    <t>SPRUCE Income</t>
  </si>
  <si>
    <t>Total - Regeneration</t>
  </si>
  <si>
    <t xml:space="preserve">This budget supports the delivery of statutory functions for Ministerial oversight of the Planning system and international environmental obligations together with a wide package of reforms to ensure it better serves Scotland's communities and delivers the transition to net zero.  This includes delivering National Planning Framework 4 and improving resourcing within planning authorities. </t>
  </si>
  <si>
    <t xml:space="preserve">Capital investment in digitally transforming planning services has been reduced </t>
  </si>
  <si>
    <t>Total - Planning</t>
  </si>
  <si>
    <t>Planning and Environmental Appeals</t>
  </si>
  <si>
    <t xml:space="preserve">The Planning and Environmental Appeals Division (DPEA) is the decision making body for planning and environmental appeals and also carry out local development plan and other examinations on behalf of Scottish Ministers.  </t>
  </si>
  <si>
    <t>Total - Planning and Environmental Appeals</t>
  </si>
  <si>
    <t>Other Finance</t>
  </si>
  <si>
    <t>Scotland Acts – Tax implementation and management</t>
  </si>
  <si>
    <t>Funds implementation and on-going running costs of the financial provisions in the Scotland Acts 2012 and 2016.</t>
  </si>
  <si>
    <t>Includes the increased costs of the SLA with HMRC</t>
  </si>
  <si>
    <t>Procurement Shared Services</t>
  </si>
  <si>
    <t>Shared procurement contracting, ecommerce and policy services which, for the public sector advance delivery of key Ministerial commitments including economic recovery and growth, equality and diversity, sustainability and fair work whilst also delivering savings and reducing procurement and legal risks; for the private and third sectors, with a focus on Scottish business and Scottish SME’s, to improve access to public contracts and enable faster payment of invoices while reducing administration costs.</t>
  </si>
  <si>
    <t>Exchequer and Finance</t>
  </si>
  <si>
    <t>The staffing necessary to ensure that the Scottish public finances are sustainable and balanced, deliver the annual budget, set devolved tax and public sector pay policy and make public spending decisions, includes the costs for developing options around bonds issuance.</t>
  </si>
  <si>
    <t>Scottish Government Capital Projects</t>
  </si>
  <si>
    <t>This supports the maintenance, health &amp; safety  and security of the SG estate.</t>
  </si>
  <si>
    <t>Finance - Financial Transactions (Expenditure)</t>
  </si>
  <si>
    <t>Public Information and Engagement</t>
  </si>
  <si>
    <t>The DFM portfolio Public Engagement budget primarily funds staff costs for Marketing, Strategy and Insight, Brand Scotland and Digital Content staffing costs.  Alongside paid-for-media campaign activity, these teams deliver extensive low cost / no cost social content activity, PR, partnerships and stakeholder work each year that is created and delivered in-house eg. Climate Week or health topics. </t>
  </si>
  <si>
    <t>Scottish Futures Trust</t>
  </si>
  <si>
    <t xml:space="preserve">Supports the provision of high quality advice for infrastructure projects in Scotland, including advice to unlock funding and strengthen project delivery. </t>
  </si>
  <si>
    <t>Total - Other Finance</t>
  </si>
  <si>
    <t>Consumer Scotland</t>
  </si>
  <si>
    <t>This block grant enables Consumer Scotland to deliver its statutory functions and duties relating to consumer advocacy and advice.</t>
  </si>
  <si>
    <t>Total - Consumer Scotland</t>
  </si>
  <si>
    <t>Revenue Scotland</t>
  </si>
  <si>
    <t>Salaries and other Costs</t>
  </si>
  <si>
    <t>Revenue Scotland is the Scottish tax authority responsible for the collection and management of the two devolved taxes - Land and Buildings Transaction Tax and Scottish Landfill Tax - as well as delivering on its Corporate Plan 2021-24 objectives and the implementation of the Scottish Aggregates and Building Safety Levies.  It will continue to invest in processes, technology and staff to improve the organisation’s performance through operational efficiency and effectiveness</t>
  </si>
  <si>
    <t>includes the costs to support implementation of the Scottish Aggregates and Building Safety Levies</t>
  </si>
  <si>
    <t>Capital/ IT provision</t>
  </si>
  <si>
    <t>Revenue Scotland is committed to continually improving its service through investing in digital delivery.</t>
  </si>
  <si>
    <t>Total - Revenue Scotland</t>
  </si>
  <si>
    <t>Corporate Running Costs</t>
  </si>
  <si>
    <t>Providing corporate services for core staff in SG, providing people, digital, finance and legal services for around 35-50 core public bodies and providing additional services to a further 205 public bodies.  Corporate services provide essential services (in many different forms) for a large proportion of government and public services in Scotland.</t>
  </si>
  <si>
    <t>Total - Corporate Running</t>
  </si>
  <si>
    <t>Financial Transactions Repayments</t>
  </si>
  <si>
    <t>Total - Financial Transactions Repayments</t>
  </si>
  <si>
    <t>ROUNDING ADJUSTMENTS</t>
  </si>
  <si>
    <t>Total - Deputy First Minister and Finance</t>
  </si>
  <si>
    <t>Local Government Grants</t>
  </si>
  <si>
    <t>Vacant and Derelict Land  (LA Capital Specific Grant)</t>
  </si>
  <si>
    <t>To conduct regular surveys of vacant and derelict land in Scotland and of the performance of planning authorities with regard to planning applications.</t>
  </si>
  <si>
    <t>No significant change</t>
  </si>
  <si>
    <t>Equality, Inclusion and Human Rights</t>
  </si>
  <si>
    <t>Mainstreaming and inclusion</t>
  </si>
  <si>
    <t>Work with partners to support asylum seeker and refugee integration, strengthen interfaith relations and dialogue, and work to tackle prejudice and build connected communities.  Includes implementation of a Hate Crime Bill and work with partners to safeguard vulnerable individuals who may be drawn towards divisive ideologies. </t>
  </si>
  <si>
    <t>Increase in spending to suppoprt asylum seekers &amp; refugee integration and implementaiton of the Hate Crime Act</t>
  </si>
  <si>
    <t>Equalities</t>
  </si>
  <si>
    <t>This budget supports the equality and human rights infrastructure across Scotland. Investing in the capacity of equality organisations; Strategic Interventions to support key equality outcomes; and specific funds to support frontline activity to address violence against women and to support activities to promote equality and human rights.</t>
  </si>
  <si>
    <t>New budget line, disaggregated from "Promoting Equality and Human Rights"</t>
  </si>
  <si>
    <t>Human Rights</t>
  </si>
  <si>
    <t xml:space="preserve">Design and delivery of the Scottish Government's Human Rights policy including international treaty reporting and follow-up and work to consult on a Human Rights Bill.  </t>
  </si>
  <si>
    <t>Migration Strategy</t>
  </si>
  <si>
    <t>The provision of immigration advice and support on policy, and the delivery of PfG commitments associated with Population and Migration including the new Talent Attraction and Migration Service.</t>
  </si>
  <si>
    <t>Budget increased to fund population and migration commitments, such as the new Talent Attraction and Migration Service and visa pilot schemes</t>
  </si>
  <si>
    <t>Total Equality, Inclusion and Human Rights</t>
  </si>
  <si>
    <t>Social Security</t>
  </si>
  <si>
    <t>Scottish Welfare Fund - Admin</t>
  </si>
  <si>
    <t>Funding to Local Authorities for administration costs associated with delivery of the Scottish Welfare Fund.</t>
  </si>
  <si>
    <t>Social Security Advice, Policy and Programme</t>
  </si>
  <si>
    <t>Funding supports the substantial programme of work to design, develop and implement our devolved social security powers.</t>
  </si>
  <si>
    <t xml:space="preserve">This funding will support our implementation of the remaining devolved benefits. In 2024-25 we will launch Carer Support Payment, Pension Age Disability Payment and Pension Age Winter Heating Payment while continuing development work on the remaining devolved benefits and the Case Transfer process. </t>
  </si>
  <si>
    <t>Social Security Scotland</t>
  </si>
  <si>
    <t xml:space="preserve">Social Security Scotland is responsible for the delivery of all benefits devolved under the Scotland Act 2016 and new benefits introduced by the Scottish Government under the Social Security (Scotland) Act 2018. </t>
  </si>
  <si>
    <t>The budget allocation reflects the continuing growth of the organisation as we launch more benefits and deliver an excellent public service for the people of Scotland.</t>
  </si>
  <si>
    <t>Total Social Security</t>
  </si>
  <si>
    <t>Social Security Assistance</t>
  </si>
  <si>
    <t>Scottish Welfare Fund</t>
  </si>
  <si>
    <t xml:space="preserve">The Scottish Welfare Fund provides a safety net for thousands of people on low incomes to access a Crisis Grant in an emergency or disaster, or a Community Care Grant to help them set up home or remain in their community. The support is administered by Local Authorities and the budget is transferred to them for this purpose.  </t>
  </si>
  <si>
    <t xml:space="preserve">No change. </t>
  </si>
  <si>
    <t>Carer Support Payment</t>
  </si>
  <si>
    <t>Cost of Carer Support Payments.</t>
  </si>
  <si>
    <t xml:space="preserve">Based on the Scottish Fiscal Commission's December 2023 forecasts, published on 19 December 2023. The previous year's figures are from the Scottish Fiscal Commission's December 2022 forecasts, which were used for the 2023-24 Scottish Budget. </t>
  </si>
  <si>
    <t>Carer’s Allowance Supplement</t>
  </si>
  <si>
    <t>Cost of Carer's Allowance Supplement payments.</t>
  </si>
  <si>
    <t>Adult Disability Payment</t>
  </si>
  <si>
    <t xml:space="preserve">Cost of Adult Disability Payments </t>
  </si>
  <si>
    <t>Pension Age Disability Payment</t>
  </si>
  <si>
    <t>Cost of Pension Age Disability Payments</t>
  </si>
  <si>
    <t>Scottish Adult Disability Living Allowance</t>
  </si>
  <si>
    <t>Cost of Scottish Adult Disability Living Allowance payments.</t>
  </si>
  <si>
    <t>Child Disability Payment</t>
  </si>
  <si>
    <t xml:space="preserve">Cost of Child Disability Payments </t>
  </si>
  <si>
    <t>Industrial Injuries Disablement Scheme</t>
  </si>
  <si>
    <t>Cost of Industrial Injuries Disablement Scheme payments.</t>
  </si>
  <si>
    <t>Severe Disablement Allowance</t>
  </si>
  <si>
    <t>Cost of Severe Disablement Allowance payments.</t>
  </si>
  <si>
    <t>Best Start Grant</t>
  </si>
  <si>
    <t>Cost of Best Start Grant payments.</t>
  </si>
  <si>
    <t>Based on the Scottish Fiscal Commission's December 2023 forecasts, published on 19 December 2023. The previous year's figures are from the Scottish Fiscal Commission's December 2022 forecasts, which were used for the 2023-24 Scottish Budget.  This includes BSG Pregnancy and Baby Payment, Early Learning Payment and School Age Payment.</t>
  </si>
  <si>
    <t>Best Start Foods</t>
  </si>
  <si>
    <t>Cost of Best Start Foods payments.</t>
  </si>
  <si>
    <t>Funeral Support Payment</t>
  </si>
  <si>
    <t>Cost of Funeral Support Payments.</t>
  </si>
  <si>
    <t>Job Start Payment</t>
  </si>
  <si>
    <t>Cost of Job Start Payments.</t>
  </si>
  <si>
    <t>The SFC does not provide a forecast of Job Start Payment because it is not within their scope due to the legislative framework used for the benefit. The increase reflects a reduction in demand from the previous year's opening budget.</t>
  </si>
  <si>
    <t>Young Carer Grant</t>
  </si>
  <si>
    <t>Cost of Young Carer Grant payments.</t>
  </si>
  <si>
    <t>The SFC does not provide a forecast of Young Carer Grant because it is below their materiality threshold. No change since previous year.</t>
  </si>
  <si>
    <t>Child Winter Heating Payment</t>
  </si>
  <si>
    <t>Cost of Child Winter Heating Payments.</t>
  </si>
  <si>
    <t>Scottish Child Payment</t>
  </si>
  <si>
    <t>Cost of Scottish Child Payments.</t>
  </si>
  <si>
    <t xml:space="preserve">Pension Age Winter Heating Payment </t>
  </si>
  <si>
    <t>Cost of Pension Age Winter Heating Payments.</t>
  </si>
  <si>
    <t>Winter Heating Payment</t>
  </si>
  <si>
    <t>Cost of Winter Heating Payments.</t>
  </si>
  <si>
    <t>Total Social Security Assistance</t>
  </si>
  <si>
    <t>Third Sector</t>
  </si>
  <si>
    <t>Delivery of third sector infrastructure to provide development, voice and practical support to wider third sector.  Delivery of Social Enterprise and Volunteering Action Plans and Fairer Funding for the Third Sector.</t>
  </si>
  <si>
    <t>No new Financial Transactions will be provided in this year.  Previous FTs now provide recycled loan finance to Social Enterprise such as the Third Sector Growth Fund.</t>
  </si>
  <si>
    <t>Total - Third Sector</t>
  </si>
  <si>
    <t>Housing and Building Standards</t>
  </si>
  <si>
    <t>More Homes</t>
  </si>
  <si>
    <t>Affordable Housing Supply Programme</t>
  </si>
  <si>
    <t>Funding to ensure a continued Affordable Housing Supply Programme. It will enable the delivery of more affordable homes across Scotland.
The Affordable Housing Supply Programme also includes the Transfer of the Management of Development Funding - the capital allocation which sits within the LG programme and is currently £92.245m.</t>
  </si>
  <si>
    <t>The 2024-25 budget represents a decrease of £196m when compared to 2023-24 – a decrease of £75m capital and a decrease of £121m in financial transactions. 
This a decrease of £157m on the previous published Capital Spending Review figure for 2024-25 – a decrease of £66m capital and a decrease of £91m in financial transactions. This reflects wider budgetary pressures across Scottish Government.</t>
  </si>
  <si>
    <t>Housing Receipts</t>
  </si>
  <si>
    <t>Repayment of grant and investments arising from previous housing programmes.</t>
  </si>
  <si>
    <t>Income expected to reduce in 2024-25 from shared equity schemes.</t>
  </si>
  <si>
    <t>Total - More Homes</t>
  </si>
  <si>
    <t>Fuel Poverty and Housing Quality</t>
  </si>
  <si>
    <t>To tackle fuel poverty and improve quality of Scotland's housing, which will also support our targets on climate change.</t>
  </si>
  <si>
    <t>Fuel Insecurity Fund was for 2023-24 only.</t>
  </si>
  <si>
    <t>Total - Fuel Poverty and Housing Quality</t>
  </si>
  <si>
    <t>Housing Support</t>
  </si>
  <si>
    <t>Housing Support and Homelessness</t>
  </si>
  <si>
    <t>This funding supports a range of work seeking to ensure that everyone has a home that meets their needs. This includes provision for tackling homelessness including delivery of the Ending Homelessness Together Action Plan and the transition to a rapid rehousing approach and Housing First; expenditure on rented sector reform to deliver the SG-SGP Shared Policy Programme; supporting tenant participation in social and private rented housing; expenditure of operation of stautory housing registers; support for the Housing Tribunal; and grants to support the voluntary sector in housing.
Support for older and disabled people requiring adaptations to their homes allowing housing association tenants to live independently in their own homes for as long as possible. Support to improve the provision of Gypsy-Traveller accommodation.</t>
  </si>
  <si>
    <t>Reduced funding for the adaptations programme to reflect overall capital pressures.  This is likely to lead to a reduction in the number of adaptations that can be taken forward.  However some Registered Social Landlords may fund adaptations for disabled tenants from their own resources.  Also in individual cases where supporting adaptations helps meet local health priorities, some resources may be available from Integrated Joint Boards.</t>
  </si>
  <si>
    <t>Discretionary Housing Payments</t>
  </si>
  <si>
    <t>Funding for Discretionary Housing Payments to fully mitigate losses as a result of the "bedroom tax". Also supports delivery of 2022 commitment to mitigate the Benefit Cap as far as possible, as part of tackling Child Poverty.
Also allows Local Authorities to provide support to qualifying individuals in housing crisis, including support for those affected by Local Housing Allowance (LHA) rates.</t>
  </si>
  <si>
    <t>Reflects additional investment to support mitigation of the Benefit Cap</t>
  </si>
  <si>
    <t>Total - Housing Support</t>
  </si>
  <si>
    <t>Building Standards</t>
  </si>
  <si>
    <t>Funds a programme of research and professional advice to ensure the Building Standards system in Scotland delivers its regulatory requirements and supports the creation and renewal of safe and sustainable buildings that stand the test of time.</t>
  </si>
  <si>
    <t>Total - Building Standards</t>
  </si>
  <si>
    <t>Total - Housing and Building Standards</t>
  </si>
  <si>
    <t>Cladding Remediation</t>
  </si>
  <si>
    <t>The budget underpins the delivery of the Cladding Remediation Programme which supports homeowners within scope affected by unsafe cladding on their buildings and the Housing (Cladding Remediation) (Scotland) Bill published by Parliament in November 2023.</t>
  </si>
  <si>
    <t>Spend in this area is based on the need to preserve life and remediate buildings with unsafe cladding as committed to by PfG 2023. Scottish Ministers set out a firm commitment to help safeguard homeowners and residents living in buildings with unsafe cladding. As part of this the cladding Remediation programme has started to gather pace with spend increasing over the next two financial years.</t>
  </si>
  <si>
    <t>Total - Cladding Remediation</t>
  </si>
  <si>
    <t>Tackling Child Poverty and Social Justice</t>
  </si>
  <si>
    <t>Incorporates range of activities to support creation of a fairer Scotland and tackle child poverty. Includes spend to tackle food insecurity, support advice services, Social Innovation Partnership and match funding for the STV appeal on child poverty.</t>
  </si>
  <si>
    <t>Baby box</t>
  </si>
  <si>
    <t>Commitment to provide baby boxes to all new mothers.</t>
  </si>
  <si>
    <t>Total - Social Justice</t>
  </si>
  <si>
    <t>Communities Analysis</t>
  </si>
  <si>
    <t>The funding supports the Scottish Household Survey, including the Scottish House Condition Survey, which provides a detailed annual snapshot of how people in Scotland live. It also includes funding for the Rent Service Scotland.</t>
  </si>
  <si>
    <t>Total - Communities Analysis</t>
  </si>
  <si>
    <t>Total - Tackling Child Poverty and Social Justice</t>
  </si>
  <si>
    <t>Office of the Scottish Charity Regulator</t>
  </si>
  <si>
    <t xml:space="preserve">OSCR is the independent registrar and regulator of charities in Scotland. </t>
  </si>
  <si>
    <t>Total - Office of the Scottish Charity Regulator</t>
  </si>
  <si>
    <t>Scottish Housing Regulator</t>
  </si>
  <si>
    <t>Independent regulation of social landlords, as established by the Housing (Scotland) Act 2010.</t>
  </si>
  <si>
    <t>To reflect increased operational costs.</t>
  </si>
  <si>
    <t>Total - Scottish Housing Regulator</t>
  </si>
  <si>
    <t>Ukrainian Resettlement</t>
  </si>
  <si>
    <t>Supports the costs of welcoming Ukrainian displaced people to Scotland</t>
  </si>
  <si>
    <t>Reduction in budget reflects the decreasing cost of the Ukrainian Resettlement Programme as we continue to support displaced Ukrainians to move out of temporary welcome accommodation into more permanent accommodation solutions.</t>
  </si>
  <si>
    <t>Total - Ukrainian Resettlement</t>
  </si>
  <si>
    <t>Transfer of Management of Development Funding (TMDF)  (LA Capital Specific Grant)</t>
  </si>
  <si>
    <t>To manage the housing supply programme  under the Transfer of Management of Development Funding (TMDF) arrangements. Included in the total funding for the Affordable Housing Supply Programme.</t>
  </si>
  <si>
    <t>Hyperion totals, excludes CRC's, PY figures include one-off COVID budget</t>
  </si>
  <si>
    <t>NEW TOTAL    £000's</t>
  </si>
  <si>
    <t>RESOURCE</t>
  </si>
  <si>
    <t>staff operating costs</t>
  </si>
  <si>
    <t>non-staff operating costs</t>
  </si>
  <si>
    <t>NON-CASH</t>
  </si>
  <si>
    <t>CAPITAL</t>
  </si>
  <si>
    <t>FT</t>
  </si>
  <si>
    <t>GLA</t>
  </si>
  <si>
    <t>AME</t>
  </si>
  <si>
    <t>Rail Services</t>
  </si>
  <si>
    <t>Enhancement Projects</t>
  </si>
  <si>
    <t>Improvements to rail infrastructure and capital maintenance and improvement to rolling stock and associated assets.</t>
  </si>
  <si>
    <t>Profile of annual expenditure changes in line with the level of committed Rail Enhancement projects and maintenance spend.</t>
  </si>
  <si>
    <t>Rail Development</t>
  </si>
  <si>
    <t>Covers costs to progress rail developments.</t>
  </si>
  <si>
    <t>This Budget line has been removed as it is no longer required after the move of Rail Franchise to an Operator of Last Resort.</t>
  </si>
  <si>
    <t xml:space="preserve">Supports the provision of ScotRail and Caledonian Sleeper passenger rail services and oversight by Scottish rail Holdings as head of the government owned group. Also includes the Fixed Track Access Charges that are paid to Network Rail for the maintenance of the network. </t>
  </si>
  <si>
    <t xml:space="preserve">Reflects continued recovery in Rail passenger demand and revenue (off-set to some extent by inflationary increases to operating costs) which reduces subsidy required. </t>
  </si>
  <si>
    <t>Network Infrastructure</t>
  </si>
  <si>
    <t xml:space="preserve">Supports the costs of maintenance, safe operation and renewal of the Scottish rail network by Network Rail and associated costs (along with the Fixed Track Access Charges funded via ScotRail above). </t>
  </si>
  <si>
    <t xml:space="preserve">Increase in the profile of committed Network Rail expenditure on Operations, Maintenance and Renewals, reflecting the agreed funding for the first year of the five year Control Period (CP7). </t>
  </si>
  <si>
    <t>Total - Rail Services</t>
  </si>
  <si>
    <t>Concessionary Fares and Bus Services</t>
  </si>
  <si>
    <t>Concessionary Fares</t>
  </si>
  <si>
    <t>Provides support for the delivery of concessionary travel schemes including the u22 and Older and Disabled Peoples Schemes</t>
  </si>
  <si>
    <t xml:space="preserve">Reflects forecast levels based on expected demand and inflation/cost levels.  Final out-turn will be dependent upon demand. </t>
  </si>
  <si>
    <t>Smartcard Programme</t>
  </si>
  <si>
    <t>Provides funding for bus infrastructure systems to recognise Smartcards, essential to effective implementation of our Fraud Strategy. Supporting smart and digital travel improvements including providing all public and active travel information as open data, making Traveline Scotland fit for our future purposes, to encourage more sustainable travel.</t>
  </si>
  <si>
    <t>No significant movement</t>
  </si>
  <si>
    <t>Support for Bus Services</t>
  </si>
  <si>
    <t>Funding for Network Support Grant, which provides support to the bus industry across Scotland to benefit passengers by helping operators to keep fares down enabling them to run services that might not otherwise be commercially viable; helps sustain the economy reducing costs to local authorities of supporting non-commercial socially necessary services. Provides support for Local Transport Authorities to explore Transport Act 2019 powers and improve local services through the Community Bus Fund.</t>
  </si>
  <si>
    <t>Reflects expected demand.</t>
  </si>
  <si>
    <t>Total - Concessionary Fares and Bus Services</t>
  </si>
  <si>
    <t>Active Travel, Low Carbon and Other Transport</t>
  </si>
  <si>
    <t>Agency Administration Costs</t>
  </si>
  <si>
    <t>Transport Agency – Wages and Salaries</t>
  </si>
  <si>
    <t>Covers administration salaries and wages costs.</t>
  </si>
  <si>
    <t>Transport Agency – Goods and Services</t>
  </si>
  <si>
    <t>Covers accommodation and other non-direct administration expenditure.</t>
  </si>
  <si>
    <t xml:space="preserve">Reflects costs associated with the move to Bothwell Street premises and inflationary increases. </t>
  </si>
  <si>
    <t>National Infrastructure Commission</t>
  </si>
  <si>
    <t>Implementing the Infrastructure Commission for Scotland’s recommendations.</t>
  </si>
  <si>
    <t>Total - Agency Administration Costs</t>
  </si>
  <si>
    <t>Scottish Canals</t>
  </si>
  <si>
    <t>Scottish Canals – resource</t>
  </si>
  <si>
    <t>Covers operational expenditure by Scottish Canals and non-cash budget cover for depreciation charges.</t>
  </si>
  <si>
    <t xml:space="preserve">Reflects an increase in operating costs associated with maintaining Scotland's canal network, as well as a large increase in non-cash budget cover to reflect a technical accounting adjustment relating to capitalisation of the canal network. </t>
  </si>
  <si>
    <t>Scottish Canals – capital</t>
  </si>
  <si>
    <t>Supports capital expenditure by Scottish canals.</t>
  </si>
  <si>
    <t>Total - Scottish Canals</t>
  </si>
  <si>
    <t>Strategic Transport Projects Review</t>
  </si>
  <si>
    <t>Robust evidence underpins the prioritisation of projects. It also provides the evidence base for a review of the Strategic Transport Projects Review (STPR) and identifying the longer term pipeline of land-based infrastructure investments beyond 2030</t>
  </si>
  <si>
    <t xml:space="preserve">Reduction reflects the finalisation and publication of STPR2 in 2023-24. Funding for evidence and research now fully funded under Travel Strategy and Innovation.  </t>
  </si>
  <si>
    <t>Support for Active Travel</t>
  </si>
  <si>
    <t>Support for Active Travel - capital</t>
  </si>
  <si>
    <t xml:space="preserve">Investment in the infrastructure programmes for Active Travel  across Scotland, such as Places for Everyone and the National Cycling Network. </t>
  </si>
  <si>
    <t>Increased investment to reflect commitment to growing Active Travel programme</t>
  </si>
  <si>
    <t>Support for Active Travel – current grant</t>
  </si>
  <si>
    <t>Support for active travel programmes, behavioural change, promotion of active travel and supporting actions contained in the Cycling Action Plan.</t>
  </si>
  <si>
    <t>Increased expenditure to support increasing investment in the Active Travel programme</t>
  </si>
  <si>
    <t>Total - Support for Active Travel</t>
  </si>
  <si>
    <t>Support for Sustainable Travel</t>
  </si>
  <si>
    <t>Support for Sustainable Travel - Financial Transactions (Expenditure)</t>
  </si>
  <si>
    <t>Historic loan support in the form of Financial Transactions (now reduced by UK Government) for the Low Carbon Transport Loan Fund to provide loans for electric vehicles and e-bikes through the Energy Saving Trust.</t>
  </si>
  <si>
    <t>Support for Sustainable Travel - Financial Transactions (Income)</t>
  </si>
  <si>
    <t>Forecast level of loan repayments from Energy Saving Trust.</t>
  </si>
  <si>
    <t>Support for Sustainable Travel – current grant</t>
  </si>
  <si>
    <t xml:space="preserve">Investment in programmes for Sustainable Travel, such as Smarter Choices, Smarter Places, fuel-efficient driving and car clubs, travel planning and other grant schemes. </t>
  </si>
  <si>
    <t>Line reprofiled in line with anticipated expenditure.</t>
  </si>
  <si>
    <t>Total - Support for Sustainable Travel</t>
  </si>
  <si>
    <t>Support for Freight Industry</t>
  </si>
  <si>
    <t>Supports measures which encourage the freight industry to reduce emissions by improving the efficiency of its operations and by transferring freight from road to rail and water.</t>
  </si>
  <si>
    <t>Future Transport Fund - Low Carbon</t>
  </si>
  <si>
    <t xml:space="preserve">Supports programmes to reduce the impact of transport emissions on our environment and to tackle climate change. Programmes include charging infrastructure, sector transition, ultra-low emissions buses and zero-emission transport and decarbonisation programmes.    </t>
  </si>
  <si>
    <t xml:space="preserve">Line reprofiled in line with anticipated expenditure and to reflect the move towards the use of private sector finance and ownership in areas such as charging infrastructure and bus electification. </t>
  </si>
  <si>
    <t>Edinburgh Tram Inquiry</t>
  </si>
  <si>
    <t>Used to fund the completion of the Edinburgh Tram Inquiry.</t>
  </si>
  <si>
    <t>Inquiry now complete.</t>
  </si>
  <si>
    <t>Travel Strategy and Innovation</t>
  </si>
  <si>
    <t>Provides running cost support for Regional Transport Partnerships. Funding the Mobility and Access Committee for Scotland and the Scottish Roadworks Commissioner. Funding for transport research, strategy, planning, appraisal and business cases. Also, Capital grant support for the SPT's (Strathclyde Partnership for Transport) Subway modernisation programme.</t>
  </si>
  <si>
    <t>Reprofiling of contribution to SPT's (Strathclyde Partnership for Transport) Subway Modernisation programme</t>
  </si>
  <si>
    <t>Total - Active Travel, Low Carbon and Other Transport</t>
  </si>
  <si>
    <t>Trunk Road Network: Safety, Adaptation, Maintenance and Improvement</t>
  </si>
  <si>
    <t>Road Improvement</t>
  </si>
  <si>
    <t>Provides for design and further development of road schemes, including the upgrade to dual carriageway of the A9, A83 improvements, and funding for progress with other schemes in the Trunk Road Network Programme. Includes Trunk Road Adaptation Schemes to improve the resilience of the trunk road network to the effects of climate change and severe weather events.</t>
  </si>
  <si>
    <t xml:space="preserve">Expenditure has increased to reflect continued progress on the A83 Rest and Be Thankful, as well as work on the A9 dualling programme, including the Tomatin to Moy section. 
</t>
  </si>
  <si>
    <t>Tay Road Bridge Authority</t>
  </si>
  <si>
    <t>Tay Road Bridge Capital Grant</t>
  </si>
  <si>
    <t>Funds capital grant expenditure on maintenance and operation of the Tay Road Bridge.</t>
  </si>
  <si>
    <t xml:space="preserve">Increase driven by spend profile of agreement to fund essential capital maintenance and operations. </t>
  </si>
  <si>
    <t>Tay Road Bridge Resource Grant</t>
  </si>
  <si>
    <t>Funds resource grant expenditure on maintenance and operation of the Tay Road Bridge.</t>
  </si>
  <si>
    <t xml:space="preserve">Increase reflects spend profile of agreement to fund essential resource maintenance and operations. </t>
  </si>
  <si>
    <t>Total - Tay Road Bridge Authority</t>
  </si>
  <si>
    <t>Queensferry Crossing</t>
  </si>
  <si>
    <t>Provides for costs associated with the construction of the Queensferry Crossing.</t>
  </si>
  <si>
    <t xml:space="preserve">Budget no longer required as maintenance now covered in the wider 'Critical Safety, Maintenance and Investment' line. </t>
  </si>
  <si>
    <t>Critical Safety, Maintenance and Infrastructure</t>
  </si>
  <si>
    <t>Safety Cameras</t>
  </si>
  <si>
    <t>Provision of Road Safety Cameras in Scotland.</t>
  </si>
  <si>
    <t xml:space="preserve">Movement reflects inflationary uplifts. </t>
  </si>
  <si>
    <t xml:space="preserve">Critical Safety, Maintenance and Infrastructure </t>
  </si>
  <si>
    <t xml:space="preserve">Delivers routine, cyclical and winter maintenance and funds highest priority repairs alongside safety critical strengthening works on the trunk road network. 
In addition, this budget delivers funding of road safety initiatives and capital investment in Low Emission Zones and Traffic Scotland contracted operational commitments. 
This funding also covers committed costs for Contract Price Fluctuation, audit services, trunk road electricity costs, asset management systems and other known demands.
</t>
  </si>
  <si>
    <t xml:space="preserve">Increase as a result of prioritisation of the most safety critical essential works, inspections, defect repairs and statutory duties. Rising profile to meet contractual indexation payments and statutory minimum essential maintenance costs. 
</t>
  </si>
  <si>
    <t>Woodside Viaduct</t>
  </si>
  <si>
    <t>Essential propping works to protect the integrity and maintain operation of the M8 Woodside Viaducts prior to permanent structural repairs and refurbishment.</t>
  </si>
  <si>
    <t xml:space="preserve">New essential funding to complete the programme of temporary propping works and keep the M8 Woodside Viaduct operational. </t>
  </si>
  <si>
    <t>Other Expenditure</t>
  </si>
  <si>
    <t>Funds resource overheads related to road operations and essential maintenance. Includes resilience and major events, asset management and procurement, Low Emission Zone, legal and other statutory costs.</t>
  </si>
  <si>
    <t xml:space="preserve">Reduction primarily due to profile of Low Emission Zone resource costs. </t>
  </si>
  <si>
    <t>Total - Critical Safety, Maintenance and Infrastructure</t>
  </si>
  <si>
    <t>Roads Depreciation</t>
  </si>
  <si>
    <t>Provides non-cash budget to cover depreciation of the trunk road network.</t>
  </si>
  <si>
    <t xml:space="preserve">Roads depreciation charge is based on a range of factors, including road condition data and traffic volumes, therefore will fluctuate year on year. </t>
  </si>
  <si>
    <t>PPP Payments</t>
  </si>
  <si>
    <t>Transport PPP Finance Charge/ Capital</t>
  </si>
  <si>
    <t>Covers the repayment of the finance element of the Design and Build costs of sections of the M6/A74(M), M77, M80 and M8/73/74.</t>
  </si>
  <si>
    <t xml:space="preserve">PFI spend is determined by financial model for each scheme. Contractual spend in line with profile driven by model. </t>
  </si>
  <si>
    <t>Transport PPP Unitary Charge – Service Element</t>
  </si>
  <si>
    <t>Covers the service charges in respect of the operation of privately funded sections of the M6/A74(M), M77, M80 and M8/73/74 and AWPR/BT.</t>
  </si>
  <si>
    <t>Transport PPP Unitary Charge – Finance Charge/Interest Payable</t>
  </si>
  <si>
    <t>Covers the interest charges in respect of the privately funded sections of the M6/A74(M), M77, M80 and M8/73/74 and AWPR/BT.</t>
  </si>
  <si>
    <t>Total - PPP Payments</t>
  </si>
  <si>
    <t>Total - Trunk Road Network: Safety, Adaptation, Maintenance and Improvement</t>
  </si>
  <si>
    <t>Ferry Services</t>
  </si>
  <si>
    <t>Support for Ferry Services</t>
  </si>
  <si>
    <t>Clyde and Hebrides Ferry Services</t>
  </si>
  <si>
    <t>This mainly covers the support provided for the Clyde and Hebrides ferry services, which includes connecting Scotland's islands, and ancillary costs relating to general ferry services.</t>
  </si>
  <si>
    <t>Reflects impact of increased operating costs (fuel, crew etc.) and the introduction of additional vessels to the fleet in 2024/25.</t>
  </si>
  <si>
    <t>Northern Isles Ferry Services</t>
  </si>
  <si>
    <t xml:space="preserve">This mainly covers the support provided for the Northern Isles ferry services, which includes connecting Scotland's islands, and ancillary costs relating to general ferry services. </t>
  </si>
  <si>
    <t>Reflects impact of increased operating costs, including fuel prices, on the Northern Isles ferry services network in 2024/25.</t>
  </si>
  <si>
    <t>Loan Interest</t>
  </si>
  <si>
    <t>Interest receivable on loans advanced to Caledonian Maritime Assets Ltd (CMAL).</t>
  </si>
  <si>
    <t>Reflects the profile of interest receivable in year on loans advanced to CMAL.</t>
  </si>
  <si>
    <t>Total - Support for Ferry Services</t>
  </si>
  <si>
    <t>Vessels and Piers</t>
  </si>
  <si>
    <t>Piers and Harbours Grants</t>
  </si>
  <si>
    <t>Provides grants to port operators for improvement to piers and harbours, particularly to support ferry services to and from Scotland's islands.</t>
  </si>
  <si>
    <t>Reflects the profile of port investment works progressing through construction stage in the coming year.</t>
  </si>
  <si>
    <t>CMAL - Voted Loans</t>
  </si>
  <si>
    <t>Provides for loans to Caledonian Maritime Assets Ltd (CMAL) for procurement of vessels for operation on the Clyde and Hebrides Ferry Services and Northern Isles Ferry Services networks.</t>
  </si>
  <si>
    <t>Reflects the profile of construction for a number of vessel investment projects progressing through the coming year.</t>
  </si>
  <si>
    <t>CMAL – Capital Receipts</t>
  </si>
  <si>
    <t>Repayment of loans by CMAL.</t>
  </si>
  <si>
    <t>Reflects the profile of loan repayments by CMAL.</t>
  </si>
  <si>
    <t>Total - Vessels and Piers</t>
  </si>
  <si>
    <t>Total - Ferry Services</t>
  </si>
  <si>
    <t>Air Services</t>
  </si>
  <si>
    <t>Highlands and Islands Airports Ltd</t>
  </si>
  <si>
    <t>Highlands and Islands Airports Ltd – Resource Grant</t>
  </si>
  <si>
    <t>Supports Highlands and Islands Airports Ltd in maintaining and operating its airports, to facilitate essential connectivity to and from Scotland's islands and remote areas.</t>
  </si>
  <si>
    <t>Reflects continued recovery in passenger numbers and associated revenue.</t>
  </si>
  <si>
    <t>Highlands and Islands Airports Ltd – Capital Grant</t>
  </si>
  <si>
    <t xml:space="preserve">Capital investment required to ensure airports operate safely and in accordance with regulatory requirements, supporting connectivity to remote rural areas and Scottish islands. </t>
  </si>
  <si>
    <t xml:space="preserve">Reflects the profile of Highland and Islands Airports Ltd's capital programme. </t>
  </si>
  <si>
    <t>Highlands and Islands Airports Ltd – Depreciation Charge</t>
  </si>
  <si>
    <t xml:space="preserve">Non-cash budget cover for depreciation charges. </t>
  </si>
  <si>
    <t>Total - Highlands and Islands Airports Ltd</t>
  </si>
  <si>
    <t>Other Air Services</t>
  </si>
  <si>
    <t>Support growing Scotland’s direct international connectivity, for lifeline Public Service Obligation air services, and the Highlands and Islands Air Discount Scheme (ADS)</t>
  </si>
  <si>
    <t xml:space="preserve">Reflects the commitment to the lifeline Public Service Obligation air services for the remainder of their contract and a continuation of support for the  Highlands and Islands Air Discount Scheme (ADS) cost of which has risen to reflect continuing growth in air patronage post-Covid. </t>
  </si>
  <si>
    <t>Total - Air Services</t>
  </si>
  <si>
    <t>TOTAL Transport</t>
  </si>
  <si>
    <t>COVID Funding</t>
  </si>
  <si>
    <t>Allocation of COVID consequentials</t>
  </si>
  <si>
    <t xml:space="preserve">This represents COVID-19 consequentials allocated in response to the 2021-22 costs of the pandemic. </t>
  </si>
  <si>
    <t>This was consequential funding allocated by the UK Government in 2021-22 in response to the COVID-19 outbreak. The UK Government has not continued specific COVID-19 consequential funding since.</t>
  </si>
  <si>
    <t>Total COVID Funding</t>
  </si>
  <si>
    <t>Central Government Grants to Local Authorities</t>
  </si>
  <si>
    <t>Cycling, Walking &amp; Safer Routes</t>
  </si>
  <si>
    <t>Grants to local authorities to fund improvements to infrastructure to support cycling, walking and safer streets.</t>
  </si>
  <si>
    <t>Support for Inter Island Ferries</t>
  </si>
  <si>
    <t>Grant to support inter island ferry services.</t>
  </si>
  <si>
    <t>Increased support to reflect inflationary cost increases.</t>
  </si>
  <si>
    <t>Regional Transport Partnership</t>
  </si>
  <si>
    <t>A general capital grant to Strathclyde Partnership for Transport, for their transport investment programme. This grant, combined with funding from their constituent local authorities, funds delivery of capital projects which contribute to the National Transport Strategy.</t>
  </si>
  <si>
    <t>Reprioritisation of spending plans.</t>
  </si>
  <si>
    <t>Central Government Grants to Local Authorities Level 2 Total</t>
  </si>
  <si>
    <t>Education and Skills</t>
  </si>
  <si>
    <t>Learning</t>
  </si>
  <si>
    <t>Education Analytical Services</t>
  </si>
  <si>
    <t>Children and Families Analysis</t>
  </si>
  <si>
    <t>To support the provision of additional evidence to monitor, evaluate and develop policies to achieve National Outcomes relating to children.</t>
  </si>
  <si>
    <t>Allocation revised in line with cost forecasts</t>
  </si>
  <si>
    <t>Learning Analysis</t>
  </si>
  <si>
    <t>To provide evidence and analysis on Learning and to support the Directorate for Learning in the achievement, measurement and monitoring of relevant National Outcomes and Indicators.</t>
  </si>
  <si>
    <t>Allocations revised in line with cost forecasts. Includes provision to allow us to rejoin PIRLS and TIMSS.</t>
  </si>
  <si>
    <t>Advanced Learning and Science Analysis</t>
  </si>
  <si>
    <t>To provide data, research and analysis to support the DG Education, Communities and Justice in the achievement, measurement and monitoring of relevant National Outcomes and Indicators.</t>
  </si>
  <si>
    <t>Information Management, Improvement and Evidence</t>
  </si>
  <si>
    <t>Develop electronic data exchanges between partners in the Scottish education system and beyond as well as promoting and supporting continuous improvement through the use, development and reporting of evidence and benchmarking information.</t>
  </si>
  <si>
    <t>Operating cost reduction due to workforce efficiencies.</t>
  </si>
  <si>
    <t>Total - Education Analytical Services</t>
  </si>
  <si>
    <t>Improvement, Attainment and Wellbeing</t>
  </si>
  <si>
    <t>Communication Teams (Schools)</t>
  </si>
  <si>
    <t xml:space="preserve">"Engage for Education" and related events. </t>
  </si>
  <si>
    <t>Raising Attainment</t>
  </si>
  <si>
    <t>Budget for the Attainment Scotland Fund to support the Scottish Attainment Challenge, National Improvement Framework programmes and for the School Clothing Grant.</t>
  </si>
  <si>
    <t>Budget cover provided for contracted costs to deliver Scottish National Standardised Assessments and uplift school clothing grant in line with inflation.</t>
  </si>
  <si>
    <t>Grant Aided Special Schools Indirect Capital</t>
  </si>
  <si>
    <t>Improvements to schools as part of a maintenance programme.</t>
  </si>
  <si>
    <t>Compensation Payments (SPPA)</t>
  </si>
  <si>
    <t>Pension contributions for former List D school staff.</t>
  </si>
  <si>
    <t>Fewer recipients of the scheme.</t>
  </si>
  <si>
    <t>Equalities, Inclusion and Additional Support for Learning</t>
  </si>
  <si>
    <t>Includes funding to "Grant Aided Special Schools" and for the implementation of additional support for learning: Enquire, CALL Scotland, Let's talk ASN, Scottish Sensory Centre, Dyslexia Scotland, Scottish Network for Able Pupils, Scottish Traveller Education Project and contribution towards Membership of the European Agency for Special Educational Needs and training of independent adjudicators.</t>
  </si>
  <si>
    <t>Uplift to ensure budget cover for statutory services affected by inflation rises.</t>
  </si>
  <si>
    <t xml:space="preserve">Health and Wellbeing </t>
  </si>
  <si>
    <t>Supports implementation of "Health and Wellbeing" across the curriculum -  food and health, relationships, sexual health and parenthood education. It also provides national support for a range of projects promoting positive relationships, behaviour, mental health and wellbeing and engagement in schools and the national anti-bullying service.</t>
  </si>
  <si>
    <t>Capital and additional resource investment to support the expansion of provision of free school meals.
Budget cover to ensure continuation of school milk subsidy.
Operating cost reduction due to workforce efficiencies.</t>
  </si>
  <si>
    <t>Total - Improvement, Attainment and Wellbeing</t>
  </si>
  <si>
    <t>Workforce, Infrastructure &amp; Digital</t>
  </si>
  <si>
    <t>Teacher Training</t>
  </si>
  <si>
    <t>Funding to maintain teacher numbers, recruit and train student teachers, operate the teacher induction scheme and enable initiatives to support the structure of teachers’ professional learning in Scotland.</t>
  </si>
  <si>
    <t>Operating cost reduction due to workforce efficiencies and Initial teacher Education budget now aligned to uptake.</t>
  </si>
  <si>
    <t>Teacher's Pay</t>
  </si>
  <si>
    <t>Funding to support our teaching profession by delivering the historic pay deal for our teachers, which has a cumulative value of 14.6% over 28 months.</t>
  </si>
  <si>
    <t>In 23-24 teacher pay was funded through in-year transfers as the full cost was not confirmed until after the budget was agreed. A baseline adjustment has been implemented in 24-25 to show a dedicated budget line for this spend.</t>
  </si>
  <si>
    <t>School Estate</t>
  </si>
  <si>
    <t>Supports Scottish Futures Trust’s management of the Scottish Government's school building programme; Architecture &amp; Design Scotland’s delivery of the schools programme; and the Scottish Arbitration Centre who provide the support service to the School Closures Review Panel.</t>
  </si>
  <si>
    <t>Technologies for Learning</t>
  </si>
  <si>
    <t>Funds Glow services, SWAN connectivity for education establishments, and practical support for digital learning and teaching. Capital funding will support targeted programme of digital inclusion.</t>
  </si>
  <si>
    <t>Reflects efficiencies made in delivery of service provision.
Capital provided in 24-25 to support digital inclusion programme.</t>
  </si>
  <si>
    <t>Schools Unitary Charges</t>
  </si>
  <si>
    <t>Scottish Government revenue funding commitments to local authorities to cover the unitary charge payments for Scotland’s Schools for the Future programme (SSF) and outcomes-based funding payments for Learning Estate Investment Programme (LEIP) projects.</t>
  </si>
  <si>
    <t>Uplift to ensure budget cover for Scottish Government outcomes based funding payments to LAs in 24-25 related to LEIP projects.</t>
  </si>
  <si>
    <t>Jordanhill School</t>
  </si>
  <si>
    <t xml:space="preserve">Grant-maintained school budget for all aspects of operating and staffing the school. </t>
  </si>
  <si>
    <t>Uplift for essential operating costs.</t>
  </si>
  <si>
    <t>Jordanhill School Indirect Capital</t>
  </si>
  <si>
    <t>Improvements to the school as part of a school maintenance programme.</t>
  </si>
  <si>
    <t>Uplift to ensure budget cover for essential maintenance costs.</t>
  </si>
  <si>
    <t>St Mary's Music School Grant Payments</t>
  </si>
  <si>
    <t>Funds aided places scheme which provides financial assistance for pupils attending St Mary’s Music School.</t>
  </si>
  <si>
    <t>Learning and Support -Advice and Policy</t>
  </si>
  <si>
    <t>Resource to support delivery of a range of work across the wider business area.</t>
  </si>
  <si>
    <t>Total - Workforce, Infrastructure and Digital</t>
  </si>
  <si>
    <t>Total - Learning</t>
  </si>
  <si>
    <t>Education Reform</t>
  </si>
  <si>
    <t>Curriculum</t>
  </si>
  <si>
    <t xml:space="preserve">Curriculum </t>
  </si>
  <si>
    <t>The funding supports a range of work across the Curriculum for Excellence, and includes funding to remove core curriculum charges .</t>
  </si>
  <si>
    <t>Budget change reflects the consolidation and remodelling of some curriculum programmes and operating cost reduction due to workforce efficiencies.</t>
  </si>
  <si>
    <t>Total - Curriculum</t>
  </si>
  <si>
    <t>Schools Reform</t>
  </si>
  <si>
    <t>Funding to implement a range of education reforms to empower our teachers, parents and communities to deliver excellence and equity for our children.</t>
  </si>
  <si>
    <t>SQA Development /Accommodation Costs</t>
  </si>
  <si>
    <t>Funds accommodation costs for SQA (including Education Scotland's share of the Optima Building, Glasgow).</t>
  </si>
  <si>
    <t>Minor budget uplift to reflect inflationary changes.</t>
  </si>
  <si>
    <t xml:space="preserve">Scottish Qualifications Authority </t>
  </si>
  <si>
    <t>SG core grant-in-aid contribution towards operational costs and depreciation.</t>
  </si>
  <si>
    <t>Revised depreciation costs.</t>
  </si>
  <si>
    <t>Scottish Qualifications Authority - Capital</t>
  </si>
  <si>
    <t>SG core grant-in-aid contribution to capital activity.</t>
  </si>
  <si>
    <t>Budget uplift to deliver IT upgrades.</t>
  </si>
  <si>
    <t>Total - Education Reform</t>
  </si>
  <si>
    <t>Gaelic</t>
  </si>
  <si>
    <t>Bòrd na Gàidhlig (Alba)</t>
  </si>
  <si>
    <t>Funding for Bòrd na Gàidhlig supports a wide range of Gaelic development activities including Early Years, Adult Learning, Gaelic arts and publishing. This funding also supports the implementation of Gaelic plans. Contributes to Education at all levels, involved in delivering 0-3 to adult in formal and informal settings.</t>
  </si>
  <si>
    <t>Gaelic Indirect Capital</t>
  </si>
  <si>
    <t xml:space="preserve">This budget assists local authorities with the expansion of Gaelic medium education by supporting small- or medium-sized projects where there is a demand for increased provision.  </t>
  </si>
  <si>
    <t>Gaelic Schools</t>
  </si>
  <si>
    <t xml:space="preserve">This budget assists local authorities and Gaelic bodies with the expansion of Gaelic medium education by supporting small- or medium-sized projects where there is a demand for increased provision.  </t>
  </si>
  <si>
    <t>Budget to be repurposed</t>
  </si>
  <si>
    <t>Gaelic Broadcasting</t>
  </si>
  <si>
    <t>This budget goes to the company MG ALBA which is in partnership with the BBC to deliver the Gaelic television channel, BBC ALBA. The funding also covers radio, online and training initiatives.</t>
  </si>
  <si>
    <t>Gaelic Education, Culture and Arts</t>
  </si>
  <si>
    <t xml:space="preserve">This budget supports the Gaelic activities of Sabhal Mòr Ostaig and Storlann which is the national centre producing support for pupils, parents and teachers in Gaelic education.  </t>
  </si>
  <si>
    <t>Scots Language Development</t>
  </si>
  <si>
    <t xml:space="preserve">This budget is directed towards the activities of the Scots Language Centre and Scottish Language Dictionaries and their support of Scots language.  </t>
  </si>
  <si>
    <t>Gaelic Development</t>
  </si>
  <si>
    <t>The budget will be allocated to support ministerial priorities that promote the learning, speaking and use of the Gaelic language in Scotland.</t>
  </si>
  <si>
    <t>Total - Gaelic</t>
  </si>
  <si>
    <t>Education Scotland</t>
  </si>
  <si>
    <t>Receipts</t>
  </si>
  <si>
    <t>Pay</t>
  </si>
  <si>
    <t>Salary costs for the national improvement agency for education in Scotland. Staff costs support the Government’s desire to ensure excellence and equity across the education system</t>
  </si>
  <si>
    <t xml:space="preserve">Other </t>
  </si>
  <si>
    <t>Activities to support the Government’s desire to ensure excellence and equity across the education system</t>
  </si>
  <si>
    <t>Depreciation</t>
  </si>
  <si>
    <t>Depreciation of ES assets.</t>
  </si>
  <si>
    <t>Total - Education Scotland</t>
  </si>
  <si>
    <t>Children and Families</t>
  </si>
  <si>
    <t>Children's Rights, Protection and Justice</t>
  </si>
  <si>
    <t>SCRA - Resource</t>
  </si>
  <si>
    <t>Grant in Aid contribution towards the running costs of Scottish Children's Reporter Administration (SCRA).</t>
  </si>
  <si>
    <t>Minor movement due to non cash adjustment.  capital in 2023/24 for leases no longer required.</t>
  </si>
  <si>
    <t>SCRA - Indirect Capital</t>
  </si>
  <si>
    <t>Maintenance and improvement of hearings centres across Scotland.</t>
  </si>
  <si>
    <t>Planned capital increase to support maintenance and improvement of Hearings Centres.</t>
  </si>
  <si>
    <t>Children's Hearings Scotland (CHS) - Resource</t>
  </si>
  <si>
    <t xml:space="preserve">Grant in Aid contribution toward the running costs of Children's Hearings Scotland (CHS).  </t>
  </si>
  <si>
    <t>Minor movement due to non cash adjustment. Small increase in Capital for leases.</t>
  </si>
  <si>
    <t>Children's Hearings Scotland (CHS) - Indirect Capital</t>
  </si>
  <si>
    <t>Maintenance and improvement of digital  hearings systems.</t>
  </si>
  <si>
    <t>Small capital increase to support maintenance and improvement of digital capability of hearings.</t>
  </si>
  <si>
    <t>Children's Hearings work</t>
  </si>
  <si>
    <t>Support to and administration of National Safeguarder Panel including training and performance management of safeguarders. Delivery of advocacy support for young people in the hearings system.</t>
  </si>
  <si>
    <t>Preventing Offending by Young People/Whole Systems Approach</t>
  </si>
  <si>
    <t xml:space="preserve">Supports delivery of whole system approach. Meets the costs of secure care accommodation placements for sentenced young people. Supports improvement work to divert high risk young people from offending behaviour, to provide alternatives to secure care and to provide custody and manage young people safely in their communities.  </t>
  </si>
  <si>
    <t>UNCRC Incorporation and Children and Young People's Rights Implementation</t>
  </si>
  <si>
    <t>Preparation for implementation of the incorporation of the United Nations Convention on the Rights of the Child (UNCRC) into Scots law.  Core funding to key partners to support the children's rights agenda. Supports engagement with children and young people and promotion of children's rights under part 1 of the  Children and Young People (Scotland) Act 2014.</t>
  </si>
  <si>
    <t>Child Protection</t>
  </si>
  <si>
    <t xml:space="preserve">Funding for core child protection and frontline support for projects that help vulnerable children and families such as the Partnership Drugs Initiative (PDI) which helps identify best practice for those working with families affected by substance misuse. Delivery of the Scottish Guardianship service , the Independent Child Trafficking Guardianship Service and Joint investigative interviews.  </t>
  </si>
  <si>
    <t>Total - Children's Rights, Protection and Justice</t>
  </si>
  <si>
    <t>Creating Positive Futures</t>
  </si>
  <si>
    <t>Parenting, Play &amp; Family Support</t>
  </si>
  <si>
    <t xml:space="preserve">Supports the delivery of parenting, play and family support, Bookbug book gifting programme for children in their early years and PlayTalkRead </t>
  </si>
  <si>
    <t>Capital Grants</t>
  </si>
  <si>
    <t>Provides funding during 2024-25 towards the refurbishment of play parks over the term of this parliament.</t>
  </si>
  <si>
    <t>Multi year planned increased allocation to local government.</t>
  </si>
  <si>
    <t>Children Young People Families Early Intervention Fund (CYPFEIF) and (CYPFAL) Fund</t>
  </si>
  <si>
    <t>Children, Young People Families and Adult Learning Fund (CYPFAL)  provides core funding of third sector organisations across Scotland delivering early intervention and prevention work with children, adult learners and families. This is in addition to the CYPFEIF.</t>
  </si>
  <si>
    <t>Reflects year two full year costs of the CYPFAL fund introduced part way through 2023-24, and continuing until end March 2025</t>
  </si>
  <si>
    <t>Children &amp; Young People Improvement Collaborative</t>
  </si>
  <si>
    <t>The Children and Young People Improvement Collaborative (CYPIC) supports schools and services to be as good as they can be by using quality improvement to test, measure and implement better ways of working that are more effective and responsive to the needs of children, young people and families.</t>
  </si>
  <si>
    <t>Supporting Families with Disabled Children</t>
  </si>
  <si>
    <t>Supports delivery of rapid response small grants to families with severely disabled children.  Progression of Transitions Strategy for disabled children and young people.</t>
  </si>
  <si>
    <t>Children and Families-Advice and Policy</t>
  </si>
  <si>
    <t>Strategic Policy and business support across all of Children and Families directorate.</t>
  </si>
  <si>
    <t>Total - Creating Positive Futures</t>
  </si>
  <si>
    <t>Disclosure Scotland</t>
  </si>
  <si>
    <t>Disclosure Scotland Operational Costs</t>
  </si>
  <si>
    <t>Disclosure Scotland (DS) provides a comprehensive and responsive disclosure service, enhancing public safety through enabling safer recruitment decisions and also delivers protection services through the Protection of Vulnerable Groups Scheme ("the PVG Scheme"); a membership scheme for those individuals in regulated work with children or vulnerable adults or those individuals volunteering in such a capacity.</t>
  </si>
  <si>
    <t>Non cash reduction. Capital required to support delivery of Disclosure Scotland Act by 2025</t>
  </si>
  <si>
    <t>Total - Disclosure Scotland</t>
  </si>
  <si>
    <t>Office of Chief Social Work Adviser</t>
  </si>
  <si>
    <t>Scottish Social Services Council Resource</t>
  </si>
  <si>
    <t xml:space="preserve">This funds the SSSC (an SG NDPB) to deliver SG policy on upskilling and regulating the social services workforce. This underpins the prevention agenda by ensuring that people are supported and protected by a high quality and skilled workforce. It also funds postgraduate bursaries and practice learning placements  to support the supply of social workers in Scotland. </t>
  </si>
  <si>
    <t>Small reduction in Capital for leases no longer required.</t>
  </si>
  <si>
    <t>Workforce Development</t>
  </si>
  <si>
    <t>This provides investment in development of the social services workforce in Scotland – in line with the public service reform focus on the workforce.</t>
  </si>
  <si>
    <t>Additional resource to support deliver of £12 ph committment for Childrens Social Care workforce.</t>
  </si>
  <si>
    <t>Total - Office of Chief Social Work Adviser</t>
  </si>
  <si>
    <t>Redress, Relations and Response</t>
  </si>
  <si>
    <t>Scottish Child Abuse Inquiry</t>
  </si>
  <si>
    <t>Supports the governments commitment to fully meet the costs of the Independent Scottish Child Abuse Inquiry.</t>
  </si>
  <si>
    <t>Redress Statutory Scheme Payments</t>
  </si>
  <si>
    <t>Provides financial redress to survivors of historical in-care child abuse.</t>
  </si>
  <si>
    <t>Redress Statutory Scheme Delivery</t>
  </si>
  <si>
    <t>provides delivery of statutory payments and support for survivors during and after their application.</t>
  </si>
  <si>
    <t>Redress Scotland</t>
  </si>
  <si>
    <t>Provides independent assessment of and final decision on applications to the Redress Scheme.</t>
  </si>
  <si>
    <t>minor movement. Capital in 2023/24 for leases no longer required.</t>
  </si>
  <si>
    <t>Total - Redress, Relations and Response</t>
  </si>
  <si>
    <t>Care Experience - Whole Family Wellbeing</t>
  </si>
  <si>
    <t>Improving Lives for People with Care Experience</t>
  </si>
  <si>
    <t>Activity and budget merged into The Promise budget line.</t>
  </si>
  <si>
    <t>Getting it Right for Every Child</t>
  </si>
  <si>
    <t xml:space="preserve">Supports national implementation of GIRFEC approach and practice. </t>
  </si>
  <si>
    <t>The Promise</t>
  </si>
  <si>
    <t>provision of the Promise Fund providing grants to local areas; cost of Promise Scotland; and delivery of Keeping the Promise including development of a Good Childhood</t>
  </si>
  <si>
    <t>Increased budget to support our ongoing committment under our Keeping The Promise Implementation Plan. Operating costs reduction due to workforce efficiencies.</t>
  </si>
  <si>
    <t>Whole Family Wellbeing Funding</t>
  </si>
  <si>
    <t>Funding for local Children's Services Planning Partnerships to develop and scale up preventative holistic family support, and for national activity to support transformation, learning and sharing of good practice.</t>
  </si>
  <si>
    <t>The WFWF allocation has been reviewed to reflect the revised forecast costs for the programme in 2024-25</t>
  </si>
  <si>
    <t>Total - Care Experience - Whole Family Wellbeing</t>
  </si>
  <si>
    <t>Early Learning and Childcare</t>
  </si>
  <si>
    <t>ELC Expansion</t>
  </si>
  <si>
    <t xml:space="preserve">Supports the delivery of early learning and childcare policy to continue implementation of 1140 hours, funding activity that directly supports children and families as well as supporting local authorities in delivery, supporting the training and upskilling of the workforce and supporting sector sustainability. </t>
  </si>
  <si>
    <t xml:space="preserve">Change reflects additional funding to deliver the commitment to pay £12/hour to staff in the private, voluntary and independent sectors who deliver funded early learning and childcare. </t>
  </si>
  <si>
    <t>School Age Childcare</t>
  </si>
  <si>
    <t xml:space="preserve">Invests in the development of year-round school age childcare, targeted to low-income families. </t>
  </si>
  <si>
    <t>SACC programme budget line previously held £21.750m for Holiday Meal Alternative which is now showing as a separate budget line.</t>
  </si>
  <si>
    <t>Holiday Meal Alternative</t>
  </si>
  <si>
    <t>Funds the provision of holiday free school meal alternatives for eligible families.</t>
  </si>
  <si>
    <t>Holiday Meal Alternative now separated from SACC programme budget.</t>
  </si>
  <si>
    <t xml:space="preserve">Total - Early Learning and Childcare </t>
  </si>
  <si>
    <t>Total - Children and Families</t>
  </si>
  <si>
    <t>Higher Education Student Support</t>
  </si>
  <si>
    <t>DEL</t>
  </si>
  <si>
    <t>Student Support and Tuition Fee Payments</t>
  </si>
  <si>
    <t xml:space="preserve">Tuition fee payments to institutions, grants and bursaries to students and funds to higher education institutions to further support students. </t>
  </si>
  <si>
    <t xml:space="preserve">Reduction to budget reflects savings made in 2023-24 and anticipated demand. </t>
  </si>
  <si>
    <t>Student Loan Company Administration Costs</t>
  </si>
  <si>
    <t>The cost of administering Scottish students' loans.</t>
  </si>
  <si>
    <t>Student Loan Interest Subsidy to Bank</t>
  </si>
  <si>
    <t>Cost of interest subsidy to banks for historic loan book.</t>
  </si>
  <si>
    <t>Increase due to higher interest rates and debt maturity.</t>
  </si>
  <si>
    <t>Cost of Providing Student Loans (RAB charge - Non Cash)</t>
  </si>
  <si>
    <t>This is based on the future loan write-offs and interest subsidies.</t>
  </si>
  <si>
    <t>Based on current Economist estimations.</t>
  </si>
  <si>
    <t>Student Awards Agency for Scotland (SAAS) - Operating Costs - Resource</t>
  </si>
  <si>
    <t>Funding of the Student Awards Agency for Scotland including staff, accommodation, IT and administration costs.</t>
  </si>
  <si>
    <t>Reduction in non-cash requirement.</t>
  </si>
  <si>
    <t>Student Awards Agency for Scotland - Operating Costs - Capital</t>
  </si>
  <si>
    <t>Funding of the Student Awards Agency for Scotland's capital projects for administering student support.</t>
  </si>
  <si>
    <t>This figure has increased by £2 million to support digital transformation of SAAS operations.</t>
  </si>
  <si>
    <t>HESS DEL Total</t>
  </si>
  <si>
    <t>Net Student Loans Advanced</t>
  </si>
  <si>
    <t>Student loan advances net of student loan repayments for Scottish domiciled students.  Covers maintenance loans, tuition fee loans for postgraduate students and tuition fee loans for students studying in the rest of the UK.</t>
  </si>
  <si>
    <t>Based on current projections and Bank of England base rate projections</t>
  </si>
  <si>
    <t>Capitalised Interest</t>
  </si>
  <si>
    <t>Capitalised interest on student loans.</t>
  </si>
  <si>
    <t>Capitalised interest is the interest charged on the loan balance and changes as the Bank of England base rates moves</t>
  </si>
  <si>
    <t>Student Loans Fair Value Adjustment</t>
  </si>
  <si>
    <t>Loan valuation adjustment.</t>
  </si>
  <si>
    <t> Student loans are valued at fair value in accordance with IFRS9; the value is determined using a discounted cashflow model and this change reflects the in-year movement.</t>
  </si>
  <si>
    <t>Student Loan Sale Subsidy Impairment Adjustments</t>
  </si>
  <si>
    <t>Sale subsidy adjustment.</t>
  </si>
  <si>
    <t> </t>
  </si>
  <si>
    <t>HESS AME Total</t>
  </si>
  <si>
    <t>Total Higher Education Student Support</t>
  </si>
  <si>
    <t>Scottish Funding Council</t>
  </si>
  <si>
    <t>Scottish Funding Council Administration</t>
  </si>
  <si>
    <t xml:space="preserve">Funding for the staff and operating costs of the Scottish Funding Council (including depreciation). </t>
  </si>
  <si>
    <t>College Operational Expenditure</t>
  </si>
  <si>
    <t>This figure reflects the planned overall gross resource expenditure for the college sector.</t>
  </si>
  <si>
    <t>This figure has reduced, in line with savings made in 2023-24.</t>
  </si>
  <si>
    <t>College Operational Income</t>
  </si>
  <si>
    <t xml:space="preserve">This is the estimated level of income expected to be generated from sources other than SG grant-in-aid. </t>
  </si>
  <si>
    <t>Net College Resource</t>
  </si>
  <si>
    <t>College Not for Profit (NPD) Expenditure</t>
  </si>
  <si>
    <t>This represents funding being made available to cover 2024-25 unitary charge payments for college NPD projects.</t>
  </si>
  <si>
    <t>College Depreciation Costs</t>
  </si>
  <si>
    <t xml:space="preserve">Non-cash budget to cover college depreciation charges. </t>
  </si>
  <si>
    <t>Non cash adjustment</t>
  </si>
  <si>
    <t>College Capital Expenditure</t>
  </si>
  <si>
    <t>This figure reflects the estimated planned overall aggregate capital expenditure for the college sector and includes college estate maintenance costs as well as any new build or refurbishment capital costs.</t>
  </si>
  <si>
    <t>Uplift reflects increase in expenditure on Dunfermline Learning Campus.</t>
  </si>
  <si>
    <t>College Capital Receipts</t>
  </si>
  <si>
    <t>Estimate of college capital receipts.</t>
  </si>
  <si>
    <t>Net College Capital</t>
  </si>
  <si>
    <t>Higher Education Resource</t>
  </si>
  <si>
    <t>Grant-in-aid funding to the Scottish Funding Council for onward allocation to Scotland’s universities to support delivery of core teaching activities.</t>
  </si>
  <si>
    <t>This figure has reduced, in line with savings made in 2023-24 and with additional savings to be made in the HE sector including from reducing first year university places.</t>
  </si>
  <si>
    <t>Higher Education Capital</t>
  </si>
  <si>
    <t xml:space="preserve">Grant-in-aid funding to the Scottish Funding Council for onward allocation to Scotland's universities for research and innovation activity, as well as contributory funding to capital maintenance. </t>
  </si>
  <si>
    <t>This budget includes an increase to HE maintenance funding.</t>
  </si>
  <si>
    <t>Higher Education Financial Transactions (Expenditure)</t>
  </si>
  <si>
    <t>Higher Education Financial Transactions (Income)</t>
  </si>
  <si>
    <t>Total - Scottish Funding Council</t>
  </si>
  <si>
    <t>Lifelong Learning and Skills</t>
  </si>
  <si>
    <t>Lifelong Learning</t>
  </si>
  <si>
    <t>International Activity</t>
  </si>
  <si>
    <t>Funds the management fee for the vocational training theme of ERASMUS+ and other international activity.</t>
  </si>
  <si>
    <t>Reduction reflects savings from 2023-24 and a further reduction in international activity.</t>
  </si>
  <si>
    <t>Student Support &amp; Wellbeing</t>
  </si>
  <si>
    <t xml:space="preserve">Includes funding to support the work of the Commissioner for Fair Access, the Student Support Review, Equally Safe and mental health projects and research or legal costs relating to student support or widening access. </t>
  </si>
  <si>
    <t>Increase to fund commitment to mental health counsellors in AY2023-24.</t>
  </si>
  <si>
    <t>Community Learning &amp; Development</t>
  </si>
  <si>
    <t>Support to key sector strategic partners and to follow-up the Independent Review of CLD</t>
  </si>
  <si>
    <t>Reduction in line with savings made in 2023-24.</t>
  </si>
  <si>
    <t>Reform Programme</t>
  </si>
  <si>
    <t>Funding to support stakeholder engagement on reform of the post-school education system.</t>
  </si>
  <si>
    <t>Qualifications and Accreditation</t>
  </si>
  <si>
    <t xml:space="preserve">Grant funding to the SQA for its work to accredit and validate vocational qualifications and funding for the promotion of the Scottish Credit and Qualifications Framework. </t>
  </si>
  <si>
    <t>Lifelong Learning &amp; Skills Total Operating Costs (TOC)</t>
  </si>
  <si>
    <t>Resource to support delivery of a range of advice and policy work across the Directorate for Lifelong Learning and Skills.</t>
  </si>
  <si>
    <t>Increase to align with the actual operating costs for the Directorate.</t>
  </si>
  <si>
    <t>Total - Lifelong Learning</t>
  </si>
  <si>
    <t>Skills</t>
  </si>
  <si>
    <t>Skills Programmes</t>
  </si>
  <si>
    <t>Grant funding to third sector organisations to support young people, particularly those with vulnerabilities, to make a successful transition to employment, education or training.  Through Developing the Young Workforce, we are committed to ensuring opportunities for work-based learning, work inspiration and mentoring for young people, including those disengaging from school and further from the labour market.</t>
  </si>
  <si>
    <t>This budget is reduced reflecting efficiency savings and budget transfers made in 2023-24 and a scaling back of skills programmes in 2024-25.</t>
  </si>
  <si>
    <t xml:space="preserve">Education Maintenance Allowance </t>
  </si>
  <si>
    <t>EMA provides payments to 16-19 year olds from low-income households to overcome financial barriers to stay in school, college, or accessing employability support provided by their local authority.</t>
  </si>
  <si>
    <t>Reduction in line with demand-led savings made in 2023-24.</t>
  </si>
  <si>
    <t>Total - Skills</t>
  </si>
  <si>
    <t>Skills Development Scotland</t>
  </si>
  <si>
    <t xml:space="preserve">Grant-in-aid funding for SDS to deliver existing and emerging national training interventions, including apprenticeships, delivery of the Scottish Government’s national redundancy service (PACE) and local careers information advice and guidance services.  </t>
  </si>
  <si>
    <t>This budget is reduced on the basis of efficiencies and areas for other targeted savings.</t>
  </si>
  <si>
    <t>Total - Skills Development Scotland</t>
  </si>
  <si>
    <t>Total Lifelong Learning and Skills (level 2)</t>
  </si>
  <si>
    <t>Total Education and Skills</t>
  </si>
  <si>
    <t>Local Government Gaelic Grant</t>
  </si>
  <si>
    <t>Gaelic (LA Resource Specific Grant)</t>
  </si>
  <si>
    <t xml:space="preserve">Provides support to 27 Local Authorities to deliver Gaelic education at all levels - from early years to adult learning. </t>
  </si>
  <si>
    <t xml:space="preserve">Local Government Gaelic Grant </t>
  </si>
  <si>
    <t>Total - Local Government Gaelic Grant</t>
  </si>
  <si>
    <t>Local Government Attainment Grant</t>
  </si>
  <si>
    <t>Raising Attainment (LA Resource Specific Grant)</t>
  </si>
  <si>
    <t>Pupil Equity Funding to be issued directly to headteachers</t>
  </si>
  <si>
    <t xml:space="preserve">Local Government Attainment Grant </t>
  </si>
  <si>
    <t>Total - Local Government Attainment Grant</t>
  </si>
  <si>
    <t>Community Justice</t>
  </si>
  <si>
    <t>Miscellaneous</t>
  </si>
  <si>
    <t>Section 10 Funding</t>
  </si>
  <si>
    <t>Provides funding to support the head office functions of Voluntary Organisations which support the delivery of community-based criminal justice services all of which offer specialist services for offenders and their families; includes organisations such as Apex, Families Outside, Sacro and others - funding is subject to grant allocation process.</t>
  </si>
  <si>
    <t>Funding reprofiled to support wider justice priorities.</t>
  </si>
  <si>
    <t>Total - Miscellaneous</t>
  </si>
  <si>
    <t>Offender Services</t>
  </si>
  <si>
    <t xml:space="preserve">Electronic Monitoring </t>
  </si>
  <si>
    <t>This funding is for the provision of electronic monitoring services and development of the necessary integrated support structures.</t>
  </si>
  <si>
    <t>Intensive Support Packages</t>
  </si>
  <si>
    <t>This pays to support LAs for the provision of Intensive Support Packages for particular offenders.  This is a demand led budget and is by application.</t>
  </si>
  <si>
    <t>Community Justice Scotland</t>
  </si>
  <si>
    <t>This funds the running costs of the national body, Community Justice Scotland, including funding for national training and to support Restorative Justice.</t>
  </si>
  <si>
    <t>Additional funding will support increased running costs.</t>
  </si>
  <si>
    <t>Risk Management Authority</t>
  </si>
  <si>
    <t>Funds the staffing and operations (promoting best practice in the risk assessment and management of offenders) of the RMA.</t>
  </si>
  <si>
    <t>Nationally Commissioned Community Justice Services</t>
  </si>
  <si>
    <t xml:space="preserve">This line includes funding for a range of nationally commissioned Community Justice Services aimed at reducing reoffending, such as: Specialist courts, Prison Visitor Centres, the previous reducing reoffending change fund  and programmes aimed at reducing reoffending. </t>
  </si>
  <si>
    <t>Additional funding  to recognise the FM priority of expansion of community justice services.   </t>
  </si>
  <si>
    <t xml:space="preserve">Community Justice Service and Programme costs </t>
  </si>
  <si>
    <t>This lines covers Community Justice Services and Programme costs including: statutory bail, diversion from prosecution, Home Detention Curfew, Arrest Referral, Caledonian programme etc.</t>
  </si>
  <si>
    <t>Total - Offender Services</t>
  </si>
  <si>
    <t>Total - Community Justice</t>
  </si>
  <si>
    <t xml:space="preserve">Judiciary </t>
  </si>
  <si>
    <t>Judicial Salaries</t>
  </si>
  <si>
    <t>This budget covers the salary costs and Service Awards for Judicial office holders in Scotland.  This function transferred to the SCTS from 1 April 2016 although the overall responsibility for the Consolidated Fund which is where Judicial Salaries are funded from still lies with the SG.</t>
  </si>
  <si>
    <t>Total Judicial Salaries</t>
  </si>
  <si>
    <t>Staff Costs</t>
  </si>
  <si>
    <t xml:space="preserve">This covers costs associated with the Recruitment and Retention Allowance for judicial office holders. It also provides for the salary and superannuation costs of the Lord Lyon, the Lyon Clerk, the Auditor of the Court of Session and members of the Scottish Law Commission. </t>
  </si>
  <si>
    <t>Other Costs</t>
  </si>
  <si>
    <t>This covers a variety of matters including the running costs for the Judicial Appointments Board, any legal costs associated with judicial office holders and other miscellaneous costs related to the judiciary.</t>
  </si>
  <si>
    <t>Court of Lord Lyon</t>
  </si>
  <si>
    <t>This budget covers the running costs of the Court of the Lord Lyon.</t>
  </si>
  <si>
    <t>Lord Lyon Court Receipts</t>
  </si>
  <si>
    <t>This represents income generated by the Court of the Lord Lyon.</t>
  </si>
  <si>
    <t xml:space="preserve">Total - Judiciary </t>
  </si>
  <si>
    <t>Total - Judiciary</t>
  </si>
  <si>
    <t>Criminal Injuries Compensation</t>
  </si>
  <si>
    <t>CIC Scheme</t>
  </si>
  <si>
    <t>CICS payments are the SG contribution to the payouts for claims to the Scheme.</t>
  </si>
  <si>
    <t xml:space="preserve">Additional funding to cover costs of Scottish cases. </t>
  </si>
  <si>
    <t>Administration Costs</t>
  </si>
  <si>
    <t>Payments to CICA are the SG contribution to the running and administration costs of the Authority.</t>
  </si>
  <si>
    <t>Total - Criminal Injuries Compensation</t>
  </si>
  <si>
    <t>Legal Aid</t>
  </si>
  <si>
    <t>Administration</t>
  </si>
  <si>
    <t>This budget covers the staffing, administration and capital costs of the Scottish Legal Aid Board, an executive NDPB.  It also covers costs relating to various matters including researching and analysing the operation of legal aid, as well as the trends and impact on the wider justice system. It also includes a budget allocation to meet the Boards' capital expenditure.</t>
  </si>
  <si>
    <t>Fund</t>
  </si>
  <si>
    <t xml:space="preserve">This budget funds the provision of legal aid in Scotland.  It also enables the Board to: develop a network of Board employed solicitors including the Civil Legal Assistance Offices (CLAO) and the Public Defence Solicitors Office (PDSO) network and administer grant-funded services.  </t>
  </si>
  <si>
    <t>Total - Legal Aid</t>
  </si>
  <si>
    <t>Police Central Government</t>
  </si>
  <si>
    <t>National Police Funding and Reform</t>
  </si>
  <si>
    <t>Other National Funding</t>
  </si>
  <si>
    <t>This budget contributes towards a range of policing-related activities including the emergency services telecommunications systems, Justice Reform Fund, and will support Lord Bracadale's Public Inquiry.</t>
  </si>
  <si>
    <t>Funding reprofiled to support wider policing funding priorities</t>
  </si>
  <si>
    <t>Total - National Police Funding and Reform</t>
  </si>
  <si>
    <t>Police Investigation and Review Commissioner</t>
  </si>
  <si>
    <t>This covers the operating costs and depreciation costs for the Police Investigation and Review Commissioner (PIRC)</t>
  </si>
  <si>
    <t>Total - Police Investigation and Review Commissioner</t>
  </si>
  <si>
    <t>Police Support Services</t>
  </si>
  <si>
    <t>Scottish Crime Campus (Gartcosh)</t>
  </si>
  <si>
    <t xml:space="preserve">This covers the operating costs, depreciation costs and associated income for the Scottish Crime Campus at Gartcosh. </t>
  </si>
  <si>
    <t xml:space="preserve">Increased non-cash requirements. </t>
  </si>
  <si>
    <t>Total - Police Support Services</t>
  </si>
  <si>
    <t>Total - Police Central Government</t>
  </si>
  <si>
    <t>Safer and Stronger Communities</t>
  </si>
  <si>
    <t>Safer Communities</t>
  </si>
  <si>
    <t>Support to a range of projects and initiatives and grants to third sector organisations, and others, as well as staff costs, related to building safer and stronger communities and tackling sectarianism.</t>
  </si>
  <si>
    <t>Total Safer and Stronger Communities (Level 2)</t>
  </si>
  <si>
    <t>Police and Fire Pensions</t>
  </si>
  <si>
    <t>Police Pensions</t>
  </si>
  <si>
    <t>Provides funding to the Scottish Police Authority to meet the pension costs of retired police officers.</t>
  </si>
  <si>
    <t>Additional funding reflects increased estimated cost of the pension scheme.</t>
  </si>
  <si>
    <t>Fire Pensions</t>
  </si>
  <si>
    <t>Provides funding to the Scottish Fire and Rescue Service s to meet the pension costs of retired fire officers.</t>
  </si>
  <si>
    <t>Total - Police and Fire Pensions</t>
  </si>
  <si>
    <t>Scottish Prison Service</t>
  </si>
  <si>
    <t>Operating Expenditure</t>
  </si>
  <si>
    <t>Provides funding to cover expenditure associated with operating the prison system (both publicly and privately managed prisons) and the provision of a Custody Court and Prisoner Escorting Service on behalf of Scottish Courts, Police Scotland and the wider justice systems.</t>
  </si>
  <si>
    <t>Capital Expenditure</t>
  </si>
  <si>
    <t>Provides funding to cover expenditure associated with managing the Scottish Prison Service’s capital programme.</t>
  </si>
  <si>
    <t>Additional capital to support the funding for HMP Highland and Glasgow estate priorities</t>
  </si>
  <si>
    <t>Total Scottish Prison Service (Level 2)</t>
  </si>
  <si>
    <t>Other Miscellaneous</t>
  </si>
  <si>
    <t>Justice Analytical Work</t>
  </si>
  <si>
    <t xml:space="preserve">Justice Analytical Services annual programme of research and analysis including the flagship Scottish Crime and Justice Survey </t>
  </si>
  <si>
    <t>Additional resource to support the Scottish Crime and Justice Survey.</t>
  </si>
  <si>
    <t>Parole Board</t>
  </si>
  <si>
    <t>Staffing and operations of the Parole Board and the delivery of reform in terms of Parole Board itself.</t>
  </si>
  <si>
    <t>Justice Transformation</t>
  </si>
  <si>
    <t xml:space="preserve">Funds cross-justice IT projects and a variety of justice change programmes, </t>
  </si>
  <si>
    <t>HM Inspectorate of Prisons</t>
  </si>
  <si>
    <t>The operational costs of HM Inspectorate of Prisons for Scotland including costs relating to the arrangements for Independent Prison Monitoring.</t>
  </si>
  <si>
    <t>Scottish Criminal Cases Review Commission</t>
  </si>
  <si>
    <t>Funds the Scottish Criminal Cases Review Commission - an independent public body which reviews cases where it is alleged that a miscarriage of justice in relation to either conviction or sentence has occurred.</t>
  </si>
  <si>
    <t>Justice Other</t>
  </si>
  <si>
    <t>This budget covers a range of miscellaneous activity across the justice portfolio</t>
  </si>
  <si>
    <t>Scottish Law Commission</t>
  </si>
  <si>
    <t>Funds the Scottish Law Commission. The Commission recommends reforms to improve, simplify and update the law of Scotland</t>
  </si>
  <si>
    <t>UK Supreme Court</t>
  </si>
  <si>
    <t>This budget covers the SG contribution towards the costs of the UK Supreme Court.</t>
  </si>
  <si>
    <t>Ministerial Policy Development and Support</t>
  </si>
  <si>
    <t xml:space="preserve">Operational costs relating to Ministerial policy development and support. </t>
  </si>
  <si>
    <t>COPFS Inspectorate</t>
  </si>
  <si>
    <t>Operational Costs for the Inspectorate of Prosecution in Scotland.</t>
  </si>
  <si>
    <t xml:space="preserve">Recovery, Renewal and Transformation Fund </t>
  </si>
  <si>
    <t>Additional resources allocated to recovery, renewal and transformation activity across the justice system to continue to emerge from the pandemic.</t>
  </si>
  <si>
    <t>Reduction reflects reduced need for COVID related costs and baselining of expenditure.</t>
  </si>
  <si>
    <t xml:space="preserve">Total - Recovery, Renewal and Transformation Fund </t>
  </si>
  <si>
    <t>Safe &amp; Secure Scotland</t>
  </si>
  <si>
    <t>Security, Safeguarding, Organised Crime and Veterans</t>
  </si>
  <si>
    <t>Contributing to a safe and secure Scotland by supporting effective government to ensure we have the capacity to tackle threats posed by EU exit, terrorism and organised crime.  Support for the Armed Forces and veterans community in Scotland.</t>
  </si>
  <si>
    <t xml:space="preserve">HMICS </t>
  </si>
  <si>
    <t>Operational costs for HM Inspectorate of Constabulary for Scotland.</t>
  </si>
  <si>
    <t>HMFSI - Salaries and training</t>
  </si>
  <si>
    <t>Operational costs for HM Chief Inspector of Fire and Rescue Services for Scotland.</t>
  </si>
  <si>
    <t>Veterans</t>
  </si>
  <si>
    <t xml:space="preserve">Scottish Veterans Fund and the administration of the fund by Veterans Scotland, Capacity Building Grant for Veterans Scotland and supports Ministerial input to Commemorations. </t>
  </si>
  <si>
    <t xml:space="preserve">Funding reprofiled to reflect a marketing campaign which concluded in 2023-24 and to support wider priorities. </t>
  </si>
  <si>
    <t>Scottish Veterans Commissioner's Office</t>
  </si>
  <si>
    <t>Costs for Scottish Veterans Commissioner's Office</t>
  </si>
  <si>
    <t>Victim/Witness Support</t>
  </si>
  <si>
    <t>Support for Victims and Witnesses</t>
  </si>
  <si>
    <t>Funding to support a range of initiatives to better support victims and witnesses, including funding for the statutory Appropriate Adult scheme and delivery of the Restorative Justice Action Plan and the Trafficking and Exploitation Strategy. Also activity in support of justice elements of the Equally Safe strategy, to continue the First Minister's commitment to support violence against women justice priorities and work relating to support for children and vulnerable witnesses.</t>
  </si>
  <si>
    <t>Increase in funding to support victim &amp; witnesses  of crime.</t>
  </si>
  <si>
    <t>Total Miscellaneous</t>
  </si>
  <si>
    <t>Scottish Police Authority</t>
  </si>
  <si>
    <t>Resource</t>
  </si>
  <si>
    <t>This budget funds the resource elements of the Scottish Police Authority and through it, Police Scotland.</t>
  </si>
  <si>
    <t>Capital</t>
  </si>
  <si>
    <t>This budget funds the capital elements of the Scottish Police Authority and through it, Police Scotland.</t>
  </si>
  <si>
    <t>Additional capital to support capital plans.</t>
  </si>
  <si>
    <t>Total - Scottish Police Authority</t>
  </si>
  <si>
    <t>Scottish Fire and Rescue Service</t>
  </si>
  <si>
    <t xml:space="preserve">Resource  </t>
  </si>
  <si>
    <t>This budget funds the resource element of the Scottish Fire and Rescue Service.</t>
  </si>
  <si>
    <t xml:space="preserve">Capital  </t>
  </si>
  <si>
    <t xml:space="preserve">This budget funds the capital element of the Scottish Fire and Rescue Service. </t>
  </si>
  <si>
    <t>Total Scottish Fire and Rescue Service (Level 2)</t>
  </si>
  <si>
    <t>Scottish Courts and Tribunals Service</t>
  </si>
  <si>
    <t>Operating</t>
  </si>
  <si>
    <t xml:space="preserve">General running costs including staffing; fees for Tribunal Members; Judicial costs; accommodation and maintenance; other operational costs. </t>
  </si>
  <si>
    <t xml:space="preserve">Capital </t>
  </si>
  <si>
    <t>Maintain the estate to a standard sufficient to meet service level requirements and all other statutory requirements. Provide the necessary IT infrastructure.</t>
  </si>
  <si>
    <t>Total Scottish Courts and Tribunals Service</t>
  </si>
  <si>
    <t>TOTAL - JUSTICE</t>
  </si>
  <si>
    <t>Criminal Justice Social Work</t>
  </si>
  <si>
    <t>Total Central Government Grants to Local Authorities</t>
  </si>
  <si>
    <t>Offshore Wind Supply Chain</t>
  </si>
  <si>
    <t>Offshore Wind</t>
  </si>
  <si>
    <t xml:space="preserve">To support offshore wind supply chain to leverage private investment in ports, manufacturing and assembly work to support major supply chain opportunities to Scotland.   </t>
  </si>
  <si>
    <t xml:space="preserve">This Budget provides investment of £66.9m to kickstart our commitment of up to £500m to anchor a new offshore wind supply chain in Scotland. Alongside the deployment of £20m of funding already committed to support offshore wind via our Enterprise Agencies and SNIB, this brings the total support for offshore wind in 2024/25 to £87m. </t>
  </si>
  <si>
    <t>Offshore Wind FT Expenditure</t>
  </si>
  <si>
    <t xml:space="preserve">Offshore Wind FT Income </t>
  </si>
  <si>
    <t>Total - Offshore Wind Supply Chain</t>
  </si>
  <si>
    <t>Energy Transitions</t>
  </si>
  <si>
    <t>Energy</t>
  </si>
  <si>
    <t>Energy - Energy Industries</t>
  </si>
  <si>
    <t>The energy industries budget supports the transition to a net zero Scotland by promoting industrial decarbonisation across the economy, reducing energy costs and emissions through the Scottish Industrial Energy Transformation Fund; encourages innovation in the development of hydrogen as an energy source through the Hydrogen Innovation Scheme; continues our commitment to support businesses in the North East of Scotland grow and diversify via the Energy Transition Fund; and will support early stage investment in Carbon Capture and Storage and Hydrogen. Includes support for Wave Energy Scotland.</t>
  </si>
  <si>
    <t>Reduction relates to lower capital allocation to schemes reflecting a revised profiling of programmes.  The budget allows the continuation of the 4 main Energy Transition Fund projects and SIETF - a technology-neutral grant fund that supports commercial roll-out and permanent site installations of energy efficiency &amp; decarbonisation technologies.</t>
  </si>
  <si>
    <t>Onshore Electricity, Strategy and Consents</t>
  </si>
  <si>
    <t xml:space="preserve">Energy Consents Unit processes applications for onshore wind farms, battery storage and other energy related projects. </t>
  </si>
  <si>
    <t>No movement</t>
  </si>
  <si>
    <t>Total - Energy</t>
  </si>
  <si>
    <t>CARES Recovery</t>
  </si>
  <si>
    <t>CARES Recovery - Resource</t>
  </si>
  <si>
    <t>See below</t>
  </si>
  <si>
    <t>No significant movement - minor increase</t>
  </si>
  <si>
    <t>CARES Recovery - Capital</t>
  </si>
  <si>
    <t xml:space="preserve">CARES supports communities across Scotland to develop local community energy projects.
To date, CARES has advised over 1,000 organisations, offered funding of over £61 million to over 800 projects throughout Scotland, and helped support the direct installation of 58.6 MW of renewable energy. This has included community owned wind and hydro, decarbonising community buildings, installing solar PV on faith buildings, developing community action plans, innovation studies, and helping local communities invest in commercial renewable energy projects.
</t>
  </si>
  <si>
    <t>Although the capital funding has been reduced, the reduction partly reflects the off-grid fund (£2m) due to end after 2023/24.</t>
  </si>
  <si>
    <t>Total - CARES Recovery</t>
  </si>
  <si>
    <t>Total - Energy Transitions</t>
  </si>
  <si>
    <t>Digital</t>
  </si>
  <si>
    <t>Digital Connectivity</t>
  </si>
  <si>
    <t>Connectivity - Capital</t>
  </si>
  <si>
    <t>This forms part of a £600 million+ public investment in the R100 broadband programme - encompassing three contracts with BT and a demand-led voucher scheme, all of which are now in deployment.</t>
  </si>
  <si>
    <t>This budget is boosting investment in digital connectivity from £93 million to £140 million (an increase of almost £47m), delivering critical infrastructure for a green and growing economy. This includes connecting over 114,000 homes and businesses through the R100 broadband programme, extending the fibre backbone that will enable Scotland’s businesses to grow and support our ambitions for Scotland to become a green data hosting location.</t>
  </si>
  <si>
    <t>Connectivity - Resource</t>
  </si>
  <si>
    <t xml:space="preserve">This budget supports delivery of Ministers' digital connectivity policy priorities.  It provides for staff and programme support costs – those developing and delivering policy and supporting the delivery of flagship digital infrastructure projects such as R100 - and will be used in conjunction with capital funds. </t>
  </si>
  <si>
    <t>Small increase reflecting support of capital programme</t>
  </si>
  <si>
    <t>Total - Digital Connectivity</t>
  </si>
  <si>
    <t>Digital Economy</t>
  </si>
  <si>
    <t>Digital Economy - Resource</t>
  </si>
  <si>
    <t xml:space="preserve">£1m budget re-purposed in 2023-24 primarily to support delivery of Techscalers. </t>
  </si>
  <si>
    <t>Digital Growth Fund Financial Transactions (Expenditure)</t>
  </si>
  <si>
    <t>The scheme completed in 2022-23</t>
  </si>
  <si>
    <t>Digital Growth Fund Financial Transactions (Income)</t>
  </si>
  <si>
    <t>Income in relation to loan repayments and investment realisations.</t>
  </si>
  <si>
    <t>Total - Digital Economy</t>
  </si>
  <si>
    <t>Digital Strategy</t>
  </si>
  <si>
    <t>Digital infrastructure is part of Scotland’s critical national infrastructure, whilst the adoption of technology and the success of our tech sector is central to Scotland’s economic and societal resilience. This includes delivering on key programmes which will transform government, create a world class tech ecosystem and drive digital inclusion that will enable everybody to have the opportunity of benefiting from digital technology and ensure that investments are innovative, cost effective and integrated across the public sector.</t>
  </si>
  <si>
    <t>Reflects almost £8m increase to support deliver a new framework for digital service transformation, enabling the delivery of quality digital public services that are predictable and seamless for the user.  Also includes £3.3m cross portfolio transfer from Directorate for Safer Communities to Directorate for Digital (Digital Strategy) to cover Cyber Resilience Unit staff and programme costs.  This funding supports our public services reform ambitions.  Digital is a key enabler of public service reform but needs to be taken forward with a higher level of integration than is currently in place across the Scottish Public Sector.</t>
  </si>
  <si>
    <t>Total - Digital Strategy</t>
  </si>
  <si>
    <t>Total - Digital</t>
  </si>
  <si>
    <t>Employability</t>
  </si>
  <si>
    <t>Employability and Workforce Skills</t>
  </si>
  <si>
    <t xml:space="preserve">This budget represents a continuation of investment in all-age devolved employability services delivered through our No One Left Behind approach. This includes parental employability support in line with the Government's commitment to eradicate child poverty.  
These services provide place-based, person-centred support for participants on a voluntary basis, with a focus on groups we know face continued structural barriers to employment, including disabled people and those with long term health conditions. </t>
  </si>
  <si>
    <t xml:space="preserve">Decisions on employability funding has been taken with the primary aim of protecting investment in front line services. Despite the overall reduction seen compared to 2023-24 we have been able to protect levels of grant funding made available to Local Employability Partnerships.                                                                                              As set out in the most recent Tackling Child Poverty Annual Delivery Report, financial constraints have meant to additional activity such as Challenge Funds and every contact counts pledge will not be take forward.  The principles of innovation which underpinned these commitments will instead be explored through the wider systemin transformation being taken forward by our No One Left Behind approach.  </t>
  </si>
  <si>
    <t>Employability-Fair Start Scotland</t>
  </si>
  <si>
    <t>This budget representes the delivery tail of Fair Start Scotland services, which closes to new referrals in March 2024. Support for those who have already started on the service will continue, with this amount contractually committed to cover outcomes achieved as a result of this delivery tail. Support for people who would have accessed FSS support will now be delivered through the No One Left Behind approach</t>
  </si>
  <si>
    <t>Reflects FSS is closing to new referrals in March 2024 (see above)</t>
  </si>
  <si>
    <t xml:space="preserve">Fair Work and Labour Strategy </t>
  </si>
  <si>
    <t>This budget represents a substantial continuing investment to support the promotion of fair work across the economy, resourcing the Fair Work Convention, and support for trade unions and Union Learning</t>
  </si>
  <si>
    <t>Reduction in resource reflects planned closure of the Workplace Equality Fund and Disability Public Social Partnership, retirement of the Scottish Business Pledge and decisions not to start the Centre for Workplace Transformation or private sector 4 day week pilots.</t>
  </si>
  <si>
    <t xml:space="preserve">Young Person's Guarantee, Employability and Skills </t>
  </si>
  <si>
    <t>Total - Employability</t>
  </si>
  <si>
    <t xml:space="preserve">Total - Employability </t>
  </si>
  <si>
    <t>Enterprise, Trade and Investment</t>
  </si>
  <si>
    <t>Enterprise</t>
  </si>
  <si>
    <t>Business Economic Network Support</t>
  </si>
  <si>
    <t xml:space="preserve">Minor programme - Fund reallocated across mainstream programmes in 2023-24 Budget. </t>
  </si>
  <si>
    <t>Industrial Transformation</t>
  </si>
  <si>
    <t>Supports funding across a number of areas including Fraunhofer, Green Freeports, support for Clyde Mission and Productivity Clubs.  (Previously supported NMIS but now complete)</t>
  </si>
  <si>
    <t>To meet existing commitments</t>
  </si>
  <si>
    <t>ESF Programme Operation</t>
  </si>
  <si>
    <t xml:space="preserve">This funding is to cover the support costs of European Structural Funds (ESF) programmes.  It includes an accounting provision if the amount we are able to reclaim on a unit basis is short of the amount paid out by the Scottish Government.    </t>
  </si>
  <si>
    <t>The budget reduction reflects the winding down of the European Structural Funds schemes with the last claim due to be submitted to EU in July 2024.</t>
  </si>
  <si>
    <t>Self-Isolation Support Grants</t>
  </si>
  <si>
    <t>Scheme ended</t>
  </si>
  <si>
    <t>Total - Enterprise</t>
  </si>
  <si>
    <t>Scottish Enterprise</t>
  </si>
  <si>
    <t>Scottish Enterprise (resource)</t>
  </si>
  <si>
    <t xml:space="preserve">Scottish Enterprise is Scotland's national development agency. Scottish Enterprise’s budget will support its work to improve business and community resilience, protect and create jobs and help deliver an economic recovery that is fair, sustainable and green. It will also support its work to increase the value of Scottish exports and attract new international investment to Scotland. </t>
  </si>
  <si>
    <t>Reflects 5% reform efficiencies as part of the wider public sector reform agenda and includes IFRS adjustments.  IFRS 16 is embedded into the Scottish Budget for the first time.  The impact on resource funding reflects the reduced resource requirement in respect of these leases now these are capitlised, however, this is mostly offset by the depreciation (non-cash) treatment in budgetarty terms)</t>
  </si>
  <si>
    <t>Scottish Enterprise (capital)</t>
  </si>
  <si>
    <t xml:space="preserve">The capital budget will support relevant elements of the activities described above. </t>
  </si>
  <si>
    <t>The overall level  of enterprise agencies capital budget is maintained at the exisitng spending review capital plans, although the share between Enterpise Agencies differs as additional funing is provided to SE in recgnition of the reduction to their FT allocation</t>
  </si>
  <si>
    <t>Scottish Enterprise (non-cash)</t>
  </si>
  <si>
    <t>For depreciation of Scottish Enterprise’s assets, including its estate.</t>
  </si>
  <si>
    <t>Scottish Enterprise Financial Transactions (Expenditure)</t>
  </si>
  <si>
    <t>Financial transactions funding can be used for loans and equity investment to the general public, third sector or private sector organisations that are not in the public sector. The expenditure reflects the gross FT spending power of Scottish Enterprise.</t>
  </si>
  <si>
    <t>Budget reduction reflects fall in wider Financial Transaction allocations to the Scottish Government (with funding prioritised to support Scottish National Investment Bank).  Scottish Enterprise will continue to have £27.4m FTs to support its early-stage investment activity in 2024-25.</t>
  </si>
  <si>
    <t>Scottish Enterprise Financial Transactions (Income)</t>
  </si>
  <si>
    <t>Total - Scottish Enterprise</t>
  </si>
  <si>
    <t>Highlands and Islands Enterprise</t>
  </si>
  <si>
    <t>Highlands and Islands Enterprise (resource)</t>
  </si>
  <si>
    <t xml:space="preserve">Highlands and Islands Enterprise (HIE) is the Scottish Government's economic development agency for the Highlands and Islands. HIE’s budget will support its work to improve business and community resilience, protect and create jobs and help deliver an economic recovery that is fair, sustainable and green. </t>
  </si>
  <si>
    <t>Highlands and Islands Enterprise (capital)</t>
  </si>
  <si>
    <t xml:space="preserve">The capital budget will support relevant elements of the activities described above, including capital projects. </t>
  </si>
  <si>
    <t>Highlands and Islands Enterprise FT's (Expenditure)</t>
  </si>
  <si>
    <t>Highlands and Islands Enterprise FT's (Income)</t>
  </si>
  <si>
    <t>Highlands and Islands Enterprise (non-cash)</t>
  </si>
  <si>
    <t>For depreciation of Highlands and Islands Enterprise’s assets, including its estate.</t>
  </si>
  <si>
    <t>Reflects IFRS 16 adjustments</t>
  </si>
  <si>
    <t>Other</t>
  </si>
  <si>
    <t>Total - Highlands and Islands Enterprise</t>
  </si>
  <si>
    <t>Innovation and Industries</t>
  </si>
  <si>
    <t>Low Carbon Economy</t>
  </si>
  <si>
    <t xml:space="preserve">This programme flows from the outcome of the Capital Spending Review with a focus on supporting our low carbon economy ambitions.  It includes Green Jobs Fund (Supply Chain Development) and Clyde Mission Low Carbon Heating.  </t>
  </si>
  <si>
    <t>No spend anticipated in 2024-25. The Clyde Mission masterplan is underway with capital spend not expected until 2025-26 and due to budget constraints the Low Carbon Manufacturing Challenge Fund is currently not funded.</t>
  </si>
  <si>
    <t>This budget will contribute towards the Scottish Government’s ambition to establish Scotland as a top performing start-up economy by cultivating a culture of innovation, high growth entrepreneurship and a sense global ambition amongst Scotland's innovators and early stage businesses.</t>
  </si>
  <si>
    <t>Budget includes £9m to expand our Techscaler programme, supporting Scotland’s best start-ups with world-class mentoring and commercial education. It also prioritises the implementation of the Ana Stewart and Mark Logan ‘Pathways’ recommendations, through some initial funding (£1.5m) in 24/25 to begin helping more women to start and scale businesses.</t>
  </si>
  <si>
    <t>International Trade and Investment</t>
  </si>
  <si>
    <t>The budget is focused on the further internationalisation of the Scottish economy through the delivery of our three main economic plans for Inward Investment, Trade and Capital. Together, these ensure that we take advantage of the opportunities stemming from the energy transition. It supports the sustained growth of international exports, identifying and capitalising on new market opportunities and attracting more inward investment in Scotland’s key sectors. It also delivers the missions of The Scottish National Investment Bank to act as an investor, making commercial investments and crowding in private capital to deliver impact across industry, business and the wider economy. The actions in these plans are targeted towards growing Scotland's economy through enhancing our export performance, crowding-in private sector investment and creating jobs through inward investment, resulting in higher wages, enhanced productivity and higher levels of business innovation throughout the economy.</t>
  </si>
  <si>
    <t>The budget will support our Export and Inward Investment Plans in 2024-25, and allows us to fund key targeted activity. lect current spend profiles</t>
  </si>
  <si>
    <t>Other Support Financial Transactions (Expenditure)</t>
  </si>
  <si>
    <t>To support Scottish Growth Scheme investment</t>
  </si>
  <si>
    <t>Other Support Financial Transactions (Income)</t>
  </si>
  <si>
    <t>Reflects updated income forecasts from investment activity for the new financial year.</t>
  </si>
  <si>
    <t>Total - Innovation and Industries</t>
  </si>
  <si>
    <t>South of Scotland Enterprise</t>
  </si>
  <si>
    <t xml:space="preserve">South of Scotland Enterprise (SOSE) is the Scottish Government's economic development agency for the South of Scotland. SOSE’s budget will support its work to improve business and community resilience, protect and create jobs and help deliver an economic recovery that is fair, sustainable and green. </t>
  </si>
  <si>
    <t xml:space="preserve">We have prioritised funding for the enterprise agencies to the extent possible.Budget reflects 5% reform efficiencies as part of the wider public sector reform agenda and includes IFRS adjustments.  (IFRS 16 is embedded into the Scottish Budget for the first time.  The impact on resource funding reflects the reduced resource requirement in respect of these leases now these are capitalised, however, this is mostly offset by the depreciation (non-cash) treatment in budgetary terms).  The overall level of enterprise agencies capital budget is maintained at the existing capital spending review plans, although the share differs to reflect the level of legal commitments across EAS.  We have prioritised funding for the enterprise agencies to the extent possible. </t>
  </si>
  <si>
    <t>South of Scotland Enterprise FT income</t>
  </si>
  <si>
    <t>Total - South of Scotland Enterprise</t>
  </si>
  <si>
    <t>Total - Enterprise, Trade and Investment</t>
  </si>
  <si>
    <t>Economic and Scientific Advice</t>
  </si>
  <si>
    <t>Economic Strategy</t>
  </si>
  <si>
    <t xml:space="preserve">1. National Strategy for Economic Transformation and Business and Better Regulation </t>
  </si>
  <si>
    <t>Total - Economic Strategy</t>
  </si>
  <si>
    <t>Science Engagement and Advice</t>
  </si>
  <si>
    <t xml:space="preserve">This supports commitments within the STEM Strategy, including grant funding for Scotland's four science centres (including funds to support running costs and widening access), grants to science festivals and other public science engagement initiatives that support STEM learning and literacy for all ages, as well as running and project costs for the Scottish Science Advisory Council, which supports the Chief Scientific Adviser for Scotland in providing science advice across the Scottish Government. </t>
  </si>
  <si>
    <t>Total Science Engagement and Advice</t>
  </si>
  <si>
    <t>Office of the Chief Economic Adviser</t>
  </si>
  <si>
    <t>Procurement of data and specific technical assistance to strengthen understanding of key developments in the economy and public finances and support statutory functions around the publication of official statistics. Helps improve the advice and support provided to the First Minister and Cabinet Secretary for Finance, Constitution and Economy. It does this by the procurement of data (a significant part of the budget buys survey data that feeds employment/unemployment figures for Scotland). The budget helps maintain an analytical infrastructure to support statisticians around Scottish Government and across the 20 or so producers of official statistics in Scotland, providing efficiencies through doing things once across Scotland. It provides specific technical assistance to strengthen understanding of key developments (currently focussed on the economy and public finances).</t>
  </si>
  <si>
    <t>Minor movement</t>
  </si>
  <si>
    <t>Total Office of the Chief Economic Adviser</t>
  </si>
  <si>
    <t>Total - Economic and Scientific Advice</t>
  </si>
  <si>
    <t>Scottish National Investment Bank</t>
  </si>
  <si>
    <t>This budget reflects operating costs of the Scottish National Investment Bank which will be made available as part of grant-in-aid.</t>
  </si>
  <si>
    <t>Reduction refelcts the Bank moving nearer to a self funding model</t>
  </si>
  <si>
    <t>Scottish National Investment Bank Financial Transactions (Expenditure)</t>
  </si>
  <si>
    <t>This budget will be invested by the Scottish National Investment Bank</t>
  </si>
  <si>
    <t xml:space="preserve">The overall allocation of Financial Transactions (FTs) to the Scottish Government reduces to £176m in 2024-25.  Given the  commitment to provide £2 billion over 10 years to support the capitalisation of the Scottish National Investment Bank (SNIB) and the important role it plays FT funding to SNIB was prioritised.  </t>
  </si>
  <si>
    <t>SNIB Financial Transactions (Income)</t>
  </si>
  <si>
    <t>Income in relation to repayment of initial Scottish National Investment Bank investments.</t>
  </si>
  <si>
    <t>Income from investments is variable year on year</t>
  </si>
  <si>
    <t>Total - Scottish National Investment Bank</t>
  </si>
  <si>
    <t>Cities Investment Strategy</t>
  </si>
  <si>
    <t>Cities Investment and Strategy</t>
  </si>
  <si>
    <t>The Cities Investment &amp; Strategy budget funds current activity related to City Region and Growth Deals that have been agreed and makes provision for future deals. This continues the 20 year Scottish Government commitment to the extensive infrastructure investment programme that aims to drive economic growth across the regions and secure benefits for all in Scotland.  The budget also funds a contribution to the Scottish Cities Alliance and other regional investment.</t>
  </si>
  <si>
    <t>Small movement in 2024-25 due to chhanging spend profiles of programmes/projects, however, this allocation meets values committed to each Deal Tripartite agreement and the total Government investment in each deal remains unchanged.</t>
  </si>
  <si>
    <t>Total - Cities Investment and Strategy</t>
  </si>
  <si>
    <t>Growth Accelerator</t>
  </si>
  <si>
    <t>Supports Growth Accelerators in Edinburgh City Centre, Dundee Waterfront and Stornoway Deep Water  - which combine public and private investment to transform cities and regions.</t>
  </si>
  <si>
    <t>Reflects legal commitments</t>
  </si>
  <si>
    <t>Total - Growth Accelerator</t>
  </si>
  <si>
    <t>Total - Cities Investment Strategy</t>
  </si>
  <si>
    <t>Ferguson Marine</t>
  </si>
  <si>
    <t>Support for Ferguson Marine to improve business processes and outcomes and to complete the build out of Vessels 801 and 802.</t>
  </si>
  <si>
    <t>Total - Ferguson Marine</t>
  </si>
  <si>
    <t>Tourism</t>
  </si>
  <si>
    <t>VisitScotland (Resource)</t>
  </si>
  <si>
    <t>To deliver high profile tourism marketing campaigns overseas and in the UK and a portfolio of national events that continue to grow sustainable tourism across Scotland.</t>
  </si>
  <si>
    <t>VisitScotland (Capital)</t>
  </si>
  <si>
    <t>For refurbishments to VisitScotland's estate, investment in VisitScotland's digital strategy and ICT resources and funding for the Rural Tourism Infrastructure Fund.  </t>
  </si>
  <si>
    <t>Refects a reduction in the funding available for the Rural Tourism Infrastructure Fund.</t>
  </si>
  <si>
    <t>VisitScotland (Non Cash)</t>
  </si>
  <si>
    <t>For depreciation of VisitScotland's assets, including its estate.</t>
  </si>
  <si>
    <t>Tourism special projects</t>
  </si>
  <si>
    <t>This supports a range of tourism related activities and events plus general tourism policy development.</t>
  </si>
  <si>
    <t>Increase to reflect additional funding to support Inverness Castle</t>
  </si>
  <si>
    <t>Total - Tourism</t>
  </si>
  <si>
    <t>Energy Efficiency and Decarbonisation</t>
  </si>
  <si>
    <t>Operating Costs</t>
  </si>
  <si>
    <t>This spend relates to staff costs</t>
  </si>
  <si>
    <t xml:space="preserve">Reflects realignment of staff pay </t>
  </si>
  <si>
    <t xml:space="preserve">This budget supports progress towards our climate change targets and aligns with the proposals in the recent consultations on a Heat in Buildings Bill and Social Housing Net Zero Standard.  It funds support for households and buildings to install energy efficiency measures and clean heating systems across domestic (private and social housing), non-domestic and public sectors; development of heat network regulations and legislation and funding to support investment in heat networks; provision of programmes of advice and support to encourage the continued uptake of energy efficiency and clean heating.  </t>
  </si>
  <si>
    <t>Increase relates to additional capital allocations to support the commitment to provide £1.8 billion of funding for Heat in Buildings.</t>
  </si>
  <si>
    <t>Energy Efficiency and Decarbonisation Financial Transactions</t>
  </si>
  <si>
    <t>The Scottish Government will look to maximise the opportunity for Financial Transactions for key loan schemes that fund installation of energy efficiency measures and clean heating.</t>
  </si>
  <si>
    <t>Reduction in Financial Transactions budget included in this line for 2024-25, reflects fall in wider Financial Transactions allocations to the Scottish Government from the UK Government.</t>
  </si>
  <si>
    <t>Energy Efficiency and Decarbonisation Financial Transactions (Income)</t>
  </si>
  <si>
    <t>Repayment of previous energy efficiency and clean heating loans.</t>
  </si>
  <si>
    <t>Increase in Financial Transactions income budget for 2024-25 based on increase in loans provided in previous years.</t>
  </si>
  <si>
    <t>Total - Energy Efficiency and Decarbonisation</t>
  </si>
  <si>
    <t>Environmental Services</t>
  </si>
  <si>
    <t>National Parks</t>
  </si>
  <si>
    <t>LL&amp;TT  NPA  Capital</t>
  </si>
  <si>
    <t>Capital expenditure on infrastructure assets.</t>
  </si>
  <si>
    <t>In line with capital spending plans to deliver Park Strategic Plan.</t>
  </si>
  <si>
    <t>LL&amp;TT NPA Resource - Staff Costs</t>
  </si>
  <si>
    <t>Staff costs for Loch Lomond and The Trossachs National Park Authority.</t>
  </si>
  <si>
    <t>Budget uplift in response to increased staff costs, including impact of prior years pay award.</t>
  </si>
  <si>
    <t>LL&amp;TT NPA Resource - Depreciation</t>
  </si>
  <si>
    <t>Charges relating to depreciation of capital items.</t>
  </si>
  <si>
    <t>Technical accounting change.</t>
  </si>
  <si>
    <t>LL&amp;TT NPA Resource - Other</t>
  </si>
  <si>
    <t>Programme and other Operating expenditure for delivery of Loch Lomond and The Trossachs National Park Partnership Plan (NPPP).</t>
  </si>
  <si>
    <t>Minor budget adjustment following review of spending plans.</t>
  </si>
  <si>
    <t>Cairngorms NPA Capital</t>
  </si>
  <si>
    <t>Increased investment to deliver the Park Strategic Plan.</t>
  </si>
  <si>
    <t>Cairngorms NPA Resource - Staff Costs</t>
  </si>
  <si>
    <t>Staff costs for Cairngorms National Park Authority.</t>
  </si>
  <si>
    <t>Budget uplift in response to increased staff costs including impact of prior years pay award.</t>
  </si>
  <si>
    <t>Cairngorms NPA Resource -Depreciation</t>
  </si>
  <si>
    <t>Cairngorms NPA Resource - Other</t>
  </si>
  <si>
    <t>Programme and other operating expenditure for delivery of Cairngorms National Park Partnership Plan (NPPP).</t>
  </si>
  <si>
    <t>Total - National Parks</t>
  </si>
  <si>
    <t>Environmental Quality</t>
  </si>
  <si>
    <t xml:space="preserve">Noise and Air Quality Action </t>
  </si>
  <si>
    <t>Policy development and implementation to support air quality, including maintenance, servicing and upgrading of local authority air quality monitors in the Scottish monitoring network, and associated services including data analysis and modelling. Production of Scottish noise maps.</t>
  </si>
  <si>
    <t>Water Environment</t>
  </si>
  <si>
    <t>Action to protect and improve Scotland’s water environment for the benefit of people, wildlife and the economy. This also includes Divisional staff costs.</t>
  </si>
  <si>
    <t>Adjustment from Flood Risk Management, as staff costs for Environmental Quality consolidated into single budget line.</t>
  </si>
  <si>
    <t>Flood Risk Management</t>
  </si>
  <si>
    <t xml:space="preserve">Flooding policy development, promotion of best practice and support for actions to raise awareness and increase community and household resilience to the devastating impact of flooding and coastal change.  </t>
  </si>
  <si>
    <t>Staff costs for Environmental Quality now consolidated into single budget line. Staff costs formerly in this budget line, now moved to Water Environment.</t>
  </si>
  <si>
    <t>Total - Environmental Quality</t>
  </si>
  <si>
    <t>Nature Restoration</t>
  </si>
  <si>
    <t>Policy development and implementation to manage and restore Scotland's biodiversity and landscapes, including provision of the Nature Restoration Fund and continued commitment to the Central Scotland Green Network.</t>
  </si>
  <si>
    <t>Continued investment in nature and to deliver Scotland's Biodiversity Strategy.</t>
  </si>
  <si>
    <t>Total - Nature Restoration</t>
  </si>
  <si>
    <t>Scottish Environment Protection Agency</t>
  </si>
  <si>
    <t>SEPA Capital</t>
  </si>
  <si>
    <t>Investment in digital transformation.</t>
  </si>
  <si>
    <t>SEPA Resource - Staff Costs</t>
  </si>
  <si>
    <t>For delivery of statutory functions: the regulation of activities or processes that may pollute water, air or land; the regulation of waste storage, transport, treatment and disposal; the regulation of keeping and disposing of radioactive materials; the management of radioactive waste and; running Scotland's flood warning systems.</t>
  </si>
  <si>
    <t>Budget for increased staff costs to implement new regulatory functions linked to Circular Economy and work on climate adaptation including the new Flood Resilience Strategy and increased planning and contingency for water scarcity, as well as impact of pay policy.</t>
  </si>
  <si>
    <t>SEPA Resource - Depreciation</t>
  </si>
  <si>
    <t>SEPA Resource - Other</t>
  </si>
  <si>
    <t>Programme and other Operating expenditure incurred by SEPA.</t>
  </si>
  <si>
    <t>Reflects work on climate adaptation including flood resilience and water scarcity and to develop new functions linked to circular economy.</t>
  </si>
  <si>
    <t>SEPA Income</t>
  </si>
  <si>
    <t>Charging schemes and other resource income.</t>
  </si>
  <si>
    <t>Higher forecast for charging schemes deploying polluter pays principle.</t>
  </si>
  <si>
    <t>Total - Scottish Environment Protection Agency</t>
  </si>
  <si>
    <t>NatureScot</t>
  </si>
  <si>
    <t>NatureScot Resource - Staff costs</t>
  </si>
  <si>
    <t>Staff costs to undertake statutory functions and deliver NatureScot Corporate Plan.</t>
  </si>
  <si>
    <t>Reflects an increase in responsibilities for NatureScot associated with the Bute House Agreement and legislative programme, including licensing activities relating to the Grouse Moor Management Bill and Scotwind consents.</t>
  </si>
  <si>
    <t>NatureScot Resource Consumption - Depreciation</t>
  </si>
  <si>
    <t>NatureScot Resource - other</t>
  </si>
  <si>
    <t>Programme and other Operating expenditure to deliver statutory functions and NatureScot Corporate Plan.</t>
  </si>
  <si>
    <t>Increased investment to implement Scotland's biodiversity strategy and associated with the Bute House Agreement and legislative programme.</t>
  </si>
  <si>
    <t>NatureScot capital</t>
  </si>
  <si>
    <t>Capital expenditure on infrastructure assets and competitive streams of Nature Restoration Fund.</t>
  </si>
  <si>
    <t>Reflects capital maintenance plans.</t>
  </si>
  <si>
    <t>Total - NatureScot</t>
  </si>
  <si>
    <t>Zero Waste</t>
  </si>
  <si>
    <t>Delivery of circular economy strategy and programmes to reduce consumption and re-use our resources, modernise recycling and to decarbonise the disposal of waste, including major delivery programmes for extended producer responsibility and digital waste tracking.</t>
  </si>
  <si>
    <t>Increased investment in transition to circular economy and modernising waste management.</t>
  </si>
  <si>
    <t>Total - Zero Waste</t>
  </si>
  <si>
    <t>Zero Waste - Financial Transactions (Income)</t>
  </si>
  <si>
    <t>Prior loan to Zero Waste Scotland in lieu of claims for European Regional Development Fund (ERDF) monies - now repaid.</t>
  </si>
  <si>
    <t>Loan repaid.</t>
  </si>
  <si>
    <t>Total - Zero Waste FT Repayments</t>
  </si>
  <si>
    <t>Total - Environmental Services</t>
  </si>
  <si>
    <t>Environmental Standards Scotland</t>
  </si>
  <si>
    <t xml:space="preserve">Staff and operational costs for Environmental Standards Scotland, the new independent body set up to fill the potential gap in environmental governance arising from Scotland's departure from the EU. </t>
  </si>
  <si>
    <t xml:space="preserve">No significant change. </t>
  </si>
  <si>
    <t>Total - Environmental Standards Scotland</t>
  </si>
  <si>
    <t>Climate Change</t>
  </si>
  <si>
    <t xml:space="preserve">Climate Action and Policy </t>
  </si>
  <si>
    <t>Climate Change Action and Policy line supports both the policy development and implementation work needed to take forward our statutory responsibilities under Scotland’s Climate Change Act, as well as the Independent Just Transition Commission, supporting climate change leadership in the public sector alongside  the implementation of the Public Bodies Duties provisions of the Climate Change Act.  The budget also funds both our Climate Justice Fund which supports programmes to address Loss and Damage and our work with the Under 2 Coalition.</t>
  </si>
  <si>
    <t xml:space="preserve">Line reprofiled in line with anticipated expenditure. </t>
  </si>
  <si>
    <t>Land Managers' Renewables Fund</t>
  </si>
  <si>
    <t>CARES (Communities and Renewable Energy Scheme) supports the development of community and locally-owned renewable energy projects which provide wider community benefits.  The Land Managers' Renewables Fund is a component of CARES and aims to enable farmers and rural SMEs (small and medium sized enterprises) to benefit from the scheme, helping them to contribute to Scottish Government targets for renewable energy and climate change and diversify their business.</t>
  </si>
  <si>
    <t>Responsibility for CARES has transferred to the Wellbeing Economy Net Zero and Energy Portfolio.</t>
  </si>
  <si>
    <t>Just Transition Fund</t>
  </si>
  <si>
    <t>The funding will support delivery of the £500 million ten year Just Transition Fund funding existing multiyear projects.</t>
  </si>
  <si>
    <t xml:space="preserve">Reduction in capital and Financial Transactions funding allocations to the SG which the fund relies on. The Scottish Government remains committed to the 10 year programme and existing projects will continue to be funded in 2024-25. We will undertake an evaluation of phase one in this financial year aiming to commence the next phase in the following financial year. </t>
  </si>
  <si>
    <t>Total - Climate Change</t>
  </si>
  <si>
    <t>Scottish Water</t>
  </si>
  <si>
    <t>Interest On Voted Loans</t>
  </si>
  <si>
    <t>This represents the interest payable to the Scottish Government in respect of loans issued to date.</t>
  </si>
  <si>
    <t>Voted Loans</t>
  </si>
  <si>
    <t xml:space="preserve">This represents the loans payable in support of Scottish Water’s investment programme for the period 2021-27. </t>
  </si>
  <si>
    <t>Hydro Nation</t>
  </si>
  <si>
    <t>This provides support for the Hydro Nation agenda.</t>
  </si>
  <si>
    <t>Drinking Water Quality Regulator</t>
  </si>
  <si>
    <t>This provision is to support the Drinking Water Quality Regulator for Scotland in carrying out its duties under the Water Industry (Scotland) Act 2002.</t>
  </si>
  <si>
    <t>Private Water</t>
  </si>
  <si>
    <t xml:space="preserve">The Private Water budget supports actions to sustain and improve the health of the people of Scotland through good safe drinking water.  </t>
  </si>
  <si>
    <t>No significant change.</t>
  </si>
  <si>
    <t>Total - Scottish Water</t>
  </si>
  <si>
    <t>Green Economy</t>
  </si>
  <si>
    <t>Green Jobs Fund</t>
  </si>
  <si>
    <t>Green Jobs Fund (Supply Chain Development) activity.</t>
  </si>
  <si>
    <t>Green Growth Accelerator</t>
  </si>
  <si>
    <t>Alternative funding sources sought for Green Growth Accelerator activity.</t>
  </si>
  <si>
    <t>TOTAL WENZE</t>
  </si>
  <si>
    <t xml:space="preserve">Rural Affairs, Land Reform and Islands </t>
  </si>
  <si>
    <t>Agricultural Support and Related Services</t>
  </si>
  <si>
    <t>Pillar 1 - Basic Payments</t>
  </si>
  <si>
    <t xml:space="preserve">Funding from the UK Government which is a direct replacement for former EU funds.
(EAGF).
This funding provides direct support to farmers and crofters resulting in stability in food production, and enabling them to shift to producing food more sustainably, mitigate and adapt to climate change and protect and restore nature.   
</t>
  </si>
  <si>
    <t>No Change.</t>
  </si>
  <si>
    <t>Total - Pillar 1 - Basic Payments</t>
  </si>
  <si>
    <t>Pillar 1 - Greening Payments</t>
  </si>
  <si>
    <t xml:space="preserve">Funding from the UK Government which is a direct replacement for former EU funds.
(EAGF).
This funding (which is paid on top of the Basic Payment Scheme) provides direct support to mainly arable farmers for measures beneficial for the climate and environment.  
</t>
  </si>
  <si>
    <t>Total - Pillar 1 - Greening Payments</t>
  </si>
  <si>
    <t>Other Pillar 1 Payments</t>
  </si>
  <si>
    <t xml:space="preserve">Funding from the UK Government which is a direct replacement for former EU funds.
(EAGF).
This budget is demand led and includes support to specialist beef and sheep producers,and for fruit and vegetables producers.                                                                                                                                                                                                                                                                                                                                                                                                                                                                                                                                                                                                                                                                                                                                                                                                                                                                                                                                                                                                                                                                                                                                                                                                                                                                                                                                                                                                </t>
  </si>
  <si>
    <t>Change reflects forecast demand.</t>
  </si>
  <si>
    <t>Total - Other Pillar 1 Payments</t>
  </si>
  <si>
    <t>Convergence Funding</t>
  </si>
  <si>
    <t>This funding from the Bew Review is allocated, as in 2023-34, as part of the overall agricultural support lines to fund activity which will lead to more sustainable and regenerative agriculture.</t>
  </si>
  <si>
    <t>This budget line now absorbed in other key areas of the RAI budget involved in transition to new rural funding framework and agricultural transformation</t>
  </si>
  <si>
    <t>Total - Convergence Funding</t>
  </si>
  <si>
    <t>Agricultural Transformation</t>
  </si>
  <si>
    <t>Agricultural Transformation Fund</t>
  </si>
  <si>
    <t xml:space="preserve">Support for the Scottish agricultural sector in the delivery of Scotland’s statutory emissions reductions targets through protecting and improving the natural environment; reducing greenhouse gas emissions from farming operations; supporting sustainable farming and sustainable land use. </t>
  </si>
  <si>
    <t>This is now a £3m resource allocation</t>
  </si>
  <si>
    <t>Total - Agricultural Transformation</t>
  </si>
  <si>
    <t>Technical Assistance</t>
  </si>
  <si>
    <t>This budget supports transition costs associated with the new Rural Development programme and the Scottish National Rural Network. It also contributes towards audit, monitoring and evaluation costs of SRDP.</t>
  </si>
  <si>
    <t>Total - Technical Assistance</t>
  </si>
  <si>
    <t>Business Development</t>
  </si>
  <si>
    <t>Business Development Resource</t>
  </si>
  <si>
    <t>Budget provides support for innovation, to keep Scottish Producers competitive and improve business practices within the industry, including for Monitor farms, Knowledge Transfer, and the Farm Advisory Service.</t>
  </si>
  <si>
    <t>Business Development Capital</t>
  </si>
  <si>
    <t>Budget supports business viability, competitiveness as well as creating and safeguarding employment in rural areas, including crofting.</t>
  </si>
  <si>
    <t>Allocation reflects significantly reduced  Scottish capital budget for 2024-25</t>
  </si>
  <si>
    <t>Business Development - Financial Transactions (Expenditure)</t>
  </si>
  <si>
    <t>Business Development - Financial Transactions (Income)</t>
  </si>
  <si>
    <t>Total - Business Development</t>
  </si>
  <si>
    <t>Less Favoured Area Support Scheme</t>
  </si>
  <si>
    <t>An area based scheme which helps target additional support to farmers and crofters on the most marginal land. Objectives include enabling people to remain on the land to contribute to the maintenance of a viable rural community and promote sustainable farming and crofting.</t>
  </si>
  <si>
    <t>Total - Less Favoured Area Support Scheme</t>
  </si>
  <si>
    <t>Agri Environmental Measures</t>
  </si>
  <si>
    <t>Agri Environmental Measures Resource</t>
  </si>
  <si>
    <t>This budget enables ongoing payments to be made for previous capital awards, helping to mitigate and adapt to climate change and maintain measures which protect and restore nature.</t>
  </si>
  <si>
    <t>Agri Environmental Measures Capital</t>
  </si>
  <si>
    <t>This budget provides funding to farmers and land managers to undertake measures of agri-environment benefit, including to mitigate and adapt to climate change and to protect and restore nature, especially in Sites of Special Scientific Interest (SSSI)</t>
  </si>
  <si>
    <t>Total - Agri Environmental Measures</t>
  </si>
  <si>
    <t>Forestry</t>
  </si>
  <si>
    <t>Farm Woodland Schemes</t>
  </si>
  <si>
    <t>This scheme closed in 1992 however there is an on-going commitment to fund 277 scheme participants.  The purpose of this scheme was to encourage farmers to convert agricultural land to woodlands with annual payments of up to 40 years to compensate for the loss of agricultural income. The last payment is due in 2031.</t>
  </si>
  <si>
    <t>Farm Woodland Premium Scheme</t>
  </si>
  <si>
    <t>This scheme closed in 2002.  The scheme was designed to encourage the creation of new woodlands on farms to enhance the environment and as a productive alternative land use. Commitments ceased in 2022.</t>
  </si>
  <si>
    <t>No budget required as last payment made in 2022.</t>
  </si>
  <si>
    <t>Farmland Premium Scheme</t>
  </si>
  <si>
    <t>This scheme closed in 2006.  The scheme was  designed to encourage the creation of new woodlands on farms to enhance the environment and as a productive alternative land use.  Commitments ceased in 2023.</t>
  </si>
  <si>
    <t>No budget required as last payment made in 2023.</t>
  </si>
  <si>
    <t>Total - Forestry</t>
  </si>
  <si>
    <t>Science and Advice for Scottish Agriculture</t>
  </si>
  <si>
    <t>Potato Cyst Nematode (PCN) Improvement Strategy</t>
  </si>
  <si>
    <t>Funds collaborative research to safeguard the longer-term viability of Scotland's potato and bulb industries from the devastating effect of Potato Cyst Nematode</t>
  </si>
  <si>
    <t>No initial budget allocation</t>
  </si>
  <si>
    <t>Total - Science and Advice for Scottish Agriculture</t>
  </si>
  <si>
    <t>Agricultural Reform Programme</t>
  </si>
  <si>
    <t>National Test Programme</t>
  </si>
  <si>
    <t>Support for farmers and crofters to commence activity in transforming Scottish Agriculture, supporting food production, climate change mitigation and biodiversity enhancement.</t>
  </si>
  <si>
    <t>Allocation is reduced reflecting lower than expected take up in previous years  </t>
  </si>
  <si>
    <t>Development Support</t>
  </si>
  <si>
    <t xml:space="preserve">Budget line has previously covered wider modernisation for the Agricultural Reform Programme. </t>
  </si>
  <si>
    <t>Allocation reflects significantly reduced  Scottish capital budget for 2024-25 and no initial allocation for Scottish Veterinary Service.</t>
  </si>
  <si>
    <t>Delivery Costs - Resource</t>
  </si>
  <si>
    <t>Funding to develop services to support the Agricultural Reform Programme.</t>
  </si>
  <si>
    <t>Funding reduced to reflect forecast spend.</t>
  </si>
  <si>
    <t>Total - Agricultural Reform Programme</t>
  </si>
  <si>
    <t>Crofting Assistance</t>
  </si>
  <si>
    <t>Crofting Building Grants &amp; Loans Scheme Income</t>
  </si>
  <si>
    <t>Receipts of principal loan repayments.</t>
  </si>
  <si>
    <t>No repayments forecast.</t>
  </si>
  <si>
    <t>Crofting Building Grants &amp; Loans Scheme Costs</t>
  </si>
  <si>
    <t>Funding for remaining CBGLS and new CHGS housing grant payments.</t>
  </si>
  <si>
    <t>Aligns with capital allocation</t>
  </si>
  <si>
    <t>Line relates to CBGLS and new CHGS housing grant payments.</t>
  </si>
  <si>
    <t>No payments forecast.</t>
  </si>
  <si>
    <t>Interest received on Crofting Building Grants &amp; Loans Scheme</t>
  </si>
  <si>
    <t>Interest received from loans to crofters.</t>
  </si>
  <si>
    <t>Total - Crofting Assistance</t>
  </si>
  <si>
    <t>ARE Operations</t>
  </si>
  <si>
    <t>This budget line covers the ongoing costs of essential IT development,  business staff, and hardware and software purchases, particularly for the RPID payment system.  It also provides funding for large items of essential scientific and specialist equipment to support the on-going activities of professionals to protect against, detect and test diseases efficiently, safely and effectively. </t>
  </si>
  <si>
    <t>This budget reflects the cost of the staff resource for RAI. This includes Agricultural Officers and administrative staff in 16 Area Offices providing support and carrying out inspections;  SASA staff who undertake plant health and diseases and other scientific functions; land reform and land use; wider Agricultural and Rural Development and Community Divisions. It covers the revenue costs of managing and running our IT systems that support a variety of legacy and existing rural support schemes.</t>
  </si>
  <si>
    <t>Continues the progress that was made in 2023-24 to deliver savings through recruitment controls and by achieving greater operational efficiencies.</t>
  </si>
  <si>
    <t>Depreciation cost of capital assets including the Gogarbank building and IT systems and stud farm.</t>
  </si>
  <si>
    <t>Resource Receipts</t>
  </si>
  <si>
    <t>Income generated mainly by SASA Division, in relation to statutory fees and charges and chargeable scientific contracts.  Examples being work for the Technology Strategy Board, New Zealand government and HSE.</t>
  </si>
  <si>
    <t>Capital Receipts</t>
  </si>
  <si>
    <t>Total - ARE Operations</t>
  </si>
  <si>
    <t xml:space="preserve">EU Income </t>
  </si>
  <si>
    <t>Market Support Receipts</t>
  </si>
  <si>
    <t>Other EU Income</t>
  </si>
  <si>
    <t>Remaining EC funding supporting legacy projects under the European Agricultural Fund for Rural Development (EAFRD) for the co-financed Scottish Rural Development Programme (SRDP).</t>
  </si>
  <si>
    <t>The end of the transition period for claims is reached on 31 December 2023</t>
  </si>
  <si>
    <t xml:space="preserve">Total - EU Income </t>
  </si>
  <si>
    <t>Total - Agricultural Support and Related Services</t>
  </si>
  <si>
    <t>Rural Services</t>
  </si>
  <si>
    <t>Agricultural and Horticultural Advice and Support</t>
  </si>
  <si>
    <t>Public Good Advice</t>
  </si>
  <si>
    <t>Supports a range of agricultural policy functions and initiatives designed to help agricultural transformation and reform.  agricultural policy aims and objectives.  This includes advisory functions and initiatives that support delivery of challenging Scottish Government climate change targets.</t>
  </si>
  <si>
    <t>Commodities &amp; Plant Health - Current</t>
  </si>
  <si>
    <t>Budget line not currently used</t>
  </si>
  <si>
    <t>Total - Agricultural and Horticultural Advice and Support</t>
  </si>
  <si>
    <t>Animal Health</t>
  </si>
  <si>
    <t>Bee Health - Current (NAT)</t>
  </si>
  <si>
    <t>Supports apiculture specialist at SRUC to provide training and advice on bee health and husbandry to beekeepers and farmers.</t>
  </si>
  <si>
    <t>Bee Health - Current (EU)</t>
  </si>
  <si>
    <t>Veterinary Grants</t>
  </si>
  <si>
    <t>Allows crofters to access subsidised veterinary treatment for their livestock.</t>
  </si>
  <si>
    <t>Animal Diseases</t>
  </si>
  <si>
    <t>This budget line primarily covers the delivery of animal health in Scotland through the Animal &amp; Plant Health Agency and on-going payment of compensation where animals have been compulsorily slaughtered for Bovine Tuberculosis under the Tuberculosis (Scotland) Order 2007 and associated payments for haulage and slaughter.</t>
  </si>
  <si>
    <t>Slight reduction due to no capital allocation for Scottish Veterinary Service</t>
  </si>
  <si>
    <t>Total - Animal Health</t>
  </si>
  <si>
    <t>Crofting Commission</t>
  </si>
  <si>
    <t>Crofting Commission - Depreciation</t>
  </si>
  <si>
    <t>Depreciation of Capital assets</t>
  </si>
  <si>
    <t>Crofting Commission - Current</t>
  </si>
  <si>
    <t>The Crofting Commission regulates and promotes the interests of crofting in Scotland to secure the future of crofting. This budget is to ensure that crofting is regulated to deliver strong crofting communities, through tackling absenteeism and neglect, whilst delivering Scottish Government priorities to support delivery of the Croft Development Plan, to reduce vacancies and absenteeism, and support delivery of agricultural transformation.</t>
  </si>
  <si>
    <t>Total - Crofting Commission</t>
  </si>
  <si>
    <t>Food Industry Support</t>
  </si>
  <si>
    <t>Market Development Scheme</t>
  </si>
  <si>
    <t>Food and Drink</t>
  </si>
  <si>
    <t>Provides support for Scotland’s Food and Drink Policy and Ministerial priorities, including funding for Scotland Food and Drink to deliver its new strategy, for delivery of Good Food Nation Act measures, for local food and organic food activity, and food education.</t>
  </si>
  <si>
    <t>Increase reflects resource needed to implement requirements of Good Food Nation (Scotland) Act</t>
  </si>
  <si>
    <t>Total - Food Industry Support</t>
  </si>
  <si>
    <t>Community Led Local Delivery</t>
  </si>
  <si>
    <t xml:space="preserve">This budget creates and preserves jobs in rural communities and supports economic, social and environmental well-being by supporting community projects. Support for local communities to build local capacity and promote economic development will be built on to create a refreshed network that meets our wider SG commitments </t>
  </si>
  <si>
    <t>Allocation reflects anticipated demand</t>
  </si>
  <si>
    <t>Total - Community Led Local Delivery</t>
  </si>
  <si>
    <t>Rural Economy and Communities</t>
  </si>
  <si>
    <t>Rural Cohesion</t>
  </si>
  <si>
    <t>The Rural Cohesion Budget funds projects and programmes, which help to address inequalities for people in rural communities, including support for mental health and wellbeing.</t>
  </si>
  <si>
    <t>Support for Agricultural Training (LANTRA)</t>
  </si>
  <si>
    <t>Supports Lantra’s (the Sector Skills Council for Land-based industries) Scottish operation, involving a range of projects and initiatives to improve skills development and labour market information in the land-based sector and Farm Business Advisor Accreditation scheme for Scotland.</t>
  </si>
  <si>
    <t>Total - Rural Economy and Communities</t>
  </si>
  <si>
    <t>Veterinary Surveillance</t>
  </si>
  <si>
    <t xml:space="preserve">This budget funds the collection of information on diseases and infections in animals from a variety of sources which include the diagnostic laboratory network operated by Scotland's Rural College (SRUC).  Routine information is also provided by the Moredun Research Institute, the Animal Health agency and the Meat Hygiene Service.  Veterinary surveillance helps to ensure that Scotland’s livestock are healthy and productive.  </t>
  </si>
  <si>
    <t>Total - Veterinary Surveillance</t>
  </si>
  <si>
    <t>Total - Rural Services</t>
  </si>
  <si>
    <t>Marine Funding</t>
  </si>
  <si>
    <t>EU Fisheries Grants</t>
  </si>
  <si>
    <t>EU Fisheries Grants Resource</t>
  </si>
  <si>
    <t xml:space="preserve">The European Maritime and Fisheries Fund (EMFF) is designed to secure sustainable fishing, aquaculture and processing sectors, to implement CFP reform and promote and protect the marine environment and empower local fishery and rural communities to deliver their local strategies through Community Led Local Development.  The programme ended for applications on 31 December 2020 and was provided up to 31 December 2023 to administer the related claims.   </t>
  </si>
  <si>
    <t>Scheme ended for claims - no spend.</t>
  </si>
  <si>
    <t>EU Fisheries Grants Capital</t>
  </si>
  <si>
    <t>As above.</t>
  </si>
  <si>
    <t>Total - EU Fisheries Grants</t>
  </si>
  <si>
    <t>Fisheries Harbour Grants</t>
  </si>
  <si>
    <t>Scottish Government grant scheme to aid emergency repair works at fishery harbours.</t>
  </si>
  <si>
    <t>Allocation is affected by the UK Government significantly reducing the overall capital award to the Scottish Budget for 2024-25.</t>
  </si>
  <si>
    <t>Total - Fisheries Harbour Grants</t>
  </si>
  <si>
    <t>Marine Fund Scotland</t>
  </si>
  <si>
    <t>Marine Fund Scotland (MFS) replaces the European Maritime and Fisheries Fund (EMFF) and  is focused on supporting projects that deliver outcomes relating to Scotland's Blue Economy Vision.</t>
  </si>
  <si>
    <t>No change to overall budget.</t>
  </si>
  <si>
    <t>Total - Marine Fund Scotland</t>
  </si>
  <si>
    <t>Marine EU Income</t>
  </si>
  <si>
    <t xml:space="preserve">The EU income element received through the European Maritime and Fisheries Fund (EMFF). The programme ended for applications on 31 December 2020 with a further three years for claims which ends 31 December 2023. </t>
  </si>
  <si>
    <t>Scheme ended for claims.</t>
  </si>
  <si>
    <t>Total - Marine EU Income</t>
  </si>
  <si>
    <t>Total - Marine Funding</t>
  </si>
  <si>
    <t>Marine Directorate</t>
  </si>
  <si>
    <t xml:space="preserve">The budget covers the net resource and capital requirements of Marine Directorate.  Marine Directorate is the core SG directorate responsible for the integrated management of Scotland’s seas, with a responsibility for marine planning and the licensing of activities in the marine environment - crucially marine renewables, sea fisheries, aquaculture, wild freshwater fisheries and the scientific evidence base and compliance and enforcement capability required to support these sectors. Sustainability is a key factor in delivering our Blue Economy Vision, Fisheries Management Strategy and Vision for Sustainablle Aquaculture.  
</t>
  </si>
  <si>
    <t xml:space="preserve">Continues the progress that was made in 2023-24 to deliver savings through recruitment controls, by maximising income streams and by achieving greater operational efficiencies. </t>
  </si>
  <si>
    <t>Total - Marine Directorate</t>
  </si>
  <si>
    <t>Islands</t>
  </si>
  <si>
    <t>Carbon Neutral Islands</t>
  </si>
  <si>
    <t>The Carbon Neutral Islands project is well underway and is workign to demonstrate the low carbon potential of islands as hubs of innovation in relation to renewable energy, climate change mitigation and resilience, whilst positively impacting on the island economy, facilties and general wellbeing by allowing for reinvestment in the community.</t>
  </si>
  <si>
    <t>Resource reduction but capital increase from prior year.</t>
  </si>
  <si>
    <t>Islands Bond</t>
  </si>
  <si>
    <t>This budget line is not currently used.</t>
  </si>
  <si>
    <t>Islands Plan</t>
  </si>
  <si>
    <t>Continued, island-specific support for delivery of the National Islands Plan as required by the Islands (Scotland) Act 2018.  This investment will help to address pervasive problems for island communities, drive economic stability, support wellbeing for islanders and contribute to population growth.</t>
  </si>
  <si>
    <t>Slight capital reduction from prior year.</t>
  </si>
  <si>
    <t>Total - Islands</t>
  </si>
  <si>
    <t>Land Reform</t>
  </si>
  <si>
    <t>Ongoing implementation and development  of land reform policy, including: preparations for a new land Reform Bill; ongoing support for community ownership through the Scottish Land Fund; handling of community right to buy casework;  sponsorship of the Scottish Land Commission; and support for Regional Land Use Partnership pilots and the 3rd Land Use Strategy.</t>
  </si>
  <si>
    <t>Small reduction to both captial and resource funding.</t>
  </si>
  <si>
    <t>Scottish Land Commission</t>
  </si>
  <si>
    <t>Funds the Scottish Land Commission to deliver statutory commitments and Ministerial priorities(budget primarily funds SLC staff) .</t>
  </si>
  <si>
    <t>Total - Land Reform</t>
  </si>
  <si>
    <t>Scottish Forestry</t>
  </si>
  <si>
    <t>Program and Running Costs</t>
  </si>
  <si>
    <t>This funding is used to deliver Scottish Government's forestry strategy and functions, including forestry policy, the processing and assessment of woodland creation applications, the award of grants, compliance and regulation, the promotion of sustainable forest management and investigation and protection of tree health.</t>
  </si>
  <si>
    <t xml:space="preserve">As with other parts of Scottish Government, this reflects changes to headcount in public bodies and government, as well as impact on resource need from change in capital allocation </t>
  </si>
  <si>
    <t>Depreciation of inherited assets &amp; cross border charges also classified as depreciation.</t>
  </si>
  <si>
    <t>IFRS adjustments</t>
  </si>
  <si>
    <t>Woodland Grants</t>
  </si>
  <si>
    <t xml:space="preserve">Forestry grants support delivery of Scottish Government's climate change targets through woodland creation and tree planting, including on farms and next to rivers, and to restore and protect Scotland's Atlantic Rainforest. </t>
  </si>
  <si>
    <t xml:space="preserve">Allocation is affected by the UK Government significantly reducing the overall capital award to the Scottish budget for 2024-25 </t>
  </si>
  <si>
    <t>Forest Research (Cross Border Services)</t>
  </si>
  <si>
    <t>This funding supports the provision of cross border forestry functions and research as set out and agreed in the Tri-party MoU. The encompassed areas of shared interest include research commissioning and delivery (including inventory and statistics), Plant Health, UK Forestry Standard and Woodland Carbon Code, forestry economics advice and support for international forestry policy.</t>
  </si>
  <si>
    <t>EC Receipts</t>
  </si>
  <si>
    <t>No longer applicable - no further EU funding from 2023/24</t>
  </si>
  <si>
    <t>Total - Scottish Forestry</t>
  </si>
  <si>
    <t>Forestry and Land Scotland</t>
  </si>
  <si>
    <t>The resource budget will support the sustainable management of Scotland's national forests and land.</t>
  </si>
  <si>
    <t>The capital budget will support the expansion of Scotland’s national forests and land, supporting landscape scale land use change, community and partnership working, woodland creation, biodiversity and peatland restoration, consistent with the Scottish Government’s climate objectives and in line with the Bute House Agreement.</t>
  </si>
  <si>
    <t>Total - Forestry and Land Scotland</t>
  </si>
  <si>
    <t>Natural Resources &amp; Peatlands</t>
  </si>
  <si>
    <t>Natural Resources and Peatland</t>
  </si>
  <si>
    <t>Natural Resources</t>
  </si>
  <si>
    <t xml:space="preserve">This budget supports delivery of wildlife policy and management, and provides capital for Atlantic Rainforest restoration </t>
  </si>
  <si>
    <t>Funding requirements reviewed and adjusted</t>
  </si>
  <si>
    <t>Peatlands</t>
  </si>
  <si>
    <t>Funding in response to the twin crises of climate change and the loss of biodiversity, to intensify our efforts to restore degraded peatland in order to help lock in carbon and reduce peatland emissions, and to deliver co-benefits for biodiversity, water quality, natural flood management and community amenity.</t>
  </si>
  <si>
    <t>minor change</t>
  </si>
  <si>
    <t>Total - Natural Resources and Peatland</t>
  </si>
  <si>
    <t>Total -Natural Resources and Peatlands</t>
  </si>
  <si>
    <t>Research, Analysis and Other Services</t>
  </si>
  <si>
    <t>Economic and Other Surveys</t>
  </si>
  <si>
    <t xml:space="preserve">Economic and Other Surveys </t>
  </si>
  <si>
    <t>Short term economic and social science research and statistics to inform policy development and complete statutory reporting.</t>
  </si>
  <si>
    <t>minor adjustment to reflect spending plans</t>
  </si>
  <si>
    <t>Total - Economic and Other Surveys</t>
  </si>
  <si>
    <t>Programmes of Research</t>
  </si>
  <si>
    <t>Programmes of Research – Resource</t>
  </si>
  <si>
    <t>This funding provides the central source of research to inform the government’s Climate Change Plan, Biodiversity Strategy, Agricultural Transformation Programme and many other initiatives. It also funds First Ministers Environmental Council.
 It funds scientific research at our Main Research Providers, James Hutton Institute, SRUC, Moredun Research Institute, Rowett Institute and Biostatistics Scotland; in addition some monies through Centres of Expertise will fund research led at Glasgow and Edinburgh Universities amongst others to deliver the Environment, Natural Resources and Agriculture research programme.</t>
  </si>
  <si>
    <t>Programmes of Research – Capital</t>
  </si>
  <si>
    <t>This funding provides the central source of research to inform the government’s Climate Change Plan, Biodiversity Strategy, Agricultural Transformation Programme and many other initiatives.  It funds scientific research at our Main Research Providers, James Hutton Institute, SRUC, Moredun Research Institute, Rowett Institute and Biostatistics Scotland; in addition some monies through Centres of Expertise will fund research led at Glasgow and Edinburgh Universities amongst others to deliver the Environment, Natural Resources and Agriculture research programme.</t>
  </si>
  <si>
    <t>no change</t>
  </si>
  <si>
    <t>Programmes of Research – Depreciation</t>
  </si>
  <si>
    <t xml:space="preserve">technical accounting change </t>
  </si>
  <si>
    <t>Programmes of Research (Income)</t>
  </si>
  <si>
    <t>Rental receipts from Scottish Government land and buildings leased to Main Research Providers.</t>
  </si>
  <si>
    <t>Total - Programmes of Research</t>
  </si>
  <si>
    <t>Royal Botanic Garden Edinburgh (RBGE)</t>
  </si>
  <si>
    <t>RBGE Resource - Staff Costs</t>
  </si>
  <si>
    <t>Staff costs to deliver RBGE Corporate Plan.</t>
  </si>
  <si>
    <t>Increase reflects need to support pay increases</t>
  </si>
  <si>
    <t>RBGE Resource - Other</t>
  </si>
  <si>
    <t>Operating expenditure to deliver RBGE Corporate Plan</t>
  </si>
  <si>
    <t>RBGE Resource - Income</t>
  </si>
  <si>
    <t>Funding from charitable status, commercial activity and other income</t>
  </si>
  <si>
    <t>RBGE Capital</t>
  </si>
  <si>
    <t>For renewal of infrastructure at the RBGE, including delivery of the Edinburgh Biomes programme, and ongoing maintenance.</t>
  </si>
  <si>
    <t xml:space="preserve">capital expenditure to reflect the scheduled phases of the Edinburgh Biomes programme during 24/25 </t>
  </si>
  <si>
    <t>RBGE Depreciation</t>
  </si>
  <si>
    <t>Total - Royal Botanic Garden Edinburgh (RBGE)</t>
  </si>
  <si>
    <t xml:space="preserve">Strategic Policy, Research and Sponsorship </t>
  </si>
  <si>
    <t>Contract Research Fund</t>
  </si>
  <si>
    <t>closed fund</t>
  </si>
  <si>
    <t xml:space="preserve">2023-24 was scheduled last year of this fund </t>
  </si>
  <si>
    <t>Strategic Policy and Sponsorship</t>
  </si>
  <si>
    <t>Funding for Environment Strategy and other strategic environmental policy development, sponsorship functions, and to stimulate responsible private investment in the restoration of nature and enhancement of Scotland’s natural capital.</t>
  </si>
  <si>
    <t>The reduced funding level reflects the level of commitment made in the first round of the Facility for Investment Ready Nature in Scotland (FIRNS) allocations</t>
  </si>
  <si>
    <t xml:space="preserve">Total - Strategic Policy, Research and Sponsorship </t>
  </si>
  <si>
    <t>Total - Research, Analysis and Other Services</t>
  </si>
  <si>
    <t>TOTAL Rural Affairs and Islands</t>
  </si>
  <si>
    <t>Constitution, External Affairs  and Culture</t>
  </si>
  <si>
    <t>Culture</t>
  </si>
  <si>
    <t>Royal and Ceremonial</t>
  </si>
  <si>
    <t>To support Royal and Ceremonial activity within Scotland</t>
  </si>
  <si>
    <t>Total - Royal and Ceremonial</t>
  </si>
  <si>
    <t>Architecture and Place</t>
  </si>
  <si>
    <t>Architecture and Design Scotland</t>
  </si>
  <si>
    <t>This sustains the statutory body covering A&amp;DS who support the practical promotion of good design in place-making and good architecture with the aim of achieving better outcomes in new development in Scotland.</t>
  </si>
  <si>
    <t>Total - Architecture and Place</t>
  </si>
  <si>
    <t>Creative Scotland and Other Arts</t>
  </si>
  <si>
    <t>Creative Scotland (CS)</t>
  </si>
  <si>
    <t>Core funding for Creative Scotland which covers its operational costs and Regularly Funded Organisations.</t>
  </si>
  <si>
    <t>A 5% efficiency saving on core staff costs for Creative Scotland has been reflected as part of the wider Public Sector Reform agenda.</t>
  </si>
  <si>
    <t>Cultural Project Financial Transactions (Expenditure)</t>
  </si>
  <si>
    <t xml:space="preserve">Provision of loans within the culture sector. </t>
  </si>
  <si>
    <t>No FT requirement.</t>
  </si>
  <si>
    <t>Cultural Project Financial Transactions (Income)</t>
  </si>
  <si>
    <t>CS Depreciation</t>
  </si>
  <si>
    <t xml:space="preserve">Non-cash budget to cover loss in value of fixed assets over the accounting period. </t>
  </si>
  <si>
    <t>Other Arts</t>
  </si>
  <si>
    <t xml:space="preserve">Provides ring fenced funding for Creative Scotland including Screen Scotland and Youth Music Initiative. Also provides for revenue funding for V&amp;A Dundee and other smaller cultural opportunities and priorities. </t>
  </si>
  <si>
    <t xml:space="preserve">Adjustment in funding for Creative Scotland to reflect National Lottery Shortfall funding for 2024/2025 and reimbursment for 23/24 £6.6m. </t>
  </si>
  <si>
    <t>Total - Creative Scotland and Other Arts</t>
  </si>
  <si>
    <t>Cultural Collections</t>
  </si>
  <si>
    <t>National Museums of Scotland (NMS)</t>
  </si>
  <si>
    <t xml:space="preserve">Provides for the general operational costs of the NMS. </t>
  </si>
  <si>
    <t>Increased funding for 24-25 public sector pay policy and a 5% efficiency saving has been reflected as part of the wider Public Sector Reform agenda.</t>
  </si>
  <si>
    <t>NMS Capital</t>
  </si>
  <si>
    <t xml:space="preserve">Capital projects for redevelopment, repairs, maintenance and IT upgrade. </t>
  </si>
  <si>
    <t>Increases reflect changing profiles of capital projects</t>
  </si>
  <si>
    <t>NMS Depreciation</t>
  </si>
  <si>
    <t>For depreciation of NMS assets, including its estate.</t>
  </si>
  <si>
    <t>National Galleries of Scotland (NGS)</t>
  </si>
  <si>
    <t xml:space="preserve">Provides for the general operational costs of the NGS. </t>
  </si>
  <si>
    <t>NGS Capital</t>
  </si>
  <si>
    <t>Increase reflects changing profiles of capital projects</t>
  </si>
  <si>
    <t>NGS Depreciation</t>
  </si>
  <si>
    <t>For depreciation of NGS assets, including its estate.</t>
  </si>
  <si>
    <t>National Library of Scotland (NLS)</t>
  </si>
  <si>
    <t xml:space="preserve">Provides for the general operational costs of the NLS. </t>
  </si>
  <si>
    <t>NLS Capital</t>
  </si>
  <si>
    <t>Capital projects for redevelopment, repairs, maintenance and IT upgrade. Capital funding for acquisition of new material to enhance the collections.</t>
  </si>
  <si>
    <t>Increase reflects changing profiles of capital projects.</t>
  </si>
  <si>
    <t>NLS Depreciation</t>
  </si>
  <si>
    <t>For depreciation of NLS assets, including its estate.</t>
  </si>
  <si>
    <t>Non National Museums</t>
  </si>
  <si>
    <t xml:space="preserve">Provides funding for museums and galleries across Scotland via Museums Galleries Scotland, and direct funding for the Scottish Maritime, Mining and Fisheries Museums.  </t>
  </si>
  <si>
    <t>Decrease in capital - reflects changing profiles of capital projects.</t>
  </si>
  <si>
    <t>Non National Libraries</t>
  </si>
  <si>
    <t xml:space="preserve">Provides funding for non-national library improvement across Scotland via the Scottish Library and Information Council. </t>
  </si>
  <si>
    <t>Other Cultural Capital</t>
  </si>
  <si>
    <t xml:space="preserve">Funding for capital projects not undertaken by NDPBs. </t>
  </si>
  <si>
    <t>Reflects changing spend profiles for other cultural capital projects.</t>
  </si>
  <si>
    <t>Total - Cultural Collections</t>
  </si>
  <si>
    <t>Culture and Major Events - Advice and Policy</t>
  </si>
  <si>
    <t>Support operational delivery for Culture and Major Events teams.</t>
  </si>
  <si>
    <t>Increased for 24.25 public sector pay policy.</t>
  </si>
  <si>
    <t>Total - Culture and Major Events - Advice and Policy</t>
  </si>
  <si>
    <t>National Performing Companies</t>
  </si>
  <si>
    <t>National Performing Companies - Current</t>
  </si>
  <si>
    <t>Provides for the general operational costs of the National Performing Companies and for their International Touring Fund.</t>
  </si>
  <si>
    <t xml:space="preserve">Increase in funding to reflect inflation. </t>
  </si>
  <si>
    <t>Total - National Performing Companies</t>
  </si>
  <si>
    <t>Total - Culture</t>
  </si>
  <si>
    <t>Historic Environment Scotland</t>
  </si>
  <si>
    <t>HES-Running Costs</t>
  </si>
  <si>
    <t xml:space="preserve">Staff and operating costs including conservation of estate to protect and promote Scotland's historic environment. HES is the largest operator of paid visitor attractions in Scotland as well as the lead body for enabling and delivering Scotland's Historic Environment Strategy, Our Place in Time and providing advice on the management of Scotland's wider historic environment. Building, Archaeology and Voluntary Sector grants to third parties plus goods and services not included in administration and operating costs.    </t>
  </si>
  <si>
    <t>A 5% efficiency saving has been reflected, the impact of this should be mitigated through flexibilities provided in line with Public Service Reform.</t>
  </si>
  <si>
    <t>HES Depreciation and Impairment</t>
  </si>
  <si>
    <t>For depreciation of HES assets, including its estate.</t>
  </si>
  <si>
    <t>Total Level 3</t>
  </si>
  <si>
    <t>HES Direct Capital</t>
  </si>
  <si>
    <t>Investment towards restoring, enhancing and conserving our HES Properties in Care and associated visitor facing facilities across Scotland. Capital funding for corporate infrastructure.</t>
  </si>
  <si>
    <t>Reflects changing spend profile of capital projects.</t>
  </si>
  <si>
    <t>Less Income</t>
  </si>
  <si>
    <t>Supports HES operational expenditure.</t>
  </si>
  <si>
    <t>Change in forecast income levels.</t>
  </si>
  <si>
    <t>Total - Historic Environment Scotland</t>
  </si>
  <si>
    <t>National Records of Scotland</t>
  </si>
  <si>
    <t>Operational Costs</t>
  </si>
  <si>
    <t>Other Running Costs</t>
  </si>
  <si>
    <t>Budget for staff costs, goods and services and grants provided. Support for Census.</t>
  </si>
  <si>
    <t>Increased funding for 24-25 public sector pay policy and an efficiency saving reflected as part of the wider Public Sector Reform agenda.</t>
  </si>
  <si>
    <t>Depreciation Capital Charge</t>
  </si>
  <si>
    <t>For depreciation of NRS assets, including its estate.</t>
  </si>
  <si>
    <t>Capital projects for redevelopment, repairs, maintenance, IT upgrade and digital preservation of records.</t>
  </si>
  <si>
    <t>Decrease reflects changing profiles of capital projects.</t>
  </si>
  <si>
    <t>Revenue raised through fees and charges, contract and rental income.</t>
  </si>
  <si>
    <t>Total - National Records of Scotland</t>
  </si>
  <si>
    <t>External Affairs</t>
  </si>
  <si>
    <t>International and European Relations</t>
  </si>
  <si>
    <t xml:space="preserve">External Affairs Advice and Policy (Scotland) </t>
  </si>
  <si>
    <t>Supports the External Affairs aspects of the portfolio</t>
  </si>
  <si>
    <t>Minor changes</t>
  </si>
  <si>
    <t>International Development Administration</t>
  </si>
  <si>
    <t>Deletion of budget line for budget reattribution to Internationl Development and Humanitarian Aid</t>
  </si>
  <si>
    <t>Budget line attribution</t>
  </si>
  <si>
    <t>Scottish Affairs Office China</t>
  </si>
  <si>
    <t>Supports the running of the Scottish Government Office in Beijing and associated activities aligned with the National Performance Framework</t>
  </si>
  <si>
    <t>Scottish Affairs Office United States</t>
  </si>
  <si>
    <t>Supports the running of the Scottish Government Office in Washington and associated activities aligned with the National Performance Framework</t>
  </si>
  <si>
    <t>Scottish Affairs Office Canada</t>
  </si>
  <si>
    <t>Supports the running of the Scottish Government Office in Ottawa and associated activities aligned with the National Performance Framework</t>
  </si>
  <si>
    <t>International Development Fund</t>
  </si>
  <si>
    <t>Supports Development Programmes delivered by a range of organisations working with partners overseas and orovides immediate and effective assistance to reduce the threat to life and wellbeing of a large number of a population caused by disasters, disease and conflict</t>
  </si>
  <si>
    <t>Temporary reduction to protect Scotland's culture and historic environment in the context of challenging economic conditions</t>
  </si>
  <si>
    <t>International Relations</t>
  </si>
  <si>
    <t>Supports the delivery of Scottish Government international engagement</t>
  </si>
  <si>
    <t>Budget line reattribution of costs to Brand Scotland Policy following change to organisational structure</t>
  </si>
  <si>
    <t>Humanitarian Aid</t>
  </si>
  <si>
    <t>Brand Scotland Policy and Co-ordination</t>
  </si>
  <si>
    <t xml:space="preserve">Supports a range of activity aimed at enhancing Scotland’s global reputation through continuing commitment to the Brand Scotland collaboration, including the maintenance of a cross-partner, multi-disciplinary, team, creation of marketing collateral for use across the wider public sector and in support of our single nation brand, and the resourcing of www.scotland.org our international facing website, and its supporting network of social media channels.  </t>
  </si>
  <si>
    <t>Budget line reattribution following change to organisational structure</t>
  </si>
  <si>
    <t>European Strategy</t>
  </si>
  <si>
    <t>Supports the delivery of Scottish Government European engagement</t>
  </si>
  <si>
    <t>Scottish Government Office Paris</t>
  </si>
  <si>
    <t>Supports the running of the Scottish Government Office in Paris and associated activities aligned with the National Performance Framework</t>
  </si>
  <si>
    <t>Scottish Government Office Copenhagen</t>
  </si>
  <si>
    <t>Supports the running of the Scottish Government Office in Copenhagen and associated activities aligned with the National Performance Framework</t>
  </si>
  <si>
    <t>Brussels Office</t>
  </si>
  <si>
    <t>Supports the running of the Scottish Government Office in Brussels and associated activities aligned with the National Performance Framework</t>
  </si>
  <si>
    <t>Scotland House: London</t>
  </si>
  <si>
    <t>Supports the running of the Scottish Government Office in London and associated activities aligned with the National Performance Framework</t>
  </si>
  <si>
    <t>Reflects IFRS 16 adjustments and other minor changes</t>
  </si>
  <si>
    <t>Scottish Government Office Dublin</t>
  </si>
  <si>
    <t>Supports the running of the Scottish Government Office in Dublin and associated activities aligned with the National Performance Framework</t>
  </si>
  <si>
    <t>Scottish Government Office Berlin</t>
  </si>
  <si>
    <t>Supports the running of the Scottish Government Office in Berlin and associated activities aligned with the National Performance Framework</t>
  </si>
  <si>
    <t>Total - International and European Relations</t>
  </si>
  <si>
    <t xml:space="preserve">British Irish Council </t>
  </si>
  <si>
    <t>The BIC budget covers the Scottish Government’s participation in British Irish Council activities including the SG contribution to the running costs of the BIC Standing Secretariat in Edinburgh.</t>
  </si>
  <si>
    <t>No changes</t>
  </si>
  <si>
    <t xml:space="preserve">Total - British Irish Council </t>
  </si>
  <si>
    <t>Total - External Affairs</t>
  </si>
  <si>
    <t>TOTAL Constitution, External Affairs and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</si>
</sst>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quot;-&quot;"/>
    <numFmt numFmtId="165" formatCode="##,##0.000;\(##,##0.000\);\-"/>
    <numFmt numFmtId="166" formatCode="#,##0.000;[Red]\(#,##0.000\);&quot;-&quot;"/>
    <numFmt numFmtId="167" formatCode="#,##0.0"/>
    <numFmt numFmtId="168" formatCode="#,##0.000;[Red]\(#,##0.000\);\-"/>
    <numFmt numFmtId="169" formatCode="#,##0.000"/>
    <numFmt numFmtId="170" formatCode="0.0%"/>
    <numFmt numFmtId="171" formatCode="0.000"/>
    <numFmt numFmtId="172" formatCode="#,##0;[Red]\(#,##0\)"/>
    <numFmt numFmtId="173" formatCode="#,##0;[Red]\(#,##0\);\-"/>
    <numFmt numFmtId="174" formatCode="#,##0.000;\(#,##0.000\);\-"/>
    <numFmt numFmtId="175" formatCode="#,##0;\(#,##0\)"/>
  </numFmts>
  <fonts count="46">
    <font>
      <sz val="11"/>
      <color theme="1"/>
      <name val="Calibri"/>
      <family val="2"/>
      <scheme val="minor"/>
    </font>
    <font>
      <sz val="11"/>
      <color theme="1"/>
      <name val="Calibri"/>
      <family val="2"/>
      <scheme val="minor"/>
    </font>
    <font>
      <sz val="16"/>
      <color theme="1"/>
      <name val="Calibri"/>
      <family val="2"/>
      <scheme val="minor"/>
    </font>
    <font>
      <sz val="12"/>
      <name val="Times New Roman"/>
      <family val="1"/>
    </font>
    <font>
      <sz val="12"/>
      <color theme="1"/>
      <name val="Arial"/>
      <family val="2"/>
    </font>
    <font>
      <sz val="10"/>
      <color theme="1"/>
      <name val="Arial"/>
      <family val="2"/>
    </font>
    <font>
      <b/>
      <sz val="16"/>
      <color theme="0"/>
      <name val="Clan-News"/>
    </font>
    <font>
      <sz val="10"/>
      <color rgb="FF006100"/>
      <name val="Arial"/>
      <family val="2"/>
    </font>
    <font>
      <b/>
      <sz val="12"/>
      <color theme="0"/>
      <name val="Clan-News"/>
    </font>
    <font>
      <sz val="12"/>
      <color theme="1"/>
      <name val="Clan-News"/>
    </font>
    <font>
      <b/>
      <sz val="18"/>
      <color theme="0"/>
      <name val="Clan-News"/>
    </font>
    <font>
      <sz val="10"/>
      <name val="Verdana"/>
      <family val="2"/>
    </font>
    <font>
      <sz val="12"/>
      <name val="Clan-News"/>
    </font>
    <font>
      <b/>
      <sz val="12"/>
      <name val="Clan-News"/>
    </font>
    <font>
      <b/>
      <sz val="12"/>
      <color indexed="9"/>
      <name val="Clan-News"/>
    </font>
    <font>
      <b/>
      <sz val="12"/>
      <color theme="1"/>
      <name val="Clan-News"/>
    </font>
    <font>
      <sz val="10"/>
      <color indexed="8"/>
      <name val="Arial"/>
      <family val="2"/>
    </font>
    <font>
      <sz val="12"/>
      <color indexed="8"/>
      <name val="Clan-News"/>
    </font>
    <font>
      <sz val="12"/>
      <color indexed="17"/>
      <name val="Arial"/>
      <family val="2"/>
    </font>
    <font>
      <sz val="12"/>
      <color indexed="9"/>
      <name val="Clan-News"/>
    </font>
    <font>
      <sz val="10"/>
      <name val="Arial"/>
      <family val="2"/>
    </font>
    <font>
      <sz val="12"/>
      <color rgb="FF212121"/>
      <name val="Clan-News"/>
    </font>
    <font>
      <sz val="12"/>
      <color rgb="FF000000"/>
      <name val="Clan-News"/>
    </font>
    <font>
      <sz val="14"/>
      <color theme="1"/>
      <name val="Calibri"/>
      <family val="2"/>
      <scheme val="minor"/>
    </font>
    <font>
      <sz val="14"/>
      <color theme="1"/>
      <name val="Clan-News"/>
    </font>
    <font>
      <sz val="12"/>
      <color theme="0"/>
      <name val="Clan-News"/>
    </font>
    <font>
      <sz val="11"/>
      <color theme="1"/>
      <name val="Clan-News"/>
    </font>
    <font>
      <b/>
      <sz val="12"/>
      <color theme="0"/>
      <name val="Calibri"/>
      <family val="2"/>
      <scheme val="minor"/>
    </font>
    <font>
      <b/>
      <sz val="18"/>
      <color theme="1"/>
      <name val="Calibri"/>
      <family val="2"/>
      <scheme val="minor"/>
    </font>
    <font>
      <sz val="18"/>
      <color theme="1"/>
      <name val="Calibri"/>
      <family val="2"/>
      <scheme val="minor"/>
    </font>
    <font>
      <sz val="12"/>
      <color rgb="FF006100"/>
      <name val="Arial"/>
      <family val="2"/>
    </font>
    <font>
      <b/>
      <sz val="10"/>
      <color theme="1"/>
      <name val="Clan-News"/>
    </font>
    <font>
      <b/>
      <sz val="14"/>
      <color theme="1"/>
      <name val="Clan-News"/>
    </font>
    <font>
      <sz val="14"/>
      <name val="Clan-News"/>
    </font>
    <font>
      <b/>
      <sz val="12"/>
      <color rgb="FFFF0000"/>
      <name val="Clan-News"/>
    </font>
    <font>
      <sz val="12"/>
      <color rgb="FFFF0000"/>
      <name val="Clan-News"/>
    </font>
    <font>
      <sz val="11"/>
      <name val="Clan-News"/>
    </font>
    <font>
      <sz val="11"/>
      <name val="Calibri"/>
      <family val="2"/>
      <scheme val="minor"/>
    </font>
    <font>
      <b/>
      <sz val="14"/>
      <name val="Clan-News"/>
    </font>
    <font>
      <b/>
      <sz val="20"/>
      <color rgb="FFFFFFFF"/>
      <name val="Clan-News"/>
    </font>
    <font>
      <sz val="11"/>
      <color rgb="FF000000"/>
      <name val="Calibri"/>
      <family val="2"/>
      <scheme val="minor"/>
    </font>
    <font>
      <u/>
      <sz val="16"/>
      <color rgb="FF0563C1"/>
      <name val="Clan-News"/>
    </font>
    <font>
      <sz val="16"/>
      <color rgb="FF000000"/>
      <name val="Clan-News"/>
    </font>
    <font>
      <u/>
      <sz val="11"/>
      <color theme="10"/>
      <name val="Calibri"/>
      <family val="2"/>
      <scheme val="minor"/>
    </font>
    <font>
      <u/>
      <sz val="16"/>
      <color theme="10"/>
      <name val="Calibri"/>
      <family val="2"/>
      <scheme val="minor"/>
    </font>
    <font>
      <sz val="16"/>
      <color rgb="FF000000"/>
      <name val="Calibri"/>
      <family val="2"/>
      <scheme val="minor"/>
    </font>
  </fonts>
  <fills count="11">
    <fill>
      <patternFill patternType="none"/>
    </fill>
    <fill>
      <patternFill patternType="gray125"/>
    </fill>
    <fill>
      <patternFill patternType="solid">
        <fgColor rgb="FFC6EFCE"/>
      </patternFill>
    </fill>
    <fill>
      <patternFill patternType="solid">
        <fgColor rgb="FF000066"/>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bgColor indexed="64"/>
      </patternFill>
    </fill>
    <fill>
      <patternFill patternType="solid">
        <fgColor theme="7"/>
        <bgColor indexed="64"/>
      </patternFill>
    </fill>
    <fill>
      <patternFill patternType="solid">
        <fgColor theme="8" tint="-0.499984740745262"/>
        <bgColor rgb="FF000000"/>
      </patternFill>
    </fill>
    <fill>
      <patternFill patternType="solid">
        <fgColor theme="8" tint="-0.499984740745262"/>
        <bgColor indexed="64"/>
      </patternFill>
    </fill>
  </fills>
  <borders count="29">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bottom/>
      <diagonal/>
    </border>
    <border>
      <left style="medium">
        <color auto="1"/>
      </left>
      <right style="medium">
        <color auto="1"/>
      </right>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thin">
        <color theme="0"/>
      </left>
      <right/>
      <top style="thin">
        <color theme="0"/>
      </top>
      <bottom style="thin">
        <color theme="0"/>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bottom style="thin">
        <color rgb="FFFFFFFF"/>
      </bottom>
      <diagonal/>
    </border>
  </borders>
  <cellStyleXfs count="23">
    <xf numFmtId="0" fontId="0" fillId="0" borderId="0"/>
    <xf numFmtId="9" fontId="1" fillId="0" borderId="0" applyFont="0" applyFill="0" applyBorder="0" applyAlignment="0" applyProtection="0"/>
    <xf numFmtId="0" fontId="3" fillId="0" borderId="0"/>
    <xf numFmtId="0" fontId="4" fillId="0" borderId="0"/>
    <xf numFmtId="0" fontId="5" fillId="0" borderId="0"/>
    <xf numFmtId="0" fontId="7" fillId="2" borderId="0" applyNumberFormat="0" applyBorder="0" applyAlignment="0" applyProtection="0"/>
    <xf numFmtId="0" fontId="11" fillId="0" borderId="0"/>
    <xf numFmtId="0" fontId="3" fillId="0" borderId="0"/>
    <xf numFmtId="0" fontId="16" fillId="0" borderId="0"/>
    <xf numFmtId="0" fontId="3" fillId="0" borderId="0"/>
    <xf numFmtId="0" fontId="18" fillId="0" borderId="0" applyNumberFormat="0" applyBorder="0" applyAlignment="0" applyProtection="0"/>
    <xf numFmtId="0" fontId="3" fillId="0" borderId="0"/>
    <xf numFmtId="0" fontId="20" fillId="0" borderId="0"/>
    <xf numFmtId="0" fontId="20" fillId="0" borderId="0"/>
    <xf numFmtId="0" fontId="4" fillId="0" borderId="0"/>
    <xf numFmtId="43" fontId="20" fillId="0" borderId="0" applyFont="0" applyFill="0" applyBorder="0" applyAlignment="0" applyProtection="0"/>
    <xf numFmtId="0" fontId="3" fillId="0" borderId="0"/>
    <xf numFmtId="43" fontId="3" fillId="0" borderId="0" applyFont="0" applyFill="0" applyBorder="0" applyAlignment="0" applyProtection="0"/>
    <xf numFmtId="0" fontId="20" fillId="0" borderId="0"/>
    <xf numFmtId="0" fontId="30" fillId="2" borderId="0" applyNumberFormat="0" applyBorder="0" applyAlignment="0" applyProtection="0"/>
    <xf numFmtId="0" fontId="20" fillId="0" borderId="0"/>
    <xf numFmtId="0" fontId="5" fillId="0" borderId="0"/>
    <xf numFmtId="0" fontId="43" fillId="0" borderId="0" applyNumberFormat="0" applyFill="0" applyBorder="0" applyAlignment="0" applyProtection="0"/>
  </cellStyleXfs>
  <cellXfs count="1030">
    <xf numFmtId="0" fontId="0" fillId="0" borderId="0" xfId="0"/>
    <xf numFmtId="0" fontId="2" fillId="0" borderId="0" xfId="0" applyFont="1" applyAlignment="1">
      <alignment wrapText="1"/>
    </xf>
    <xf numFmtId="0" fontId="2" fillId="0" borderId="0" xfId="0" applyFont="1"/>
    <xf numFmtId="0" fontId="0" fillId="0" borderId="0" xfId="0" applyAlignment="1">
      <alignment wrapText="1"/>
    </xf>
    <xf numFmtId="164" fontId="6" fillId="3" borderId="0" xfId="4" applyNumberFormat="1" applyFont="1" applyFill="1" applyAlignment="1">
      <alignment horizontal="center" vertical="center" wrapText="1"/>
    </xf>
    <xf numFmtId="166" fontId="8" fillId="3" borderId="0" xfId="5" applyNumberFormat="1" applyFont="1" applyFill="1" applyBorder="1" applyAlignment="1" applyProtection="1">
      <alignment horizontal="center" vertical="center" wrapText="1"/>
    </xf>
    <xf numFmtId="167" fontId="8" fillId="3" borderId="0" xfId="5" applyNumberFormat="1" applyFont="1" applyFill="1" applyBorder="1" applyAlignment="1" applyProtection="1">
      <alignment horizontal="center" vertical="center" wrapText="1"/>
    </xf>
    <xf numFmtId="0" fontId="8" fillId="3" borderId="0" xfId="4" applyFont="1" applyFill="1" applyAlignment="1">
      <alignment horizontal="center" vertical="center" wrapText="1"/>
    </xf>
    <xf numFmtId="0" fontId="8" fillId="3" borderId="8" xfId="4" applyFont="1" applyFill="1" applyBorder="1" applyAlignment="1">
      <alignment horizontal="center" vertical="center" wrapText="1"/>
    </xf>
    <xf numFmtId="0" fontId="9" fillId="0" borderId="0" xfId="3" applyFont="1"/>
    <xf numFmtId="164" fontId="10" fillId="3" borderId="11" xfId="4" applyNumberFormat="1" applyFont="1" applyFill="1" applyBorder="1" applyAlignment="1">
      <alignment horizontal="center" vertical="center" wrapText="1"/>
    </xf>
    <xf numFmtId="166" fontId="8" fillId="3" borderId="11" xfId="5" applyNumberFormat="1" applyFont="1" applyFill="1" applyBorder="1" applyAlignment="1" applyProtection="1">
      <alignment horizontal="center" vertical="center" wrapText="1"/>
    </xf>
    <xf numFmtId="167" fontId="8" fillId="3" borderId="11" xfId="5" applyNumberFormat="1" applyFont="1" applyFill="1" applyBorder="1" applyAlignment="1" applyProtection="1">
      <alignment horizontal="center" vertical="center" wrapText="1"/>
    </xf>
    <xf numFmtId="0" fontId="6" fillId="3" borderId="11" xfId="4" applyFont="1" applyFill="1" applyBorder="1" applyAlignment="1">
      <alignment horizontal="center" vertical="center" wrapText="1"/>
    </xf>
    <xf numFmtId="0" fontId="6" fillId="3" borderId="12" xfId="4" applyFont="1" applyFill="1" applyBorder="1" applyAlignment="1">
      <alignment horizontal="center" vertical="center" wrapText="1"/>
    </xf>
    <xf numFmtId="0" fontId="12" fillId="0" borderId="0" xfId="6" applyFont="1" applyAlignment="1">
      <alignment wrapText="1"/>
    </xf>
    <xf numFmtId="168" fontId="12" fillId="0" borderId="0" xfId="6" applyNumberFormat="1" applyFont="1" applyAlignment="1">
      <alignment horizontal="right"/>
    </xf>
    <xf numFmtId="168" fontId="13" fillId="0" borderId="0" xfId="6" applyNumberFormat="1" applyFont="1" applyAlignment="1">
      <alignment horizontal="right"/>
    </xf>
    <xf numFmtId="10" fontId="12" fillId="0" borderId="0" xfId="6" applyNumberFormat="1" applyFont="1" applyAlignment="1">
      <alignment horizontal="right"/>
    </xf>
    <xf numFmtId="0" fontId="12" fillId="0" borderId="0" xfId="6" applyFont="1" applyAlignment="1">
      <alignment horizontal="left" vertical="top" wrapText="1"/>
    </xf>
    <xf numFmtId="0" fontId="12" fillId="0" borderId="8" xfId="6" applyFont="1" applyBorder="1" applyAlignment="1">
      <alignment horizontal="left" vertical="top" wrapText="1"/>
    </xf>
    <xf numFmtId="0" fontId="14" fillId="3" borderId="4" xfId="7" applyFont="1" applyFill="1" applyBorder="1" applyAlignment="1">
      <alignment horizontal="left" vertical="center" wrapText="1"/>
    </xf>
    <xf numFmtId="169" fontId="14" fillId="3" borderId="4" xfId="7" applyNumberFormat="1" applyFont="1" applyFill="1" applyBorder="1" applyAlignment="1">
      <alignment horizontal="right" vertical="center"/>
    </xf>
    <xf numFmtId="0" fontId="14" fillId="3" borderId="4" xfId="7" applyFont="1" applyFill="1" applyBorder="1" applyAlignment="1">
      <alignment horizontal="right" vertical="center"/>
    </xf>
    <xf numFmtId="0" fontId="14" fillId="3" borderId="4" xfId="7" applyFont="1" applyFill="1" applyBorder="1" applyAlignment="1">
      <alignment horizontal="left" vertical="top" wrapText="1"/>
    </xf>
    <xf numFmtId="0" fontId="0" fillId="0" borderId="8" xfId="0" applyBorder="1"/>
    <xf numFmtId="0" fontId="15" fillId="0" borderId="0" xfId="3" applyFont="1"/>
    <xf numFmtId="2" fontId="12" fillId="0" borderId="4" xfId="7" applyNumberFormat="1" applyFont="1" applyBorder="1" applyAlignment="1">
      <alignment horizontal="left" vertical="center" wrapText="1"/>
    </xf>
    <xf numFmtId="165" fontId="12" fillId="0" borderId="4" xfId="7" applyNumberFormat="1" applyFont="1" applyBorder="1" applyAlignment="1">
      <alignment horizontal="right" vertical="center"/>
    </xf>
    <xf numFmtId="165" fontId="13" fillId="5" borderId="4" xfId="7" applyNumberFormat="1" applyFont="1" applyFill="1" applyBorder="1" applyAlignment="1">
      <alignment horizontal="right" vertical="center"/>
    </xf>
    <xf numFmtId="170" fontId="12" fillId="0" borderId="4" xfId="7" applyNumberFormat="1" applyFont="1" applyBorder="1" applyAlignment="1">
      <alignment horizontal="right" vertical="center"/>
    </xf>
    <xf numFmtId="0" fontId="12" fillId="0" borderId="4" xfId="8" applyFont="1" applyBorder="1" applyAlignment="1">
      <alignment horizontal="left" vertical="top" wrapText="1"/>
    </xf>
    <xf numFmtId="0" fontId="12" fillId="0" borderId="4" xfId="2" applyFont="1" applyBorder="1" applyAlignment="1">
      <alignment horizontal="left" vertical="top" wrapText="1"/>
    </xf>
    <xf numFmtId="0" fontId="13" fillId="5" borderId="4" xfId="7" applyFont="1" applyFill="1" applyBorder="1" applyAlignment="1">
      <alignment horizontal="left" wrapText="1"/>
    </xf>
    <xf numFmtId="165" fontId="13" fillId="5" borderId="4" xfId="7" applyNumberFormat="1" applyFont="1" applyFill="1" applyBorder="1" applyAlignment="1">
      <alignment horizontal="right"/>
    </xf>
    <xf numFmtId="170" fontId="13" fillId="5" borderId="4" xfId="7" applyNumberFormat="1" applyFont="1" applyFill="1" applyBorder="1" applyAlignment="1">
      <alignment horizontal="right" vertical="center"/>
    </xf>
    <xf numFmtId="0" fontId="13" fillId="5" borderId="4" xfId="9" applyFont="1" applyFill="1" applyBorder="1" applyAlignment="1">
      <alignment horizontal="left" vertical="top" wrapText="1"/>
    </xf>
    <xf numFmtId="0" fontId="17" fillId="0" borderId="4" xfId="8" applyFont="1" applyBorder="1" applyAlignment="1">
      <alignment horizontal="left" vertical="top" wrapText="1"/>
    </xf>
    <xf numFmtId="165" fontId="12" fillId="0" borderId="0" xfId="6" applyNumberFormat="1" applyFont="1" applyAlignment="1">
      <alignment horizontal="right"/>
    </xf>
    <xf numFmtId="165" fontId="13" fillId="0" borderId="0" xfId="6" applyNumberFormat="1" applyFont="1" applyAlignment="1">
      <alignment horizontal="right"/>
    </xf>
    <xf numFmtId="170" fontId="12" fillId="0" borderId="0" xfId="6" applyNumberFormat="1" applyFont="1" applyAlignment="1">
      <alignment horizontal="right"/>
    </xf>
    <xf numFmtId="171" fontId="14" fillId="3" borderId="4" xfId="10" applyNumberFormat="1" applyFont="1" applyFill="1" applyBorder="1" applyAlignment="1" applyProtection="1">
      <alignment horizontal="left" vertical="top" wrapText="1"/>
    </xf>
    <xf numFmtId="165" fontId="19" fillId="3" borderId="4" xfId="10" applyNumberFormat="1" applyFont="1" applyFill="1" applyBorder="1" applyAlignment="1" applyProtection="1">
      <alignment horizontal="right" vertical="top"/>
    </xf>
    <xf numFmtId="165" fontId="14" fillId="3" borderId="4" xfId="10" applyNumberFormat="1" applyFont="1" applyFill="1" applyBorder="1" applyAlignment="1" applyProtection="1">
      <alignment horizontal="right" vertical="top"/>
    </xf>
    <xf numFmtId="170" fontId="14" fillId="3" borderId="4" xfId="10" applyNumberFormat="1" applyFont="1" applyFill="1" applyBorder="1" applyAlignment="1" applyProtection="1">
      <alignment horizontal="right" vertical="top"/>
    </xf>
    <xf numFmtId="165" fontId="14" fillId="3" borderId="4" xfId="7" applyNumberFormat="1" applyFont="1" applyFill="1" applyBorder="1" applyAlignment="1">
      <alignment horizontal="right" vertical="center"/>
    </xf>
    <xf numFmtId="170" fontId="14" fillId="3" borderId="4" xfId="7" applyNumberFormat="1" applyFont="1" applyFill="1" applyBorder="1" applyAlignment="1">
      <alignment horizontal="right" vertical="center"/>
    </xf>
    <xf numFmtId="0" fontId="12" fillId="0" borderId="4" xfId="7" applyFont="1" applyBorder="1" applyAlignment="1">
      <alignment horizontal="left" vertical="center" wrapText="1"/>
    </xf>
    <xf numFmtId="0" fontId="12" fillId="0" borderId="13" xfId="7" applyFont="1" applyBorder="1" applyAlignment="1">
      <alignment horizontal="left" vertical="top" wrapText="1"/>
    </xf>
    <xf numFmtId="171" fontId="14" fillId="3" borderId="15" xfId="10" applyNumberFormat="1" applyFont="1" applyFill="1" applyBorder="1" applyAlignment="1" applyProtection="1">
      <alignment horizontal="left" vertical="top" wrapText="1"/>
    </xf>
    <xf numFmtId="165" fontId="14" fillId="3" borderId="0" xfId="10" applyNumberFormat="1" applyFont="1" applyFill="1" applyBorder="1" applyAlignment="1" applyProtection="1">
      <alignment horizontal="right" vertical="top"/>
    </xf>
    <xf numFmtId="170" fontId="14" fillId="3" borderId="0" xfId="10" applyNumberFormat="1" applyFont="1" applyFill="1" applyBorder="1" applyAlignment="1" applyProtection="1">
      <alignment horizontal="right" vertical="top"/>
    </xf>
    <xf numFmtId="0" fontId="14" fillId="3" borderId="16" xfId="7" applyFont="1" applyFill="1" applyBorder="1" applyAlignment="1">
      <alignment horizontal="left" vertical="center" wrapText="1"/>
    </xf>
    <xf numFmtId="165" fontId="14" fillId="3" borderId="0" xfId="7" applyNumberFormat="1" applyFont="1" applyFill="1" applyAlignment="1">
      <alignment horizontal="right" vertical="center"/>
    </xf>
    <xf numFmtId="170" fontId="14" fillId="3" borderId="0" xfId="7" applyNumberFormat="1" applyFont="1" applyFill="1" applyAlignment="1">
      <alignment horizontal="right" vertical="center"/>
    </xf>
    <xf numFmtId="0" fontId="12" fillId="0" borderId="4" xfId="8" applyFont="1" applyBorder="1" applyAlignment="1">
      <alignment horizontal="left" vertical="center" wrapText="1"/>
    </xf>
    <xf numFmtId="165" fontId="12" fillId="0" borderId="4" xfId="8" applyNumberFormat="1" applyFont="1" applyBorder="1" applyAlignment="1">
      <alignment horizontal="right" vertical="center"/>
    </xf>
    <xf numFmtId="0" fontId="12" fillId="0" borderId="4" xfId="7" applyFont="1" applyBorder="1" applyAlignment="1">
      <alignment horizontal="left" vertical="top" wrapText="1"/>
    </xf>
    <xf numFmtId="171" fontId="14" fillId="3" borderId="4" xfId="10" applyNumberFormat="1" applyFont="1" applyFill="1" applyBorder="1" applyAlignment="1" applyProtection="1">
      <alignment horizontal="right" vertical="top" wrapText="1"/>
    </xf>
    <xf numFmtId="0" fontId="12" fillId="0" borderId="3" xfId="8" applyFont="1" applyBorder="1" applyAlignment="1">
      <alignment vertical="center" wrapText="1"/>
    </xf>
    <xf numFmtId="165" fontId="12" fillId="0" borderId="3" xfId="8" applyNumberFormat="1" applyFont="1" applyBorder="1" applyAlignment="1">
      <alignment horizontal="right" vertical="center"/>
    </xf>
    <xf numFmtId="0" fontId="12" fillId="0" borderId="4" xfId="8" applyFont="1" applyBorder="1" applyAlignment="1">
      <alignment vertical="center" wrapText="1"/>
    </xf>
    <xf numFmtId="171" fontId="14" fillId="3" borderId="15" xfId="10" applyNumberFormat="1" applyFont="1" applyFill="1" applyBorder="1" applyAlignment="1" applyProtection="1">
      <alignment horizontal="right" vertical="top" wrapText="1"/>
    </xf>
    <xf numFmtId="0" fontId="13" fillId="0" borderId="0" xfId="7" applyFont="1" applyAlignment="1">
      <alignment horizontal="left" vertical="center" wrapText="1"/>
    </xf>
    <xf numFmtId="165" fontId="12" fillId="0" borderId="0" xfId="7" applyNumberFormat="1" applyFont="1" applyAlignment="1">
      <alignment horizontal="right" vertical="center"/>
    </xf>
    <xf numFmtId="165" fontId="13" fillId="0" borderId="0" xfId="7" applyNumberFormat="1" applyFont="1" applyAlignment="1">
      <alignment horizontal="right" vertical="center"/>
    </xf>
    <xf numFmtId="170" fontId="13" fillId="0" borderId="0" xfId="7" applyNumberFormat="1" applyFont="1" applyAlignment="1">
      <alignment horizontal="right" vertical="center"/>
    </xf>
    <xf numFmtId="0" fontId="13" fillId="0" borderId="0" xfId="9" applyFont="1" applyAlignment="1">
      <alignment horizontal="left" vertical="top" wrapText="1"/>
    </xf>
    <xf numFmtId="0" fontId="12" fillId="0" borderId="5" xfId="8" applyFont="1" applyBorder="1" applyAlignment="1">
      <alignment horizontal="left" vertical="center" wrapText="1"/>
    </xf>
    <xf numFmtId="165" fontId="12" fillId="0" borderId="3" xfId="8" applyNumberFormat="1" applyFont="1" applyBorder="1" applyAlignment="1">
      <alignment horizontal="right" vertical="center" shrinkToFit="1"/>
    </xf>
    <xf numFmtId="0" fontId="12" fillId="0" borderId="4" xfId="6" applyFont="1" applyBorder="1" applyAlignment="1">
      <alignment horizontal="left" vertical="top" wrapText="1"/>
    </xf>
    <xf numFmtId="0" fontId="12" fillId="0" borderId="4" xfId="8" applyFont="1" applyBorder="1" applyAlignment="1">
      <alignment horizontal="left" vertical="center" wrapText="1" shrinkToFit="1"/>
    </xf>
    <xf numFmtId="165" fontId="12" fillId="0" borderId="4" xfId="8" applyNumberFormat="1" applyFont="1" applyBorder="1" applyAlignment="1">
      <alignment horizontal="right" vertical="center" shrinkToFit="1"/>
    </xf>
    <xf numFmtId="0" fontId="13" fillId="0" borderId="0" xfId="7" applyFont="1" applyAlignment="1">
      <alignment horizontal="left" wrapText="1"/>
    </xf>
    <xf numFmtId="165" fontId="12" fillId="0" borderId="0" xfId="7" applyNumberFormat="1" applyFont="1" applyAlignment="1">
      <alignment horizontal="right"/>
    </xf>
    <xf numFmtId="165" fontId="13" fillId="0" borderId="0" xfId="7" applyNumberFormat="1" applyFont="1" applyAlignment="1">
      <alignment horizontal="right"/>
    </xf>
    <xf numFmtId="170" fontId="13" fillId="0" borderId="0" xfId="7" applyNumberFormat="1" applyFont="1" applyAlignment="1">
      <alignment horizontal="right"/>
    </xf>
    <xf numFmtId="0" fontId="13" fillId="0" borderId="8" xfId="9" applyFont="1" applyBorder="1" applyAlignment="1">
      <alignment horizontal="left" vertical="top" wrapText="1"/>
    </xf>
    <xf numFmtId="0" fontId="12" fillId="0" borderId="13" xfId="11" applyFont="1" applyBorder="1" applyAlignment="1">
      <alignment horizontal="left" vertical="top" wrapText="1"/>
    </xf>
    <xf numFmtId="0" fontId="14" fillId="3" borderId="9" xfId="7" applyFont="1" applyFill="1" applyBorder="1" applyAlignment="1">
      <alignment horizontal="left" vertical="top" wrapText="1"/>
    </xf>
    <xf numFmtId="0" fontId="12" fillId="4" borderId="4" xfId="7" applyFont="1" applyFill="1" applyBorder="1" applyAlignment="1">
      <alignment horizontal="left" vertical="top" wrapText="1"/>
    </xf>
    <xf numFmtId="0" fontId="17" fillId="0" borderId="4" xfId="8" applyFont="1" applyBorder="1" applyAlignment="1">
      <alignment vertical="center" wrapText="1"/>
    </xf>
    <xf numFmtId="165" fontId="17" fillId="0" borderId="4" xfId="8" applyNumberFormat="1" applyFont="1" applyBorder="1" applyAlignment="1">
      <alignment horizontal="right" vertical="center"/>
    </xf>
    <xf numFmtId="0" fontId="9" fillId="0" borderId="4" xfId="0" applyFont="1" applyBorder="1" applyAlignment="1">
      <alignment horizontal="left" vertical="top" wrapText="1"/>
    </xf>
    <xf numFmtId="170" fontId="12" fillId="0" borderId="0" xfId="7" applyNumberFormat="1" applyFont="1" applyAlignment="1">
      <alignment horizontal="right" vertical="center"/>
    </xf>
    <xf numFmtId="0" fontId="13" fillId="0" borderId="4" xfId="9" applyFont="1" applyBorder="1" applyAlignment="1">
      <alignment horizontal="left" vertical="top" wrapText="1"/>
    </xf>
    <xf numFmtId="0" fontId="12" fillId="0" borderId="13" xfId="8" applyFont="1" applyBorder="1" applyAlignment="1">
      <alignment horizontal="left" vertical="top" wrapText="1"/>
    </xf>
    <xf numFmtId="0" fontId="12" fillId="0" borderId="7" xfId="8" applyFont="1" applyBorder="1" applyAlignment="1">
      <alignment vertical="center" wrapText="1"/>
    </xf>
    <xf numFmtId="0" fontId="12" fillId="0" borderId="0" xfId="8" applyFont="1" applyAlignment="1">
      <alignment vertical="center" wrapText="1"/>
    </xf>
    <xf numFmtId="0" fontId="12" fillId="0" borderId="5" xfId="8" applyFont="1" applyBorder="1" applyAlignment="1">
      <alignment vertical="center" wrapText="1"/>
    </xf>
    <xf numFmtId="0" fontId="12" fillId="0" borderId="4" xfId="12" applyFont="1" applyBorder="1" applyAlignment="1">
      <alignment horizontal="left" vertical="top" wrapText="1"/>
    </xf>
    <xf numFmtId="171" fontId="14" fillId="3" borderId="13" xfId="10" applyNumberFormat="1" applyFont="1" applyFill="1" applyBorder="1" applyAlignment="1" applyProtection="1">
      <alignment horizontal="left" vertical="top" wrapText="1"/>
    </xf>
    <xf numFmtId="0" fontId="12" fillId="0" borderId="3" xfId="8" applyFont="1" applyBorder="1" applyAlignment="1">
      <alignment horizontal="left" vertical="center" wrapText="1"/>
    </xf>
    <xf numFmtId="0" fontId="21" fillId="0" borderId="4" xfId="0" applyFont="1" applyBorder="1" applyAlignment="1">
      <alignment horizontal="left" vertical="top" wrapText="1"/>
    </xf>
    <xf numFmtId="0" fontId="12" fillId="0" borderId="4" xfId="0" applyFont="1" applyBorder="1" applyAlignment="1">
      <alignment horizontal="left" vertical="top" wrapText="1"/>
    </xf>
    <xf numFmtId="171" fontId="14" fillId="0" borderId="0" xfId="10" applyNumberFormat="1" applyFont="1" applyBorder="1" applyAlignment="1" applyProtection="1">
      <alignment horizontal="right" vertical="top" wrapText="1"/>
    </xf>
    <xf numFmtId="165" fontId="19" fillId="0" borderId="0" xfId="10" applyNumberFormat="1" applyFont="1" applyBorder="1" applyAlignment="1" applyProtection="1">
      <alignment horizontal="right" vertical="top"/>
    </xf>
    <xf numFmtId="165" fontId="14" fillId="0" borderId="0" xfId="10" applyNumberFormat="1" applyFont="1" applyBorder="1" applyAlignment="1" applyProtection="1">
      <alignment horizontal="right" vertical="top"/>
    </xf>
    <xf numFmtId="170" fontId="14" fillId="0" borderId="0" xfId="10" applyNumberFormat="1" applyFont="1" applyBorder="1" applyAlignment="1" applyProtection="1">
      <alignment horizontal="right" vertical="top"/>
    </xf>
    <xf numFmtId="171" fontId="14" fillId="0" borderId="2" xfId="10" applyNumberFormat="1" applyFont="1" applyBorder="1" applyAlignment="1" applyProtection="1">
      <alignment horizontal="left" vertical="top" wrapText="1"/>
    </xf>
    <xf numFmtId="171" fontId="14" fillId="0" borderId="3" xfId="10" applyNumberFormat="1" applyFont="1" applyBorder="1" applyAlignment="1" applyProtection="1">
      <alignment horizontal="left" vertical="top" wrapText="1"/>
    </xf>
    <xf numFmtId="0" fontId="12" fillId="4" borderId="13" xfId="7" applyFont="1" applyFill="1" applyBorder="1" applyAlignment="1">
      <alignment horizontal="left" vertical="top" wrapText="1"/>
    </xf>
    <xf numFmtId="0" fontId="22" fillId="0" borderId="4" xfId="0" applyFont="1" applyBorder="1" applyAlignment="1">
      <alignment horizontal="left" vertical="top" wrapText="1"/>
    </xf>
    <xf numFmtId="172" fontId="12" fillId="0" borderId="7" xfId="0" applyNumberFormat="1" applyFont="1" applyBorder="1" applyAlignment="1">
      <alignment vertical="center" wrapText="1"/>
    </xf>
    <xf numFmtId="0" fontId="9" fillId="0" borderId="0" xfId="3" applyFont="1" applyAlignment="1">
      <alignment vertical="center"/>
    </xf>
    <xf numFmtId="172" fontId="12" fillId="0" borderId="4" xfId="13" applyNumberFormat="1" applyFont="1" applyBorder="1" applyAlignment="1">
      <alignment vertical="center" wrapText="1"/>
    </xf>
    <xf numFmtId="0" fontId="13" fillId="5" borderId="4" xfId="7" applyFont="1" applyFill="1" applyBorder="1" applyAlignment="1">
      <alignment horizontal="left" vertical="top" wrapText="1"/>
    </xf>
    <xf numFmtId="0" fontId="13" fillId="0" borderId="2" xfId="9" applyFont="1" applyBorder="1" applyAlignment="1">
      <alignment horizontal="left" vertical="top" wrapText="1"/>
    </xf>
    <xf numFmtId="0" fontId="13" fillId="0" borderId="3" xfId="9" applyFont="1" applyBorder="1" applyAlignment="1">
      <alignment horizontal="left" vertical="top" wrapText="1"/>
    </xf>
    <xf numFmtId="0" fontId="12" fillId="0" borderId="13" xfId="7" applyFont="1" applyBorder="1" applyAlignment="1">
      <alignment vertical="center" wrapText="1"/>
    </xf>
    <xf numFmtId="165" fontId="12" fillId="0" borderId="13" xfId="7" applyNumberFormat="1" applyFont="1" applyBorder="1" applyAlignment="1">
      <alignment horizontal="right" vertical="center"/>
    </xf>
    <xf numFmtId="0" fontId="12" fillId="0" borderId="0" xfId="9" applyFont="1" applyAlignment="1">
      <alignment horizontal="left" vertical="top" wrapText="1"/>
    </xf>
    <xf numFmtId="0" fontId="12" fillId="0" borderId="8" xfId="9" applyFont="1" applyBorder="1" applyAlignment="1">
      <alignment horizontal="left" vertical="top" wrapText="1"/>
    </xf>
    <xf numFmtId="0" fontId="12" fillId="0" borderId="20" xfId="7" applyFont="1" applyBorder="1" applyAlignment="1">
      <alignment vertical="center" wrapText="1"/>
    </xf>
    <xf numFmtId="0" fontId="12" fillId="0" borderId="4" xfId="7" applyFont="1" applyBorder="1" applyAlignment="1">
      <alignment vertical="center" wrapText="1"/>
    </xf>
    <xf numFmtId="0" fontId="13" fillId="0" borderId="5" xfId="7" applyFont="1" applyBorder="1" applyAlignment="1">
      <alignment horizontal="left" wrapText="1"/>
    </xf>
    <xf numFmtId="165" fontId="12" fillId="0" borderId="5" xfId="7" applyNumberFormat="1" applyFont="1" applyBorder="1" applyAlignment="1">
      <alignment horizontal="right"/>
    </xf>
    <xf numFmtId="165" fontId="13" fillId="0" borderId="5" xfId="7" applyNumberFormat="1" applyFont="1" applyBorder="1" applyAlignment="1">
      <alignment horizontal="right"/>
    </xf>
    <xf numFmtId="170" fontId="13" fillId="0" borderId="5" xfId="7" applyNumberFormat="1" applyFont="1" applyBorder="1" applyAlignment="1">
      <alignment horizontal="right" vertical="center"/>
    </xf>
    <xf numFmtId="0" fontId="12" fillId="0" borderId="5" xfId="9" applyFont="1" applyBorder="1" applyAlignment="1">
      <alignment horizontal="left" vertical="top" wrapText="1"/>
    </xf>
    <xf numFmtId="0" fontId="12" fillId="0" borderId="7" xfId="9" applyFont="1" applyBorder="1" applyAlignment="1">
      <alignment horizontal="left" vertical="top" wrapText="1"/>
    </xf>
    <xf numFmtId="0" fontId="8" fillId="3" borderId="0" xfId="8" applyFont="1" applyFill="1" applyAlignment="1">
      <alignment horizontal="right" wrapText="1"/>
    </xf>
    <xf numFmtId="165" fontId="8" fillId="3" borderId="0" xfId="8" applyNumberFormat="1" applyFont="1" applyFill="1" applyAlignment="1">
      <alignment horizontal="right"/>
    </xf>
    <xf numFmtId="170" fontId="8" fillId="3" borderId="0" xfId="8" applyNumberFormat="1" applyFont="1" applyFill="1" applyAlignment="1">
      <alignment horizontal="right"/>
    </xf>
    <xf numFmtId="0" fontId="13" fillId="0" borderId="0" xfId="6" applyFont="1" applyAlignment="1">
      <alignment horizontal="left" vertical="top" wrapText="1"/>
    </xf>
    <xf numFmtId="0" fontId="13" fillId="0" borderId="8" xfId="6" applyFont="1" applyBorder="1" applyAlignment="1">
      <alignment horizontal="left" vertical="top" wrapText="1"/>
    </xf>
    <xf numFmtId="0" fontId="13" fillId="0" borderId="4" xfId="7" applyFont="1" applyBorder="1" applyAlignment="1">
      <alignment horizontal="left" vertical="center" wrapText="1"/>
    </xf>
    <xf numFmtId="165" fontId="13" fillId="0" borderId="4" xfId="7" applyNumberFormat="1" applyFont="1" applyBorder="1" applyAlignment="1">
      <alignment horizontal="right" vertical="center"/>
    </xf>
    <xf numFmtId="0" fontId="17" fillId="0" borderId="13" xfId="8" applyFont="1" applyBorder="1" applyAlignment="1">
      <alignment horizontal="left" vertical="top" wrapText="1"/>
    </xf>
    <xf numFmtId="0" fontId="9" fillId="0" borderId="0" xfId="3" applyFont="1" applyAlignment="1">
      <alignment wrapText="1"/>
    </xf>
    <xf numFmtId="170" fontId="9" fillId="0" borderId="0" xfId="3" applyNumberFormat="1" applyFont="1"/>
    <xf numFmtId="0" fontId="9" fillId="0" borderId="0" xfId="3" applyFont="1" applyAlignment="1">
      <alignment horizontal="left" vertical="top"/>
    </xf>
    <xf numFmtId="0" fontId="9" fillId="0" borderId="8" xfId="3" applyFont="1" applyBorder="1" applyAlignment="1">
      <alignment horizontal="left" vertical="top"/>
    </xf>
    <xf numFmtId="169" fontId="0" fillId="0" borderId="0" xfId="0" applyNumberFormat="1"/>
    <xf numFmtId="0" fontId="0" fillId="5" borderId="10" xfId="0" applyFill="1" applyBorder="1"/>
    <xf numFmtId="9" fontId="0" fillId="0" borderId="0" xfId="1" applyFont="1" applyProtection="1"/>
    <xf numFmtId="173" fontId="0" fillId="0" borderId="8" xfId="0" applyNumberFormat="1" applyBorder="1"/>
    <xf numFmtId="173" fontId="0" fillId="0" borderId="0" xfId="0" applyNumberFormat="1"/>
    <xf numFmtId="165" fontId="9" fillId="0" borderId="0" xfId="14" applyNumberFormat="1" applyFont="1"/>
    <xf numFmtId="9" fontId="8" fillId="3" borderId="4" xfId="1" applyFont="1" applyFill="1" applyBorder="1" applyAlignment="1" applyProtection="1">
      <alignment horizontal="right" vertical="top"/>
    </xf>
    <xf numFmtId="165" fontId="8" fillId="3" borderId="4" xfId="15" applyNumberFormat="1" applyFont="1" applyFill="1" applyBorder="1" applyAlignment="1" applyProtection="1">
      <alignment horizontal="right" vertical="top"/>
    </xf>
    <xf numFmtId="165" fontId="8" fillId="3" borderId="4" xfId="16" applyNumberFormat="1" applyFont="1" applyFill="1" applyBorder="1" applyAlignment="1">
      <alignment horizontal="left" vertical="top" wrapText="1"/>
    </xf>
    <xf numFmtId="9" fontId="12" fillId="0" borderId="13" xfId="1" applyFont="1" applyFill="1" applyBorder="1" applyAlignment="1" applyProtection="1">
      <alignment horizontal="right" vertical="top" wrapText="1"/>
    </xf>
    <xf numFmtId="165" fontId="12" fillId="0" borderId="13" xfId="14" applyNumberFormat="1" applyFont="1" applyBorder="1" applyAlignment="1">
      <alignment horizontal="right" vertical="top" wrapText="1"/>
    </xf>
    <xf numFmtId="165" fontId="12" fillId="0" borderId="13" xfId="14" applyNumberFormat="1" applyFont="1" applyBorder="1" applyAlignment="1">
      <alignment vertical="top" wrapText="1"/>
    </xf>
    <xf numFmtId="165" fontId="12" fillId="0" borderId="6" xfId="11" applyNumberFormat="1" applyFont="1" applyBorder="1" applyAlignment="1">
      <alignment horizontal="left" vertical="top" wrapText="1"/>
    </xf>
    <xf numFmtId="165" fontId="12" fillId="0" borderId="4" xfId="11" applyNumberFormat="1" applyFont="1" applyBorder="1" applyAlignment="1">
      <alignment horizontal="left" vertical="top" wrapText="1"/>
    </xf>
    <xf numFmtId="9" fontId="12" fillId="0" borderId="4" xfId="1" applyFont="1" applyBorder="1" applyAlignment="1" applyProtection="1">
      <alignment horizontal="right" vertical="top" wrapText="1"/>
    </xf>
    <xf numFmtId="165" fontId="12" fillId="5" borderId="4" xfId="11" applyNumberFormat="1" applyFont="1" applyFill="1" applyBorder="1" applyAlignment="1">
      <alignment horizontal="right" vertical="top" wrapText="1"/>
    </xf>
    <xf numFmtId="165" fontId="12" fillId="0" borderId="4" xfId="11" applyNumberFormat="1" applyFont="1" applyBorder="1" applyAlignment="1">
      <alignment horizontal="right" vertical="top" wrapText="1"/>
    </xf>
    <xf numFmtId="165" fontId="12" fillId="0" borderId="4" xfId="9" applyNumberFormat="1" applyFont="1" applyBorder="1" applyAlignment="1">
      <alignment horizontal="right" vertical="top"/>
    </xf>
    <xf numFmtId="165" fontId="12" fillId="0" borderId="4" xfId="4" applyNumberFormat="1" applyFont="1" applyBorder="1" applyAlignment="1">
      <alignment horizontal="left" vertical="top" wrapText="1"/>
    </xf>
    <xf numFmtId="9" fontId="13" fillId="0" borderId="2" xfId="1" applyFont="1" applyFill="1" applyBorder="1" applyAlignment="1" applyProtection="1">
      <alignment horizontal="center" vertical="top" wrapText="1"/>
    </xf>
    <xf numFmtId="165" fontId="13" fillId="0" borderId="2" xfId="5" applyNumberFormat="1" applyFont="1" applyFill="1" applyBorder="1" applyAlignment="1" applyProtection="1">
      <alignment horizontal="center" vertical="top" wrapText="1"/>
    </xf>
    <xf numFmtId="165" fontId="13" fillId="0" borderId="1" xfId="14" applyNumberFormat="1" applyFont="1" applyBorder="1" applyAlignment="1">
      <alignment horizontal="left" vertical="center" wrapText="1"/>
    </xf>
    <xf numFmtId="0" fontId="9" fillId="4" borderId="0" xfId="0" applyFont="1" applyFill="1" applyAlignment="1">
      <alignment wrapText="1"/>
    </xf>
    <xf numFmtId="9" fontId="9" fillId="4" borderId="0" xfId="1" applyFont="1" applyFill="1" applyProtection="1"/>
    <xf numFmtId="166" fontId="9" fillId="4" borderId="0" xfId="0" applyNumberFormat="1" applyFont="1" applyFill="1"/>
    <xf numFmtId="9" fontId="9" fillId="0" borderId="0" xfId="1" applyFont="1" applyFill="1" applyProtection="1"/>
    <xf numFmtId="165" fontId="9" fillId="0" borderId="0" xfId="14" applyNumberFormat="1" applyFont="1" applyAlignment="1">
      <alignment wrapText="1"/>
    </xf>
    <xf numFmtId="9" fontId="8" fillId="3" borderId="4" xfId="1" applyFont="1" applyFill="1" applyBorder="1" applyAlignment="1" applyProtection="1">
      <alignment horizontal="right" vertical="top" wrapText="1"/>
    </xf>
    <xf numFmtId="0" fontId="23" fillId="0" borderId="0" xfId="0" applyFont="1"/>
    <xf numFmtId="0" fontId="23" fillId="5" borderId="10" xfId="0" applyFont="1" applyFill="1" applyBorder="1"/>
    <xf numFmtId="165" fontId="24" fillId="0" borderId="0" xfId="14" applyNumberFormat="1" applyFont="1"/>
    <xf numFmtId="9" fontId="24" fillId="4" borderId="2" xfId="1" applyFont="1" applyFill="1" applyBorder="1" applyProtection="1"/>
    <xf numFmtId="165" fontId="24" fillId="4" borderId="2" xfId="14" applyNumberFormat="1" applyFont="1" applyFill="1" applyBorder="1"/>
    <xf numFmtId="165" fontId="24" fillId="4" borderId="2" xfId="14" applyNumberFormat="1" applyFont="1" applyFill="1" applyBorder="1" applyAlignment="1">
      <alignment wrapText="1"/>
    </xf>
    <xf numFmtId="9" fontId="13" fillId="5" borderId="4" xfId="1" applyFont="1" applyFill="1" applyBorder="1" applyAlignment="1" applyProtection="1">
      <alignment vertical="top" wrapText="1"/>
    </xf>
    <xf numFmtId="165" fontId="13" fillId="5" borderId="4" xfId="11" applyNumberFormat="1" applyFont="1" applyFill="1" applyBorder="1" applyAlignment="1">
      <alignment vertical="top" wrapText="1"/>
    </xf>
    <xf numFmtId="165" fontId="13" fillId="0" borderId="4" xfId="11" applyNumberFormat="1" applyFont="1" applyBorder="1" applyAlignment="1">
      <alignment vertical="top" wrapText="1"/>
    </xf>
    <xf numFmtId="4" fontId="13" fillId="5" borderId="4" xfId="11" quotePrefix="1" applyNumberFormat="1" applyFont="1" applyFill="1" applyBorder="1" applyAlignment="1">
      <alignment horizontal="right" vertical="top" wrapText="1"/>
    </xf>
    <xf numFmtId="9" fontId="9" fillId="4" borderId="2" xfId="1" applyFont="1" applyFill="1" applyBorder="1" applyProtection="1"/>
    <xf numFmtId="165" fontId="9" fillId="4" borderId="2" xfId="14" applyNumberFormat="1" applyFont="1" applyFill="1" applyBorder="1"/>
    <xf numFmtId="165" fontId="9" fillId="4" borderId="2" xfId="14" applyNumberFormat="1" applyFont="1" applyFill="1" applyBorder="1" applyAlignment="1">
      <alignment wrapText="1"/>
    </xf>
    <xf numFmtId="165" fontId="9" fillId="3" borderId="6" xfId="14" applyNumberFormat="1" applyFont="1" applyFill="1" applyBorder="1"/>
    <xf numFmtId="165" fontId="9" fillId="3" borderId="4" xfId="14" applyNumberFormat="1" applyFont="1" applyFill="1" applyBorder="1"/>
    <xf numFmtId="165" fontId="8" fillId="3" borderId="4" xfId="11" applyNumberFormat="1" applyFont="1" applyFill="1" applyBorder="1" applyAlignment="1">
      <alignment horizontal="right" vertical="top" wrapText="1"/>
    </xf>
    <xf numFmtId="165" fontId="8" fillId="3" borderId="4" xfId="11" applyNumberFormat="1" applyFont="1" applyFill="1" applyBorder="1" applyAlignment="1">
      <alignment horizontal="left" vertical="top" wrapText="1"/>
    </xf>
    <xf numFmtId="165" fontId="12" fillId="4" borderId="1" xfId="11" applyNumberFormat="1" applyFont="1" applyFill="1" applyBorder="1" applyAlignment="1">
      <alignment horizontal="left" vertical="top" wrapText="1"/>
    </xf>
    <xf numFmtId="165" fontId="12" fillId="4" borderId="13" xfId="11" applyNumberFormat="1" applyFont="1" applyFill="1" applyBorder="1" applyAlignment="1">
      <alignment horizontal="left" vertical="top" wrapText="1"/>
    </xf>
    <xf numFmtId="165" fontId="13" fillId="5" borderId="13" xfId="11" applyNumberFormat="1" applyFont="1" applyFill="1" applyBorder="1" applyAlignment="1">
      <alignment horizontal="right" vertical="top" wrapText="1"/>
    </xf>
    <xf numFmtId="165" fontId="12" fillId="0" borderId="13" xfId="11" applyNumberFormat="1" applyFont="1" applyBorder="1" applyAlignment="1">
      <alignment horizontal="right" vertical="top" wrapText="1"/>
    </xf>
    <xf numFmtId="165" fontId="9" fillId="3" borderId="5" xfId="14" applyNumberFormat="1" applyFont="1" applyFill="1" applyBorder="1"/>
    <xf numFmtId="9" fontId="8" fillId="3" borderId="5" xfId="1" applyFont="1" applyFill="1" applyBorder="1" applyAlignment="1" applyProtection="1">
      <alignment horizontal="center" vertical="center" wrapText="1"/>
    </xf>
    <xf numFmtId="165" fontId="8" fillId="3" borderId="5" xfId="5" applyNumberFormat="1" applyFont="1" applyFill="1" applyBorder="1" applyAlignment="1" applyProtection="1">
      <alignment horizontal="center" vertical="center" wrapText="1"/>
    </xf>
    <xf numFmtId="165" fontId="8" fillId="3" borderId="6" xfId="11" applyNumberFormat="1" applyFont="1" applyFill="1" applyBorder="1" applyAlignment="1">
      <alignment horizontal="left" vertical="center" wrapText="1"/>
    </xf>
    <xf numFmtId="165" fontId="9" fillId="4" borderId="0" xfId="14" applyNumberFormat="1" applyFont="1" applyFill="1" applyAlignment="1">
      <alignment wrapText="1"/>
    </xf>
    <xf numFmtId="165" fontId="9" fillId="4" borderId="0" xfId="14" applyNumberFormat="1" applyFont="1" applyFill="1"/>
    <xf numFmtId="165" fontId="12" fillId="0" borderId="1" xfId="11" applyNumberFormat="1" applyFont="1" applyBorder="1" applyAlignment="1">
      <alignment horizontal="left" vertical="top" wrapText="1"/>
    </xf>
    <xf numFmtId="165" fontId="12" fillId="0" borderId="13" xfId="11" applyNumberFormat="1" applyFont="1" applyBorder="1" applyAlignment="1">
      <alignment horizontal="left" vertical="top" wrapText="1"/>
    </xf>
    <xf numFmtId="165" fontId="12" fillId="0" borderId="13" xfId="11" applyNumberFormat="1" applyFont="1" applyBorder="1" applyAlignment="1">
      <alignment vertical="top" wrapText="1"/>
    </xf>
    <xf numFmtId="9" fontId="8" fillId="3" borderId="5" xfId="1" applyFont="1" applyFill="1" applyBorder="1" applyAlignment="1" applyProtection="1">
      <alignment horizontal="right" vertical="top" wrapText="1"/>
    </xf>
    <xf numFmtId="165" fontId="8" fillId="3" borderId="5" xfId="5" applyNumberFormat="1" applyFont="1" applyFill="1" applyBorder="1" applyAlignment="1" applyProtection="1">
      <alignment horizontal="right" vertical="top" wrapText="1"/>
    </xf>
    <xf numFmtId="165" fontId="8" fillId="3" borderId="6" xfId="11" applyNumberFormat="1" applyFont="1" applyFill="1" applyBorder="1" applyAlignment="1">
      <alignment horizontal="left" vertical="top" wrapText="1"/>
    </xf>
    <xf numFmtId="165" fontId="12" fillId="0" borderId="2" xfId="11" applyNumberFormat="1" applyFont="1" applyBorder="1" applyAlignment="1">
      <alignment horizontal="left" vertical="top" wrapText="1"/>
    </xf>
    <xf numFmtId="9" fontId="12" fillId="0" borderId="5" xfId="1" applyFont="1" applyBorder="1" applyAlignment="1" applyProtection="1">
      <alignment horizontal="right" vertical="top" wrapText="1"/>
    </xf>
    <xf numFmtId="165" fontId="13" fillId="5" borderId="2" xfId="11" applyNumberFormat="1" applyFont="1" applyFill="1" applyBorder="1" applyAlignment="1">
      <alignment horizontal="right" vertical="top" wrapText="1"/>
    </xf>
    <xf numFmtId="165" fontId="12" fillId="0" borderId="5" xfId="11" applyNumberFormat="1" applyFont="1" applyBorder="1" applyAlignment="1">
      <alignment horizontal="right" vertical="top" wrapText="1"/>
    </xf>
    <xf numFmtId="165" fontId="12" fillId="0" borderId="2" xfId="11" applyNumberFormat="1" applyFont="1" applyBorder="1" applyAlignment="1">
      <alignment horizontal="right" vertical="top" wrapText="1"/>
    </xf>
    <xf numFmtId="165" fontId="9" fillId="5" borderId="6" xfId="14" applyNumberFormat="1" applyFont="1" applyFill="1" applyBorder="1"/>
    <xf numFmtId="165" fontId="9" fillId="5" borderId="4" xfId="14" applyNumberFormat="1" applyFont="1" applyFill="1" applyBorder="1"/>
    <xf numFmtId="9" fontId="13" fillId="5" borderId="13" xfId="1" applyFont="1" applyFill="1" applyBorder="1" applyAlignment="1" applyProtection="1">
      <alignment vertical="top" wrapText="1"/>
    </xf>
    <xf numFmtId="165" fontId="13" fillId="5" borderId="13" xfId="11" applyNumberFormat="1" applyFont="1" applyFill="1" applyBorder="1" applyAlignment="1">
      <alignment vertical="top" wrapText="1"/>
    </xf>
    <xf numFmtId="165" fontId="13" fillId="5" borderId="13" xfId="11" applyNumberFormat="1" applyFont="1" applyFill="1" applyBorder="1" applyAlignment="1">
      <alignment horizontal="left" vertical="top" wrapText="1"/>
    </xf>
    <xf numFmtId="173" fontId="13" fillId="5" borderId="7" xfId="11" applyNumberFormat="1" applyFont="1" applyFill="1" applyBorder="1" applyAlignment="1">
      <alignment vertical="top" wrapText="1"/>
    </xf>
    <xf numFmtId="173" fontId="13" fillId="5" borderId="5" xfId="11" applyNumberFormat="1" applyFont="1" applyFill="1" applyBorder="1" applyAlignment="1">
      <alignment vertical="top" wrapText="1"/>
    </xf>
    <xf numFmtId="165" fontId="9" fillId="5" borderId="5" xfId="14" applyNumberFormat="1" applyFont="1" applyFill="1" applyBorder="1"/>
    <xf numFmtId="9" fontId="13" fillId="5" borderId="5" xfId="1" applyFont="1" applyFill="1" applyBorder="1" applyAlignment="1" applyProtection="1">
      <alignment vertical="top" wrapText="1"/>
    </xf>
    <xf numFmtId="165" fontId="13" fillId="5" borderId="5" xfId="11" applyNumberFormat="1" applyFont="1" applyFill="1" applyBorder="1" applyAlignment="1">
      <alignment vertical="top" wrapText="1"/>
    </xf>
    <xf numFmtId="165" fontId="13" fillId="5" borderId="6" xfId="11" applyNumberFormat="1" applyFont="1" applyFill="1" applyBorder="1" applyAlignment="1">
      <alignment horizontal="left" vertical="top" wrapText="1"/>
    </xf>
    <xf numFmtId="173" fontId="8" fillId="3" borderId="7" xfId="5" applyNumberFormat="1" applyFont="1" applyFill="1" applyBorder="1" applyAlignment="1" applyProtection="1">
      <alignment horizontal="center" vertical="center"/>
    </xf>
    <xf numFmtId="173" fontId="8" fillId="3" borderId="5" xfId="5" applyNumberFormat="1" applyFont="1" applyFill="1" applyBorder="1" applyAlignment="1" applyProtection="1">
      <alignment horizontal="center" vertical="center"/>
    </xf>
    <xf numFmtId="9" fontId="8" fillId="3" borderId="5" xfId="1" applyFont="1" applyFill="1" applyBorder="1" applyAlignment="1" applyProtection="1">
      <alignment horizontal="center" vertical="center"/>
    </xf>
    <xf numFmtId="165" fontId="8" fillId="3" borderId="5" xfId="5" applyNumberFormat="1" applyFont="1" applyFill="1" applyBorder="1" applyAlignment="1" applyProtection="1">
      <alignment horizontal="center" vertical="center"/>
    </xf>
    <xf numFmtId="0" fontId="0" fillId="0" borderId="10" xfId="0" applyBorder="1"/>
    <xf numFmtId="9" fontId="8" fillId="0" borderId="0" xfId="1" applyFont="1" applyFill="1" applyBorder="1" applyAlignment="1" applyProtection="1">
      <alignment horizontal="right" vertical="top" wrapText="1"/>
    </xf>
    <xf numFmtId="165" fontId="8" fillId="0" borderId="0" xfId="11" applyNumberFormat="1" applyFont="1" applyAlignment="1">
      <alignment horizontal="right" vertical="top" wrapText="1"/>
    </xf>
    <xf numFmtId="165" fontId="8" fillId="0" borderId="0" xfId="11" applyNumberFormat="1" applyFont="1" applyAlignment="1">
      <alignment horizontal="left" vertical="top" wrapText="1"/>
    </xf>
    <xf numFmtId="165" fontId="9" fillId="3" borderId="0" xfId="14" applyNumberFormat="1" applyFont="1" applyFill="1"/>
    <xf numFmtId="165" fontId="13" fillId="5" borderId="13" xfId="11" quotePrefix="1" applyNumberFormat="1" applyFont="1" applyFill="1" applyBorder="1" applyAlignment="1">
      <alignment horizontal="left" vertical="top" wrapText="1"/>
    </xf>
    <xf numFmtId="165" fontId="12" fillId="0" borderId="13" xfId="11" quotePrefix="1" applyNumberFormat="1" applyFont="1" applyBorder="1" applyAlignment="1">
      <alignment horizontal="left" vertical="top" wrapText="1"/>
    </xf>
    <xf numFmtId="165" fontId="13" fillId="5" borderId="6" xfId="11" quotePrefix="1" applyNumberFormat="1" applyFont="1" applyFill="1" applyBorder="1" applyAlignment="1">
      <alignment horizontal="left" vertical="top" wrapText="1"/>
    </xf>
    <xf numFmtId="165" fontId="13" fillId="5" borderId="4" xfId="11" applyNumberFormat="1" applyFont="1" applyFill="1" applyBorder="1" applyAlignment="1">
      <alignment horizontal="right" vertical="top" wrapText="1"/>
    </xf>
    <xf numFmtId="165" fontId="12" fillId="4" borderId="4" xfId="11" applyNumberFormat="1" applyFont="1" applyFill="1" applyBorder="1" applyAlignment="1">
      <alignment horizontal="left" vertical="top" wrapText="1"/>
    </xf>
    <xf numFmtId="165" fontId="8" fillId="5" borderId="5" xfId="11" applyNumberFormat="1" applyFont="1" applyFill="1" applyBorder="1" applyAlignment="1">
      <alignment vertical="top" wrapText="1"/>
    </xf>
    <xf numFmtId="9" fontId="9" fillId="6" borderId="0" xfId="1" applyFont="1" applyFill="1" applyProtection="1"/>
    <xf numFmtId="165" fontId="9" fillId="6" borderId="0" xfId="14" applyNumberFormat="1" applyFont="1" applyFill="1"/>
    <xf numFmtId="165" fontId="9" fillId="6" borderId="0" xfId="14" applyNumberFormat="1" applyFont="1" applyFill="1" applyAlignment="1">
      <alignment wrapText="1"/>
    </xf>
    <xf numFmtId="0" fontId="12" fillId="3" borderId="6" xfId="11" applyFont="1" applyFill="1" applyBorder="1" applyAlignment="1">
      <alignment horizontal="left" vertical="top" wrapText="1"/>
    </xf>
    <xf numFmtId="0" fontId="12" fillId="3" borderId="4" xfId="11" applyFont="1" applyFill="1" applyBorder="1" applyAlignment="1">
      <alignment horizontal="left" vertical="top" wrapText="1"/>
    </xf>
    <xf numFmtId="9" fontId="8" fillId="3" borderId="4" xfId="1" applyFont="1" applyFill="1" applyBorder="1" applyAlignment="1" applyProtection="1">
      <alignment vertical="top" wrapText="1"/>
    </xf>
    <xf numFmtId="165" fontId="8" fillId="3" borderId="4" xfId="11" applyNumberFormat="1" applyFont="1" applyFill="1" applyBorder="1" applyAlignment="1">
      <alignment vertical="top" wrapText="1"/>
    </xf>
    <xf numFmtId="0" fontId="8" fillId="3" borderId="4" xfId="11" applyFont="1" applyFill="1" applyBorder="1" applyAlignment="1">
      <alignment horizontal="left" vertical="top" wrapText="1"/>
    </xf>
    <xf numFmtId="0" fontId="12" fillId="0" borderId="6" xfId="11" applyFont="1" applyBorder="1" applyAlignment="1">
      <alignment horizontal="left" vertical="top" wrapText="1"/>
    </xf>
    <xf numFmtId="0" fontId="12" fillId="0" borderId="4" xfId="11" applyFont="1" applyBorder="1" applyAlignment="1">
      <alignment horizontal="left" vertical="top" wrapText="1"/>
    </xf>
    <xf numFmtId="4" fontId="12" fillId="0" borderId="4" xfId="11" applyNumberFormat="1" applyFont="1" applyBorder="1" applyAlignment="1">
      <alignment horizontal="left" vertical="top" wrapText="1"/>
    </xf>
    <xf numFmtId="0" fontId="12" fillId="3" borderId="5" xfId="11" applyFont="1" applyFill="1" applyBorder="1" applyAlignment="1">
      <alignment horizontal="left" vertical="top" wrapText="1"/>
    </xf>
    <xf numFmtId="9" fontId="8" fillId="3" borderId="5" xfId="1" applyFont="1" applyFill="1" applyBorder="1" applyAlignment="1" applyProtection="1">
      <alignment vertical="top" wrapText="1"/>
    </xf>
    <xf numFmtId="165" fontId="8" fillId="3" borderId="5" xfId="11" applyNumberFormat="1" applyFont="1" applyFill="1" applyBorder="1" applyAlignment="1">
      <alignment vertical="top" wrapText="1"/>
    </xf>
    <xf numFmtId="0" fontId="8" fillId="3" borderId="6" xfId="11" applyFont="1" applyFill="1" applyBorder="1" applyAlignment="1">
      <alignment horizontal="left" vertical="top" wrapText="1"/>
    </xf>
    <xf numFmtId="0" fontId="12" fillId="0" borderId="0" xfId="11" applyFont="1" applyAlignment="1">
      <alignment horizontal="left" vertical="top" wrapText="1"/>
    </xf>
    <xf numFmtId="9" fontId="12" fillId="0" borderId="0" xfId="1" applyFont="1" applyBorder="1" applyAlignment="1" applyProtection="1">
      <alignment horizontal="right" vertical="top" wrapText="1"/>
    </xf>
    <xf numFmtId="165" fontId="12" fillId="0" borderId="0" xfId="11" applyNumberFormat="1" applyFont="1" applyAlignment="1">
      <alignment horizontal="right" vertical="top" wrapText="1"/>
    </xf>
    <xf numFmtId="4" fontId="12" fillId="0" borderId="0" xfId="11" applyNumberFormat="1" applyFont="1" applyAlignment="1">
      <alignment horizontal="left" vertical="top" wrapText="1"/>
    </xf>
    <xf numFmtId="9" fontId="8" fillId="3" borderId="4" xfId="1" applyFont="1" applyFill="1" applyBorder="1" applyAlignment="1" applyProtection="1">
      <alignment vertical="top"/>
    </xf>
    <xf numFmtId="165" fontId="8" fillId="3" borderId="4" xfId="11" applyNumberFormat="1" applyFont="1" applyFill="1" applyBorder="1" applyAlignment="1">
      <alignment vertical="top"/>
    </xf>
    <xf numFmtId="0" fontId="12" fillId="0" borderId="6" xfId="2" applyFont="1" applyBorder="1" applyAlignment="1">
      <alignment horizontal="left" vertical="top" wrapText="1"/>
    </xf>
    <xf numFmtId="0" fontId="8" fillId="3" borderId="6" xfId="11" applyFont="1" applyFill="1" applyBorder="1" applyAlignment="1">
      <alignment horizontal="left" vertical="center" wrapText="1"/>
    </xf>
    <xf numFmtId="0" fontId="12" fillId="4" borderId="0" xfId="11" applyFont="1" applyFill="1"/>
    <xf numFmtId="9" fontId="12" fillId="0" borderId="0" xfId="1" applyFont="1" applyBorder="1" applyAlignment="1" applyProtection="1">
      <alignment horizontal="left" vertical="top" wrapText="1"/>
    </xf>
    <xf numFmtId="165" fontId="12" fillId="0" borderId="0" xfId="11" applyNumberFormat="1" applyFont="1" applyAlignment="1">
      <alignment horizontal="left" vertical="top" wrapText="1"/>
    </xf>
    <xf numFmtId="0" fontId="12" fillId="0" borderId="0" xfId="11" applyFont="1" applyAlignment="1">
      <alignment wrapText="1"/>
    </xf>
    <xf numFmtId="0" fontId="12" fillId="3" borderId="6" xfId="11" applyFont="1" applyFill="1" applyBorder="1" applyAlignment="1">
      <alignment vertical="top" wrapText="1"/>
    </xf>
    <xf numFmtId="0" fontId="12" fillId="3" borderId="4" xfId="11" applyFont="1" applyFill="1" applyBorder="1" applyAlignment="1">
      <alignment vertical="top" wrapText="1"/>
    </xf>
    <xf numFmtId="164" fontId="8" fillId="3" borderId="4" xfId="11" applyNumberFormat="1" applyFont="1" applyFill="1" applyBorder="1" applyAlignment="1">
      <alignment vertical="top" wrapText="1"/>
    </xf>
    <xf numFmtId="0" fontId="12" fillId="4" borderId="6" xfId="9" applyFont="1" applyFill="1" applyBorder="1" applyAlignment="1">
      <alignment horizontal="left" vertical="top" wrapText="1"/>
    </xf>
    <xf numFmtId="0" fontId="12" fillId="4" borderId="4" xfId="9" applyFont="1" applyFill="1" applyBorder="1" applyAlignment="1">
      <alignment horizontal="left" vertical="top" wrapText="1"/>
    </xf>
    <xf numFmtId="170" fontId="12" fillId="0" borderId="6" xfId="4" applyNumberFormat="1" applyFont="1" applyBorder="1" applyAlignment="1">
      <alignment horizontal="right" vertical="top"/>
    </xf>
    <xf numFmtId="165" fontId="13" fillId="5" borderId="6" xfId="17" applyNumberFormat="1" applyFont="1" applyFill="1" applyBorder="1" applyAlignment="1" applyProtection="1">
      <alignment horizontal="right" vertical="top"/>
    </xf>
    <xf numFmtId="165" fontId="12" fillId="0" borderId="4" xfId="17" applyNumberFormat="1" applyFont="1" applyFill="1" applyBorder="1" applyAlignment="1" applyProtection="1">
      <alignment horizontal="right" vertical="top"/>
    </xf>
    <xf numFmtId="165" fontId="13" fillId="5" borderId="4" xfId="18" applyNumberFormat="1" applyFont="1" applyFill="1" applyBorder="1" applyAlignment="1">
      <alignment horizontal="right" vertical="top"/>
    </xf>
    <xf numFmtId="0" fontId="12" fillId="0" borderId="4" xfId="18" applyFont="1" applyBorder="1" applyAlignment="1">
      <alignment horizontal="left" vertical="top" wrapText="1"/>
    </xf>
    <xf numFmtId="0" fontId="9" fillId="0" borderId="4" xfId="0" applyFont="1" applyBorder="1" applyAlignment="1">
      <alignment horizontal="justify" vertical="top"/>
    </xf>
    <xf numFmtId="164" fontId="12" fillId="0" borderId="4" xfId="11" applyNumberFormat="1" applyFont="1" applyBorder="1" applyAlignment="1">
      <alignment vertical="top" wrapText="1"/>
    </xf>
    <xf numFmtId="166" fontId="25" fillId="3" borderId="5" xfId="11" applyNumberFormat="1" applyFont="1" applyFill="1" applyBorder="1" applyAlignment="1">
      <alignment vertical="top"/>
    </xf>
    <xf numFmtId="9" fontId="25" fillId="3" borderId="5" xfId="1" applyFont="1" applyFill="1" applyBorder="1" applyAlignment="1" applyProtection="1">
      <alignment vertical="top"/>
    </xf>
    <xf numFmtId="164" fontId="8" fillId="3" borderId="6" xfId="11" applyNumberFormat="1" applyFont="1" applyFill="1" applyBorder="1" applyAlignment="1">
      <alignment vertical="top" wrapText="1"/>
    </xf>
    <xf numFmtId="0" fontId="9" fillId="4" borderId="0" xfId="14" applyFont="1" applyFill="1"/>
    <xf numFmtId="166" fontId="9" fillId="4" borderId="0" xfId="14" applyNumberFormat="1" applyFont="1" applyFill="1"/>
    <xf numFmtId="0" fontId="9" fillId="4" borderId="0" xfId="14" applyFont="1" applyFill="1" applyAlignment="1">
      <alignment wrapText="1"/>
    </xf>
    <xf numFmtId="0" fontId="26" fillId="3" borderId="2" xfId="0" applyFont="1" applyFill="1" applyBorder="1" applyAlignment="1">
      <alignment vertical="center"/>
    </xf>
    <xf numFmtId="9" fontId="8" fillId="3" borderId="13" xfId="1" applyFont="1" applyFill="1" applyBorder="1" applyAlignment="1" applyProtection="1">
      <alignment horizontal="center" vertical="center"/>
    </xf>
    <xf numFmtId="0" fontId="8" fillId="3" borderId="13" xfId="0" applyFont="1" applyFill="1" applyBorder="1" applyAlignment="1">
      <alignment horizontal="center" vertical="center"/>
    </xf>
    <xf numFmtId="164" fontId="6" fillId="3" borderId="21" xfId="4" applyNumberFormat="1" applyFont="1" applyFill="1" applyBorder="1" applyAlignment="1">
      <alignment vertical="center" wrapText="1"/>
    </xf>
    <xf numFmtId="164" fontId="27" fillId="7" borderId="4" xfId="0" applyNumberFormat="1" applyFont="1" applyFill="1" applyBorder="1" applyAlignment="1">
      <alignment horizontal="left" vertical="center" wrapText="1"/>
    </xf>
    <xf numFmtId="164" fontId="27" fillId="7" borderId="7" xfId="0" applyNumberFormat="1" applyFont="1" applyFill="1" applyBorder="1" applyAlignment="1">
      <alignment horizontal="left" vertical="center" wrapText="1"/>
    </xf>
    <xf numFmtId="0" fontId="6" fillId="3" borderId="22" xfId="4" applyFont="1" applyFill="1" applyBorder="1" applyAlignment="1">
      <alignment horizontal="center" vertical="center" wrapText="1"/>
    </xf>
    <xf numFmtId="9" fontId="8" fillId="3" borderId="11" xfId="1" applyFont="1" applyFill="1" applyBorder="1" applyAlignment="1" applyProtection="1">
      <alignment horizontal="center" vertical="center" wrapText="1"/>
    </xf>
    <xf numFmtId="0" fontId="26" fillId="3" borderId="0" xfId="0" applyFont="1" applyFill="1" applyAlignment="1">
      <alignment vertical="center"/>
    </xf>
    <xf numFmtId="9" fontId="8" fillId="3" borderId="10" xfId="1" applyFont="1" applyFill="1" applyBorder="1" applyAlignment="1" applyProtection="1">
      <alignment horizontal="center" vertical="center"/>
    </xf>
    <xf numFmtId="0" fontId="8" fillId="3" borderId="10" xfId="0" applyFont="1" applyFill="1" applyBorder="1" applyAlignment="1">
      <alignment horizontal="center" vertical="center"/>
    </xf>
    <xf numFmtId="164" fontId="6" fillId="3" borderId="15" xfId="4" applyNumberFormat="1" applyFont="1" applyFill="1" applyBorder="1" applyAlignment="1">
      <alignment vertical="center" wrapText="1"/>
    </xf>
    <xf numFmtId="2" fontId="0" fillId="0" borderId="0" xfId="0" applyNumberFormat="1" applyAlignment="1">
      <alignment wrapText="1"/>
    </xf>
    <xf numFmtId="174" fontId="0" fillId="0" borderId="0" xfId="0" applyNumberFormat="1"/>
    <xf numFmtId="170" fontId="0" fillId="0" borderId="0" xfId="0" applyNumberFormat="1"/>
    <xf numFmtId="2" fontId="0" fillId="0" borderId="0" xfId="0" applyNumberFormat="1"/>
    <xf numFmtId="2" fontId="0" fillId="5" borderId="10" xfId="0" applyNumberFormat="1" applyFill="1" applyBorder="1"/>
    <xf numFmtId="2" fontId="6" fillId="3" borderId="16" xfId="4" applyNumberFormat="1" applyFont="1" applyFill="1" applyBorder="1" applyAlignment="1">
      <alignment vertical="center" wrapText="1"/>
    </xf>
    <xf numFmtId="174" fontId="8" fillId="3" borderId="17" xfId="5" applyNumberFormat="1" applyFont="1" applyFill="1" applyBorder="1" applyAlignment="1" applyProtection="1">
      <alignment vertical="center" wrapText="1"/>
    </xf>
    <xf numFmtId="174" fontId="8" fillId="3" borderId="18" xfId="5" applyNumberFormat="1" applyFont="1" applyFill="1" applyBorder="1" applyAlignment="1" applyProtection="1">
      <alignment vertical="center" wrapText="1"/>
    </xf>
    <xf numFmtId="174" fontId="8" fillId="3" borderId="19" xfId="5" applyNumberFormat="1" applyFont="1" applyFill="1" applyBorder="1" applyAlignment="1" applyProtection="1">
      <alignment vertical="center" wrapText="1"/>
    </xf>
    <xf numFmtId="170" fontId="8" fillId="3" borderId="9" xfId="5" applyNumberFormat="1" applyFont="1" applyFill="1" applyBorder="1" applyAlignment="1" applyProtection="1">
      <alignment horizontal="center" vertical="center" wrapText="1"/>
    </xf>
    <xf numFmtId="2" fontId="8" fillId="3" borderId="9" xfId="4" applyNumberFormat="1" applyFont="1" applyFill="1" applyBorder="1" applyAlignment="1">
      <alignment horizontal="center" vertical="center" wrapText="1"/>
    </xf>
    <xf numFmtId="2" fontId="8" fillId="3" borderId="17" xfId="4" applyNumberFormat="1" applyFont="1" applyFill="1" applyBorder="1" applyAlignment="1">
      <alignment horizontal="center" vertical="center" wrapText="1"/>
    </xf>
    <xf numFmtId="2" fontId="10" fillId="3" borderId="11" xfId="4" applyNumberFormat="1" applyFont="1" applyFill="1" applyBorder="1" applyAlignment="1">
      <alignment horizontal="center" vertical="center" wrapText="1"/>
    </xf>
    <xf numFmtId="174" fontId="8" fillId="3" borderId="11" xfId="5" applyNumberFormat="1" applyFont="1" applyFill="1" applyBorder="1" applyAlignment="1" applyProtection="1">
      <alignment horizontal="center" vertical="center" wrapText="1"/>
    </xf>
    <xf numFmtId="2" fontId="6" fillId="3" borderId="11" xfId="4" applyNumberFormat="1" applyFont="1" applyFill="1" applyBorder="1" applyAlignment="1">
      <alignment horizontal="center" vertical="center" wrapText="1"/>
    </xf>
    <xf numFmtId="2" fontId="6" fillId="3" borderId="22" xfId="4" applyNumberFormat="1" applyFont="1" applyFill="1" applyBorder="1" applyAlignment="1">
      <alignment horizontal="center" vertical="center" wrapText="1"/>
    </xf>
    <xf numFmtId="2" fontId="6" fillId="3" borderId="21" xfId="4" applyNumberFormat="1" applyFont="1" applyFill="1" applyBorder="1" applyAlignment="1">
      <alignment vertical="center" wrapText="1"/>
    </xf>
    <xf numFmtId="174" fontId="8" fillId="3" borderId="13" xfId="0" applyNumberFormat="1" applyFont="1" applyFill="1" applyBorder="1" applyAlignment="1">
      <alignment horizontal="center" vertical="center"/>
    </xf>
    <xf numFmtId="170" fontId="26" fillId="3" borderId="1" xfId="0" applyNumberFormat="1" applyFont="1" applyFill="1" applyBorder="1" applyAlignment="1">
      <alignment vertical="center"/>
    </xf>
    <xf numFmtId="2" fontId="26" fillId="3" borderId="2" xfId="0" applyNumberFormat="1" applyFont="1" applyFill="1" applyBorder="1" applyAlignment="1">
      <alignment vertical="center"/>
    </xf>
    <xf numFmtId="2" fontId="13" fillId="4" borderId="0" xfId="4" applyNumberFormat="1" applyFont="1" applyFill="1" applyAlignment="1">
      <alignment horizontal="left" vertical="top" wrapText="1"/>
    </xf>
    <xf numFmtId="174" fontId="13" fillId="4" borderId="0" xfId="4" applyNumberFormat="1" applyFont="1" applyFill="1" applyAlignment="1">
      <alignment vertical="top"/>
    </xf>
    <xf numFmtId="170" fontId="13" fillId="4" borderId="0" xfId="4" applyNumberFormat="1" applyFont="1" applyFill="1" applyAlignment="1">
      <alignment horizontal="right" vertical="top"/>
    </xf>
    <xf numFmtId="2" fontId="12" fillId="0" borderId="0" xfId="4" applyNumberFormat="1" applyFont="1" applyAlignment="1">
      <alignment horizontal="left" vertical="top" wrapText="1"/>
    </xf>
    <xf numFmtId="173" fontId="13" fillId="4" borderId="0" xfId="4" applyNumberFormat="1" applyFont="1" applyFill="1" applyAlignment="1">
      <alignment vertical="top"/>
    </xf>
    <xf numFmtId="173" fontId="13" fillId="4" borderId="8" xfId="4" applyNumberFormat="1" applyFont="1" applyFill="1" applyBorder="1" applyAlignment="1">
      <alignment vertical="top"/>
    </xf>
    <xf numFmtId="0" fontId="8" fillId="3" borderId="6" xfId="4" applyFont="1" applyFill="1" applyBorder="1" applyAlignment="1">
      <alignment horizontal="left" vertical="center" wrapText="1"/>
    </xf>
    <xf numFmtId="174" fontId="8" fillId="3" borderId="5" xfId="11" applyNumberFormat="1" applyFont="1" applyFill="1" applyBorder="1" applyAlignment="1">
      <alignment vertical="top" wrapText="1"/>
    </xf>
    <xf numFmtId="173" fontId="13" fillId="5" borderId="5" xfId="11" applyNumberFormat="1" applyFont="1" applyFill="1" applyBorder="1" applyAlignment="1">
      <alignment vertical="top"/>
    </xf>
    <xf numFmtId="173" fontId="13" fillId="5" borderId="7" xfId="11" applyNumberFormat="1" applyFont="1" applyFill="1" applyBorder="1" applyAlignment="1">
      <alignment vertical="top"/>
    </xf>
    <xf numFmtId="165" fontId="12" fillId="0" borderId="13" xfId="16" applyNumberFormat="1" applyFont="1" applyBorder="1" applyAlignment="1">
      <alignment horizontal="left" vertical="top" wrapText="1"/>
    </xf>
    <xf numFmtId="165" fontId="12" fillId="0" borderId="13" xfId="19" applyNumberFormat="1" applyFont="1" applyFill="1" applyBorder="1" applyAlignment="1" applyProtection="1">
      <alignment horizontal="right" vertical="top"/>
    </xf>
    <xf numFmtId="165" fontId="13" fillId="5" borderId="13" xfId="19" applyNumberFormat="1" applyFont="1" applyFill="1" applyBorder="1" applyAlignment="1" applyProtection="1">
      <alignment horizontal="right" vertical="top"/>
    </xf>
    <xf numFmtId="170" fontId="12" fillId="0" borderId="13" xfId="19" applyNumberFormat="1" applyFont="1" applyFill="1" applyBorder="1" applyAlignment="1" applyProtection="1">
      <alignment horizontal="right" vertical="top"/>
    </xf>
    <xf numFmtId="165" fontId="9" fillId="0" borderId="13" xfId="0" applyNumberFormat="1" applyFont="1" applyBorder="1" applyAlignment="1">
      <alignment vertical="top" wrapText="1"/>
    </xf>
    <xf numFmtId="165" fontId="12" fillId="0" borderId="1" xfId="9" applyNumberFormat="1" applyFont="1" applyBorder="1" applyAlignment="1">
      <alignment horizontal="left" vertical="top" wrapText="1"/>
    </xf>
    <xf numFmtId="0" fontId="8" fillId="3" borderId="4" xfId="4" applyFont="1" applyFill="1" applyBorder="1" applyAlignment="1">
      <alignment horizontal="left" vertical="top" wrapText="1"/>
    </xf>
    <xf numFmtId="165" fontId="8" fillId="3" borderId="4" xfId="4" applyNumberFormat="1" applyFont="1" applyFill="1" applyBorder="1" applyAlignment="1">
      <alignment vertical="top"/>
    </xf>
    <xf numFmtId="170" fontId="8" fillId="3" borderId="4" xfId="19" applyNumberFormat="1" applyFont="1" applyFill="1" applyBorder="1" applyAlignment="1" applyProtection="1">
      <alignment horizontal="right"/>
    </xf>
    <xf numFmtId="0" fontId="12" fillId="3" borderId="4" xfId="4" applyFont="1" applyFill="1" applyBorder="1" applyAlignment="1">
      <alignment horizontal="left" vertical="top" wrapText="1"/>
    </xf>
    <xf numFmtId="2" fontId="8" fillId="3" borderId="5" xfId="5" applyNumberFormat="1" applyFont="1" applyFill="1" applyBorder="1" applyAlignment="1" applyProtection="1">
      <alignment horizontal="right" vertical="center"/>
    </xf>
    <xf numFmtId="0" fontId="8" fillId="3" borderId="5" xfId="4" applyFont="1" applyFill="1" applyBorder="1" applyAlignment="1">
      <alignment horizontal="center" vertical="center" wrapText="1"/>
    </xf>
    <xf numFmtId="2" fontId="13" fillId="5" borderId="6" xfId="11" applyNumberFormat="1" applyFont="1" applyFill="1" applyBorder="1" applyAlignment="1">
      <alignment vertical="top" wrapText="1"/>
    </xf>
    <xf numFmtId="174" fontId="13" fillId="5" borderId="5" xfId="11" applyNumberFormat="1" applyFont="1" applyFill="1" applyBorder="1" applyAlignment="1">
      <alignment vertical="top"/>
    </xf>
    <xf numFmtId="170" fontId="13" fillId="5" borderId="5" xfId="11" applyNumberFormat="1" applyFont="1" applyFill="1" applyBorder="1" applyAlignment="1">
      <alignment vertical="top"/>
    </xf>
    <xf numFmtId="2" fontId="13" fillId="5" borderId="5" xfId="11" applyNumberFormat="1" applyFont="1" applyFill="1" applyBorder="1" applyAlignment="1">
      <alignment vertical="top"/>
    </xf>
    <xf numFmtId="0" fontId="12" fillId="0" borderId="13" xfId="4" applyFont="1" applyBorder="1" applyAlignment="1">
      <alignment horizontal="left" vertical="top" wrapText="1"/>
    </xf>
    <xf numFmtId="165" fontId="12" fillId="4" borderId="13" xfId="17" applyNumberFormat="1" applyFont="1" applyFill="1" applyBorder="1" applyAlignment="1" applyProtection="1">
      <alignment vertical="top"/>
    </xf>
    <xf numFmtId="165" fontId="13" fillId="5" borderId="13" xfId="17" applyNumberFormat="1" applyFont="1" applyFill="1" applyBorder="1" applyAlignment="1" applyProtection="1">
      <alignment vertical="top"/>
    </xf>
    <xf numFmtId="165" fontId="12" fillId="0" borderId="13" xfId="17" applyNumberFormat="1" applyFont="1" applyFill="1" applyBorder="1" applyAlignment="1" applyProtection="1">
      <alignment vertical="top"/>
    </xf>
    <xf numFmtId="0" fontId="12" fillId="0" borderId="13" xfId="2" applyFont="1" applyBorder="1" applyAlignment="1">
      <alignment horizontal="left" vertical="top" wrapText="1"/>
    </xf>
    <xf numFmtId="0" fontId="12" fillId="0" borderId="1" xfId="11" applyFont="1" applyBorder="1" applyAlignment="1">
      <alignment horizontal="left" vertical="top" wrapText="1"/>
    </xf>
    <xf numFmtId="0" fontId="12" fillId="0" borderId="4" xfId="20" applyFont="1" applyBorder="1" applyAlignment="1">
      <alignment horizontal="left" vertical="top" wrapText="1"/>
    </xf>
    <xf numFmtId="165" fontId="12" fillId="4" borderId="4" xfId="17" applyNumberFormat="1" applyFont="1" applyFill="1" applyBorder="1" applyAlignment="1" applyProtection="1">
      <alignment vertical="top"/>
    </xf>
    <xf numFmtId="165" fontId="13" fillId="5" borderId="4" xfId="17" applyNumberFormat="1" applyFont="1" applyFill="1" applyBorder="1" applyAlignment="1" applyProtection="1">
      <alignment vertical="top"/>
    </xf>
    <xf numFmtId="170" fontId="13" fillId="5" borderId="4" xfId="11" applyNumberFormat="1" applyFont="1" applyFill="1" applyBorder="1" applyAlignment="1">
      <alignment vertical="top"/>
    </xf>
    <xf numFmtId="0" fontId="12" fillId="5" borderId="4" xfId="4" applyFont="1" applyFill="1" applyBorder="1" applyAlignment="1">
      <alignment horizontal="left" vertical="top" wrapText="1"/>
    </xf>
    <xf numFmtId="0" fontId="13" fillId="5" borderId="6" xfId="4" applyFont="1" applyFill="1" applyBorder="1" applyAlignment="1">
      <alignment horizontal="left" vertical="top" wrapText="1"/>
    </xf>
    <xf numFmtId="2" fontId="9" fillId="4" borderId="0" xfId="0" applyNumberFormat="1" applyFont="1" applyFill="1" applyAlignment="1">
      <alignment horizontal="left" vertical="top" wrapText="1"/>
    </xf>
    <xf numFmtId="174" fontId="9" fillId="4" borderId="0" xfId="0" applyNumberFormat="1" applyFont="1" applyFill="1" applyAlignment="1">
      <alignment horizontal="right" vertical="top"/>
    </xf>
    <xf numFmtId="174" fontId="15" fillId="4" borderId="0" xfId="0" applyNumberFormat="1" applyFont="1" applyFill="1" applyAlignment="1">
      <alignment horizontal="right" vertical="top"/>
    </xf>
    <xf numFmtId="170" fontId="9" fillId="4" borderId="0" xfId="0" applyNumberFormat="1" applyFont="1" applyFill="1" applyAlignment="1">
      <alignment horizontal="right" vertical="top"/>
    </xf>
    <xf numFmtId="0" fontId="12" fillId="3" borderId="6" xfId="4" applyFont="1" applyFill="1" applyBorder="1" applyAlignment="1">
      <alignment horizontal="left" vertical="top" wrapText="1"/>
    </xf>
    <xf numFmtId="173" fontId="8" fillId="3" borderId="4" xfId="4" applyNumberFormat="1" applyFont="1" applyFill="1" applyBorder="1" applyAlignment="1">
      <alignment vertical="top"/>
    </xf>
    <xf numFmtId="2" fontId="8" fillId="3" borderId="6" xfId="11" applyNumberFormat="1" applyFont="1" applyFill="1" applyBorder="1" applyAlignment="1">
      <alignment vertical="top" wrapText="1"/>
    </xf>
    <xf numFmtId="170" fontId="8" fillId="3" borderId="5" xfId="11" applyNumberFormat="1" applyFont="1" applyFill="1" applyBorder="1" applyAlignment="1">
      <alignment vertical="top" wrapText="1"/>
    </xf>
    <xf numFmtId="2" fontId="8" fillId="3" borderId="5" xfId="11" applyNumberFormat="1" applyFont="1" applyFill="1" applyBorder="1" applyAlignment="1">
      <alignment vertical="top" wrapText="1"/>
    </xf>
    <xf numFmtId="2" fontId="13" fillId="5" borderId="6" xfId="11" applyNumberFormat="1" applyFont="1" applyFill="1" applyBorder="1" applyAlignment="1">
      <alignment horizontal="left" vertical="top" wrapText="1"/>
    </xf>
    <xf numFmtId="174" fontId="13" fillId="5" borderId="5" xfId="11" applyNumberFormat="1" applyFont="1" applyFill="1" applyBorder="1" applyAlignment="1">
      <alignment horizontal="right" vertical="top"/>
    </xf>
    <xf numFmtId="170" fontId="13" fillId="5" borderId="5" xfId="11" applyNumberFormat="1" applyFont="1" applyFill="1" applyBorder="1" applyAlignment="1">
      <alignment horizontal="right" vertical="top"/>
    </xf>
    <xf numFmtId="2" fontId="13" fillId="5" borderId="5" xfId="11" applyNumberFormat="1" applyFont="1" applyFill="1" applyBorder="1" applyAlignment="1">
      <alignment vertical="top" wrapText="1"/>
    </xf>
    <xf numFmtId="2" fontId="12" fillId="5" borderId="5" xfId="9" applyNumberFormat="1" applyFont="1" applyFill="1" applyBorder="1" applyAlignment="1">
      <alignment horizontal="left" vertical="top" wrapText="1"/>
    </xf>
    <xf numFmtId="2" fontId="12" fillId="0" borderId="13" xfId="16" applyNumberFormat="1" applyFont="1" applyBorder="1" applyAlignment="1">
      <alignment horizontal="left" vertical="top" wrapText="1"/>
    </xf>
    <xf numFmtId="174" fontId="12" fillId="4" borderId="13" xfId="17" applyNumberFormat="1" applyFont="1" applyFill="1" applyBorder="1" applyAlignment="1" applyProtection="1">
      <alignment horizontal="right" vertical="top"/>
    </xf>
    <xf numFmtId="174" fontId="13" fillId="5" borderId="13" xfId="17" applyNumberFormat="1" applyFont="1" applyFill="1" applyBorder="1" applyAlignment="1" applyProtection="1">
      <alignment horizontal="right" vertical="top"/>
    </xf>
    <xf numFmtId="174" fontId="12" fillId="0" borderId="13" xfId="19" applyNumberFormat="1" applyFont="1" applyFill="1" applyBorder="1" applyAlignment="1" applyProtection="1">
      <alignment horizontal="right" vertical="top"/>
    </xf>
    <xf numFmtId="170" fontId="12" fillId="4" borderId="13" xfId="17" applyNumberFormat="1" applyFont="1" applyFill="1" applyBorder="1" applyAlignment="1" applyProtection="1">
      <alignment horizontal="right" vertical="top"/>
    </xf>
    <xf numFmtId="2" fontId="12" fillId="0" borderId="13" xfId="2" applyNumberFormat="1" applyFont="1" applyBorder="1" applyAlignment="1">
      <alignment horizontal="left" vertical="top" wrapText="1"/>
    </xf>
    <xf numFmtId="2" fontId="12" fillId="0" borderId="1" xfId="11" applyNumberFormat="1" applyFont="1" applyBorder="1" applyAlignment="1">
      <alignment horizontal="left" vertical="top" wrapText="1"/>
    </xf>
    <xf numFmtId="173" fontId="12" fillId="4" borderId="13" xfId="17" applyNumberFormat="1" applyFont="1" applyFill="1" applyBorder="1" applyAlignment="1" applyProtection="1">
      <alignment horizontal="right" vertical="top"/>
    </xf>
    <xf numFmtId="2" fontId="9" fillId="0" borderId="4" xfId="16" applyNumberFormat="1" applyFont="1" applyBorder="1" applyAlignment="1">
      <alignment horizontal="left" vertical="top" wrapText="1"/>
    </xf>
    <xf numFmtId="174" fontId="12" fillId="4" borderId="4" xfId="17" applyNumberFormat="1" applyFont="1" applyFill="1" applyBorder="1" applyAlignment="1" applyProtection="1">
      <alignment horizontal="right" vertical="top"/>
    </xf>
    <xf numFmtId="174" fontId="13" fillId="5" borderId="4" xfId="17" applyNumberFormat="1" applyFont="1" applyFill="1" applyBorder="1" applyAlignment="1" applyProtection="1">
      <alignment horizontal="right" vertical="top"/>
    </xf>
    <xf numFmtId="170" fontId="12" fillId="0" borderId="4" xfId="17" applyNumberFormat="1" applyFont="1" applyFill="1" applyBorder="1" applyAlignment="1" applyProtection="1">
      <alignment horizontal="right" vertical="top"/>
    </xf>
    <xf numFmtId="2" fontId="12" fillId="0" borderId="4" xfId="2" applyNumberFormat="1" applyFont="1" applyBorder="1" applyAlignment="1">
      <alignment horizontal="left" vertical="top" wrapText="1"/>
    </xf>
    <xf numFmtId="2" fontId="12" fillId="0" borderId="6" xfId="11" applyNumberFormat="1" applyFont="1" applyBorder="1" applyAlignment="1">
      <alignment horizontal="left" vertical="top" wrapText="1"/>
    </xf>
    <xf numFmtId="173" fontId="12" fillId="4" borderId="4" xfId="17" applyNumberFormat="1" applyFont="1" applyFill="1" applyBorder="1" applyAlignment="1" applyProtection="1">
      <alignment horizontal="right" vertical="top"/>
    </xf>
    <xf numFmtId="174" fontId="12" fillId="0" borderId="13" xfId="9" applyNumberFormat="1" applyFont="1" applyBorder="1" applyAlignment="1">
      <alignment horizontal="right" vertical="top"/>
    </xf>
    <xf numFmtId="174" fontId="13" fillId="5" borderId="13" xfId="9" applyNumberFormat="1" applyFont="1" applyFill="1" applyBorder="1" applyAlignment="1">
      <alignment horizontal="right" vertical="top"/>
    </xf>
    <xf numFmtId="170" fontId="12" fillId="0" borderId="13" xfId="9" applyNumberFormat="1" applyFont="1" applyBorder="1" applyAlignment="1">
      <alignment horizontal="right" vertical="top"/>
    </xf>
    <xf numFmtId="2" fontId="12" fillId="0" borderId="13" xfId="16" applyNumberFormat="1" applyFont="1" applyBorder="1" applyAlignment="1">
      <alignment vertical="top" wrapText="1"/>
    </xf>
    <xf numFmtId="2" fontId="12" fillId="0" borderId="1" xfId="4" applyNumberFormat="1" applyFont="1" applyBorder="1" applyAlignment="1">
      <alignment vertical="top" wrapText="1"/>
    </xf>
    <xf numFmtId="174" fontId="12" fillId="0" borderId="0" xfId="17" applyNumberFormat="1" applyFont="1" applyFill="1" applyBorder="1" applyAlignment="1" applyProtection="1">
      <alignment horizontal="right" vertical="top"/>
    </xf>
    <xf numFmtId="174" fontId="13" fillId="0" borderId="0" xfId="17" applyNumberFormat="1" applyFont="1" applyFill="1" applyBorder="1" applyAlignment="1" applyProtection="1">
      <alignment horizontal="right" vertical="top"/>
    </xf>
    <xf numFmtId="170" fontId="12" fillId="0" borderId="0" xfId="17" applyNumberFormat="1" applyFont="1" applyFill="1" applyBorder="1" applyAlignment="1" applyProtection="1">
      <alignment horizontal="right" vertical="top"/>
    </xf>
    <xf numFmtId="2" fontId="12" fillId="0" borderId="0" xfId="17" applyNumberFormat="1" applyFont="1" applyFill="1" applyBorder="1" applyAlignment="1" applyProtection="1">
      <alignment vertical="top" wrapText="1"/>
    </xf>
    <xf numFmtId="173" fontId="12" fillId="0" borderId="0" xfId="17" applyNumberFormat="1" applyFont="1" applyFill="1" applyBorder="1" applyAlignment="1" applyProtection="1">
      <alignment horizontal="right" vertical="top"/>
    </xf>
    <xf numFmtId="173" fontId="12" fillId="0" borderId="8" xfId="17" applyNumberFormat="1" applyFont="1" applyFill="1" applyBorder="1" applyAlignment="1" applyProtection="1">
      <alignment horizontal="right" vertical="top"/>
    </xf>
    <xf numFmtId="2" fontId="8" fillId="3" borderId="4" xfId="16" applyNumberFormat="1" applyFont="1" applyFill="1" applyBorder="1" applyAlignment="1">
      <alignment horizontal="left" vertical="top" wrapText="1"/>
    </xf>
    <xf numFmtId="174" fontId="8" fillId="3" borderId="4" xfId="16" applyNumberFormat="1" applyFont="1" applyFill="1" applyBorder="1" applyAlignment="1">
      <alignment horizontal="right" vertical="top"/>
    </xf>
    <xf numFmtId="170" fontId="8" fillId="3" borderId="4" xfId="17" applyNumberFormat="1" applyFont="1" applyFill="1" applyBorder="1" applyAlignment="1" applyProtection="1">
      <alignment horizontal="right" vertical="top"/>
    </xf>
    <xf numFmtId="2" fontId="12" fillId="3" borderId="4" xfId="16" applyNumberFormat="1" applyFont="1" applyFill="1" applyBorder="1" applyAlignment="1">
      <alignment horizontal="left" vertical="top" wrapText="1"/>
    </xf>
    <xf numFmtId="2" fontId="12" fillId="3" borderId="6" xfId="16" applyNumberFormat="1" applyFont="1" applyFill="1" applyBorder="1" applyAlignment="1">
      <alignment horizontal="left" vertical="top" wrapText="1"/>
    </xf>
    <xf numFmtId="2" fontId="12" fillId="0" borderId="13" xfId="9" applyNumberFormat="1" applyFont="1" applyBorder="1" applyAlignment="1">
      <alignment horizontal="left" vertical="top" wrapText="1"/>
    </xf>
    <xf numFmtId="2" fontId="12" fillId="0" borderId="1" xfId="9" applyNumberFormat="1" applyFont="1" applyBorder="1" applyAlignment="1">
      <alignment horizontal="left" vertical="top" wrapText="1"/>
    </xf>
    <xf numFmtId="2" fontId="12" fillId="0" borderId="4" xfId="9" applyNumberFormat="1" applyFont="1" applyBorder="1" applyAlignment="1">
      <alignment horizontal="left" vertical="top" wrapText="1"/>
    </xf>
    <xf numFmtId="174" fontId="12" fillId="0" borderId="4" xfId="9" applyNumberFormat="1" applyFont="1" applyBorder="1" applyAlignment="1">
      <alignment horizontal="right" vertical="top"/>
    </xf>
    <xf numFmtId="174" fontId="13" fillId="5" borderId="4" xfId="9" applyNumberFormat="1" applyFont="1" applyFill="1" applyBorder="1" applyAlignment="1">
      <alignment horizontal="right" vertical="top"/>
    </xf>
    <xf numFmtId="170" fontId="12" fillId="0" borderId="4" xfId="9" applyNumberFormat="1" applyFont="1" applyBorder="1" applyAlignment="1">
      <alignment horizontal="right" vertical="top"/>
    </xf>
    <xf numFmtId="2" fontId="12" fillId="0" borderId="6" xfId="9" applyNumberFormat="1" applyFont="1" applyBorder="1" applyAlignment="1">
      <alignment horizontal="left" vertical="top" wrapText="1"/>
    </xf>
    <xf numFmtId="2" fontId="13" fillId="5" borderId="4" xfId="11" applyNumberFormat="1" applyFont="1" applyFill="1" applyBorder="1" applyAlignment="1">
      <alignment horizontal="left" vertical="top" wrapText="1"/>
    </xf>
    <xf numFmtId="174" fontId="13" fillId="5" borderId="4" xfId="11" applyNumberFormat="1" applyFont="1" applyFill="1" applyBorder="1" applyAlignment="1">
      <alignment vertical="top" wrapText="1"/>
    </xf>
    <xf numFmtId="2" fontId="13" fillId="5" borderId="4" xfId="11" applyNumberFormat="1" applyFont="1" applyFill="1" applyBorder="1" applyAlignment="1">
      <alignment vertical="top" wrapText="1"/>
    </xf>
    <xf numFmtId="2" fontId="12" fillId="5" borderId="6" xfId="9" applyNumberFormat="1" applyFont="1" applyFill="1" applyBorder="1" applyAlignment="1">
      <alignment horizontal="left" vertical="top" wrapText="1"/>
    </xf>
    <xf numFmtId="173" fontId="13" fillId="5" borderId="4" xfId="11" applyNumberFormat="1" applyFont="1" applyFill="1" applyBorder="1" applyAlignment="1">
      <alignment vertical="top" wrapText="1"/>
    </xf>
    <xf numFmtId="2" fontId="8" fillId="3" borderId="6" xfId="4" applyNumberFormat="1" applyFont="1" applyFill="1" applyBorder="1" applyAlignment="1">
      <alignment horizontal="left" vertical="top" wrapText="1"/>
    </xf>
    <xf numFmtId="174" fontId="8" fillId="3" borderId="5" xfId="4" applyNumberFormat="1" applyFont="1" applyFill="1" applyBorder="1" applyAlignment="1">
      <alignment horizontal="right" vertical="top"/>
    </xf>
    <xf numFmtId="170" fontId="25" fillId="3" borderId="5" xfId="4" applyNumberFormat="1" applyFont="1" applyFill="1" applyBorder="1" applyAlignment="1">
      <alignment horizontal="right" vertical="top"/>
    </xf>
    <xf numFmtId="2" fontId="8" fillId="3" borderId="5" xfId="4" applyNumberFormat="1" applyFont="1" applyFill="1" applyBorder="1" applyAlignment="1">
      <alignment vertical="top" wrapText="1"/>
    </xf>
    <xf numFmtId="2" fontId="9" fillId="0" borderId="0" xfId="0" applyNumberFormat="1" applyFont="1" applyAlignment="1">
      <alignment vertical="top" wrapText="1"/>
    </xf>
    <xf numFmtId="2" fontId="8" fillId="5" borderId="5" xfId="11" applyNumberFormat="1" applyFont="1" applyFill="1" applyBorder="1" applyAlignment="1">
      <alignment vertical="top" wrapText="1"/>
    </xf>
    <xf numFmtId="2" fontId="12" fillId="4" borderId="13" xfId="4" applyNumberFormat="1" applyFont="1" applyFill="1" applyBorder="1" applyAlignment="1">
      <alignment horizontal="left" vertical="top" wrapText="1"/>
    </xf>
    <xf numFmtId="2" fontId="12" fillId="0" borderId="13" xfId="4" applyNumberFormat="1" applyFont="1" applyBorder="1" applyAlignment="1">
      <alignment vertical="top" wrapText="1"/>
    </xf>
    <xf numFmtId="2" fontId="9" fillId="0" borderId="1" xfId="0" applyNumberFormat="1" applyFont="1" applyBorder="1" applyAlignment="1">
      <alignment vertical="top" wrapText="1"/>
    </xf>
    <xf numFmtId="2" fontId="12" fillId="0" borderId="4" xfId="4" applyNumberFormat="1" applyFont="1" applyBorder="1" applyAlignment="1">
      <alignment horizontal="left" vertical="top" wrapText="1"/>
    </xf>
    <xf numFmtId="2" fontId="12" fillId="0" borderId="4" xfId="4" applyNumberFormat="1" applyFont="1" applyBorder="1" applyAlignment="1">
      <alignment vertical="top" wrapText="1"/>
    </xf>
    <xf numFmtId="2" fontId="12" fillId="0" borderId="6" xfId="4" applyNumberFormat="1" applyFont="1" applyBorder="1" applyAlignment="1">
      <alignment vertical="top" wrapText="1"/>
    </xf>
    <xf numFmtId="2" fontId="9" fillId="0" borderId="6" xfId="0" applyNumberFormat="1" applyFont="1" applyBorder="1" applyAlignment="1">
      <alignment vertical="top" wrapText="1"/>
    </xf>
    <xf numFmtId="2" fontId="8" fillId="5" borderId="4" xfId="11" applyNumberFormat="1" applyFont="1" applyFill="1" applyBorder="1" applyAlignment="1">
      <alignment vertical="top" wrapText="1"/>
    </xf>
    <xf numFmtId="2" fontId="8" fillId="5" borderId="6" xfId="11" applyNumberFormat="1" applyFont="1" applyFill="1" applyBorder="1" applyAlignment="1">
      <alignment vertical="top" wrapText="1"/>
    </xf>
    <xf numFmtId="2" fontId="12" fillId="0" borderId="13" xfId="4" applyNumberFormat="1" applyFont="1" applyBorder="1" applyAlignment="1">
      <alignment horizontal="left" vertical="top" wrapText="1"/>
    </xf>
    <xf numFmtId="2" fontId="9" fillId="0" borderId="0" xfId="4" applyNumberFormat="1" applyFont="1" applyAlignment="1">
      <alignment wrapText="1"/>
    </xf>
    <xf numFmtId="174" fontId="9" fillId="0" borderId="0" xfId="4" applyNumberFormat="1" applyFont="1"/>
    <xf numFmtId="174" fontId="15" fillId="0" borderId="0" xfId="4" applyNumberFormat="1" applyFont="1"/>
    <xf numFmtId="170" fontId="9" fillId="0" borderId="0" xfId="4" applyNumberFormat="1" applyFont="1" applyAlignment="1">
      <alignment horizontal="right"/>
    </xf>
    <xf numFmtId="2" fontId="9" fillId="0" borderId="0" xfId="4" applyNumberFormat="1" applyFont="1" applyAlignment="1">
      <alignment vertical="top" wrapText="1"/>
    </xf>
    <xf numFmtId="174" fontId="13" fillId="5" borderId="13" xfId="19" applyNumberFormat="1" applyFont="1" applyFill="1" applyBorder="1" applyAlignment="1" applyProtection="1">
      <alignment horizontal="right" vertical="top"/>
    </xf>
    <xf numFmtId="170" fontId="12" fillId="0" borderId="13" xfId="17" applyNumberFormat="1" applyFont="1" applyFill="1" applyBorder="1" applyAlignment="1" applyProtection="1">
      <alignment horizontal="right" vertical="top" wrapText="1"/>
    </xf>
    <xf numFmtId="2" fontId="12" fillId="0" borderId="13" xfId="11" applyNumberFormat="1" applyFont="1" applyBorder="1" applyAlignment="1">
      <alignment horizontal="left" vertical="top" wrapText="1"/>
    </xf>
    <xf numFmtId="174" fontId="12" fillId="0" borderId="4" xfId="19" applyNumberFormat="1" applyFont="1" applyFill="1" applyBorder="1" applyAlignment="1" applyProtection="1">
      <alignment horizontal="right" vertical="top"/>
    </xf>
    <xf numFmtId="174" fontId="13" fillId="5" borderId="4" xfId="19" applyNumberFormat="1" applyFont="1" applyFill="1" applyBorder="1" applyAlignment="1" applyProtection="1">
      <alignment horizontal="right" vertical="top"/>
    </xf>
    <xf numFmtId="170" fontId="12" fillId="0" borderId="4" xfId="17" applyNumberFormat="1" applyFont="1" applyFill="1" applyBorder="1" applyAlignment="1" applyProtection="1">
      <alignment horizontal="right" vertical="top" wrapText="1"/>
    </xf>
    <xf numFmtId="2" fontId="12" fillId="0" borderId="4" xfId="11" applyNumberFormat="1" applyFont="1" applyBorder="1" applyAlignment="1">
      <alignment horizontal="left" vertical="top" wrapText="1"/>
    </xf>
    <xf numFmtId="170" fontId="13" fillId="5" borderId="4" xfId="11" applyNumberFormat="1" applyFont="1" applyFill="1" applyBorder="1" applyAlignment="1">
      <alignment horizontal="right" vertical="top"/>
    </xf>
    <xf numFmtId="2" fontId="12" fillId="5" borderId="4" xfId="9" applyNumberFormat="1" applyFont="1" applyFill="1" applyBorder="1" applyAlignment="1">
      <alignment horizontal="left" vertical="top" wrapText="1"/>
    </xf>
    <xf numFmtId="2" fontId="12" fillId="0" borderId="4" xfId="16" applyNumberFormat="1" applyFont="1" applyBorder="1" applyAlignment="1">
      <alignment vertical="top" wrapText="1"/>
    </xf>
    <xf numFmtId="174" fontId="13" fillId="5" borderId="5" xfId="11" applyNumberFormat="1" applyFont="1" applyFill="1" applyBorder="1" applyAlignment="1">
      <alignment vertical="top" wrapText="1"/>
    </xf>
    <xf numFmtId="170" fontId="13" fillId="5" borderId="5" xfId="11" applyNumberFormat="1" applyFont="1" applyFill="1" applyBorder="1" applyAlignment="1">
      <alignment horizontal="right" vertical="top" wrapText="1"/>
    </xf>
    <xf numFmtId="2" fontId="8" fillId="3" borderId="4" xfId="4" applyNumberFormat="1" applyFont="1" applyFill="1" applyBorder="1" applyAlignment="1">
      <alignment vertical="top" wrapText="1"/>
    </xf>
    <xf numFmtId="2" fontId="8" fillId="3" borderId="0" xfId="4" applyNumberFormat="1" applyFont="1" applyFill="1" applyAlignment="1">
      <alignment vertical="top" wrapText="1"/>
    </xf>
    <xf numFmtId="170" fontId="8" fillId="3" borderId="5" xfId="5" applyNumberFormat="1" applyFont="1" applyFill="1" applyBorder="1" applyAlignment="1" applyProtection="1">
      <alignment horizontal="right" vertical="top"/>
    </xf>
    <xf numFmtId="2" fontId="8" fillId="3" borderId="6" xfId="4" applyNumberFormat="1" applyFont="1" applyFill="1" applyBorder="1" applyAlignment="1">
      <alignment vertical="top" wrapText="1"/>
    </xf>
    <xf numFmtId="2" fontId="9" fillId="0" borderId="13" xfId="0" applyNumberFormat="1" applyFont="1" applyBorder="1" applyAlignment="1">
      <alignment vertical="top" wrapText="1"/>
    </xf>
    <xf numFmtId="2" fontId="9" fillId="0" borderId="4" xfId="0" applyNumberFormat="1" applyFont="1" applyBorder="1" applyAlignment="1">
      <alignment vertical="top" wrapText="1"/>
    </xf>
    <xf numFmtId="2" fontId="8" fillId="3" borderId="4" xfId="11" applyNumberFormat="1" applyFont="1" applyFill="1" applyBorder="1" applyAlignment="1">
      <alignment vertical="top" wrapText="1"/>
    </xf>
    <xf numFmtId="2" fontId="8" fillId="0" borderId="0" xfId="11" applyNumberFormat="1" applyFont="1" applyAlignment="1">
      <alignment horizontal="left" vertical="top" wrapText="1"/>
    </xf>
    <xf numFmtId="174" fontId="8" fillId="0" borderId="0" xfId="11" applyNumberFormat="1" applyFont="1" applyAlignment="1">
      <alignment horizontal="right" vertical="top"/>
    </xf>
    <xf numFmtId="170" fontId="8" fillId="0" borderId="0" xfId="11" applyNumberFormat="1" applyFont="1" applyAlignment="1">
      <alignment horizontal="right" vertical="top"/>
    </xf>
    <xf numFmtId="2" fontId="8" fillId="0" borderId="0" xfId="11" applyNumberFormat="1" applyFont="1" applyAlignment="1">
      <alignment vertical="top" wrapText="1"/>
    </xf>
    <xf numFmtId="2" fontId="8" fillId="3" borderId="6" xfId="4" applyNumberFormat="1" applyFont="1" applyFill="1" applyBorder="1" applyAlignment="1">
      <alignment horizontal="left" vertical="center" wrapText="1"/>
    </xf>
    <xf numFmtId="174" fontId="8" fillId="3" borderId="5" xfId="5" applyNumberFormat="1" applyFont="1" applyFill="1" applyBorder="1" applyAlignment="1" applyProtection="1">
      <alignment horizontal="center" vertical="center"/>
    </xf>
    <xf numFmtId="170" fontId="8" fillId="3" borderId="5" xfId="5" applyNumberFormat="1" applyFont="1" applyFill="1" applyBorder="1" applyAlignment="1" applyProtection="1">
      <alignment horizontal="right" vertical="center"/>
    </xf>
    <xf numFmtId="2" fontId="8" fillId="3" borderId="5" xfId="4" applyNumberFormat="1" applyFont="1" applyFill="1" applyBorder="1" applyAlignment="1">
      <alignment horizontal="center" vertical="center" wrapText="1"/>
    </xf>
    <xf numFmtId="2" fontId="13" fillId="5" borderId="6" xfId="11" quotePrefix="1" applyNumberFormat="1" applyFont="1" applyFill="1" applyBorder="1" applyAlignment="1">
      <alignment horizontal="left" vertical="top" wrapText="1"/>
    </xf>
    <xf numFmtId="2" fontId="9" fillId="5" borderId="5" xfId="14" applyNumberFormat="1" applyFont="1" applyFill="1" applyBorder="1"/>
    <xf numFmtId="2" fontId="13" fillId="5" borderId="13" xfId="11" quotePrefix="1" applyNumberFormat="1" applyFont="1" applyFill="1" applyBorder="1" applyAlignment="1">
      <alignment horizontal="left" vertical="top" wrapText="1"/>
    </xf>
    <xf numFmtId="174" fontId="13" fillId="5" borderId="13" xfId="11" applyNumberFormat="1" applyFont="1" applyFill="1" applyBorder="1" applyAlignment="1">
      <alignment vertical="top" wrapText="1"/>
    </xf>
    <xf numFmtId="2" fontId="9" fillId="5" borderId="4" xfId="14" applyNumberFormat="1" applyFont="1" applyFill="1" applyBorder="1"/>
    <xf numFmtId="2" fontId="9" fillId="5" borderId="6" xfId="14" applyNumberFormat="1" applyFont="1" applyFill="1" applyBorder="1"/>
    <xf numFmtId="2" fontId="12" fillId="0" borderId="13" xfId="17" applyNumberFormat="1" applyFont="1" applyFill="1" applyBorder="1" applyAlignment="1" applyProtection="1">
      <alignment vertical="top" wrapText="1"/>
    </xf>
    <xf numFmtId="2" fontId="12" fillId="0" borderId="1" xfId="17" applyNumberFormat="1" applyFont="1" applyFill="1" applyBorder="1" applyAlignment="1" applyProtection="1">
      <alignment vertical="top" wrapText="1"/>
    </xf>
    <xf numFmtId="170" fontId="13" fillId="5" borderId="13" xfId="11" applyNumberFormat="1" applyFont="1" applyFill="1" applyBorder="1" applyAlignment="1">
      <alignment vertical="top"/>
    </xf>
    <xf numFmtId="2" fontId="8" fillId="3" borderId="4" xfId="4" applyNumberFormat="1" applyFont="1" applyFill="1" applyBorder="1" applyAlignment="1">
      <alignment horizontal="left" vertical="center" wrapText="1"/>
    </xf>
    <xf numFmtId="174" fontId="8" fillId="3" borderId="4" xfId="4" applyNumberFormat="1" applyFont="1" applyFill="1" applyBorder="1" applyAlignment="1">
      <alignment vertical="top"/>
    </xf>
    <xf numFmtId="170" fontId="8" fillId="3" borderId="4" xfId="4" applyNumberFormat="1" applyFont="1" applyFill="1" applyBorder="1" applyAlignment="1">
      <alignment horizontal="right" vertical="top"/>
    </xf>
    <xf numFmtId="2" fontId="12" fillId="3" borderId="4" xfId="4" applyNumberFormat="1" applyFont="1" applyFill="1" applyBorder="1" applyAlignment="1">
      <alignment horizontal="left" vertical="top" wrapText="1"/>
    </xf>
    <xf numFmtId="2" fontId="12" fillId="3" borderId="6" xfId="4" applyNumberFormat="1" applyFont="1" applyFill="1" applyBorder="1" applyAlignment="1">
      <alignment horizontal="left" vertical="top" wrapText="1"/>
    </xf>
    <xf numFmtId="2" fontId="13" fillId="4" borderId="0" xfId="16" applyNumberFormat="1" applyFont="1" applyFill="1" applyAlignment="1">
      <alignment wrapText="1"/>
    </xf>
    <xf numFmtId="174" fontId="13" fillId="4" borderId="0" xfId="16" applyNumberFormat="1" applyFont="1" applyFill="1" applyAlignment="1">
      <alignment horizontal="right"/>
    </xf>
    <xf numFmtId="170" fontId="13" fillId="4" borderId="0" xfId="16" applyNumberFormat="1" applyFont="1" applyFill="1" applyAlignment="1">
      <alignment horizontal="right"/>
    </xf>
    <xf numFmtId="2" fontId="12" fillId="4" borderId="0" xfId="16" applyNumberFormat="1" applyFont="1" applyFill="1" applyAlignment="1">
      <alignment wrapText="1"/>
    </xf>
    <xf numFmtId="2" fontId="12" fillId="4" borderId="0" xfId="16" applyNumberFormat="1" applyFont="1" applyFill="1" applyAlignment="1">
      <alignment vertical="top" wrapText="1"/>
    </xf>
    <xf numFmtId="170" fontId="12" fillId="0" borderId="13" xfId="17" applyNumberFormat="1" applyFont="1" applyFill="1" applyBorder="1" applyAlignment="1" applyProtection="1">
      <alignment horizontal="right" vertical="top"/>
    </xf>
    <xf numFmtId="2" fontId="9" fillId="4" borderId="0" xfId="14" applyNumberFormat="1" applyFont="1" applyFill="1" applyAlignment="1">
      <alignment wrapText="1"/>
    </xf>
    <xf numFmtId="2" fontId="9" fillId="4" borderId="0" xfId="14" applyNumberFormat="1" applyFont="1" applyFill="1"/>
    <xf numFmtId="174" fontId="8" fillId="3" borderId="5" xfId="5" applyNumberFormat="1" applyFont="1" applyFill="1" applyBorder="1" applyAlignment="1" applyProtection="1">
      <alignment horizontal="right" vertical="top" wrapText="1"/>
    </xf>
    <xf numFmtId="170" fontId="25" fillId="3" borderId="5" xfId="4" applyNumberFormat="1" applyFont="1" applyFill="1" applyBorder="1" applyAlignment="1">
      <alignment horizontal="right" wrapText="1"/>
    </xf>
    <xf numFmtId="2" fontId="8" fillId="3" borderId="5" xfId="4" applyNumberFormat="1" applyFont="1" applyFill="1" applyBorder="1" applyAlignment="1">
      <alignment horizontal="center" vertical="top" wrapText="1"/>
    </xf>
    <xf numFmtId="174" fontId="13" fillId="5" borderId="4" xfId="18" applyNumberFormat="1" applyFont="1" applyFill="1" applyBorder="1" applyAlignment="1">
      <alignment horizontal="right" vertical="top"/>
    </xf>
    <xf numFmtId="170" fontId="12" fillId="0" borderId="4" xfId="18" applyNumberFormat="1" applyFont="1" applyBorder="1" applyAlignment="1">
      <alignment horizontal="right" vertical="top"/>
    </xf>
    <xf numFmtId="2" fontId="22" fillId="4" borderId="4" xfId="4" applyNumberFormat="1" applyFont="1" applyFill="1" applyBorder="1" applyAlignment="1">
      <alignment vertical="top" wrapText="1"/>
    </xf>
    <xf numFmtId="2" fontId="22" fillId="4" borderId="6" xfId="4" applyNumberFormat="1" applyFont="1" applyFill="1" applyBorder="1" applyAlignment="1">
      <alignment vertical="top" wrapText="1"/>
    </xf>
    <xf numFmtId="2" fontId="12" fillId="4" borderId="6" xfId="4" applyNumberFormat="1" applyFont="1" applyFill="1" applyBorder="1" applyAlignment="1">
      <alignment horizontal="left" vertical="top" wrapText="1"/>
    </xf>
    <xf numFmtId="2" fontId="12" fillId="4" borderId="4" xfId="4" applyNumberFormat="1" applyFont="1" applyFill="1" applyBorder="1" applyAlignment="1">
      <alignment horizontal="left" vertical="top" wrapText="1"/>
    </xf>
    <xf numFmtId="2" fontId="12" fillId="4" borderId="6" xfId="9" applyNumberFormat="1" applyFont="1" applyFill="1" applyBorder="1" applyAlignment="1">
      <alignment horizontal="left" vertical="top" wrapText="1"/>
    </xf>
    <xf numFmtId="2" fontId="12" fillId="4" borderId="6" xfId="17" applyNumberFormat="1" applyFont="1" applyFill="1" applyBorder="1" applyAlignment="1" applyProtection="1">
      <alignment horizontal="left" vertical="top" wrapText="1"/>
    </xf>
    <xf numFmtId="2" fontId="13" fillId="5" borderId="13" xfId="11" applyNumberFormat="1" applyFont="1" applyFill="1" applyBorder="1" applyAlignment="1">
      <alignment horizontal="left" vertical="top" wrapText="1"/>
    </xf>
    <xf numFmtId="2" fontId="26" fillId="5" borderId="4" xfId="0" applyNumberFormat="1" applyFont="1" applyFill="1" applyBorder="1"/>
    <xf numFmtId="2" fontId="26" fillId="5" borderId="6" xfId="0" applyNumberFormat="1" applyFont="1" applyFill="1" applyBorder="1"/>
    <xf numFmtId="2" fontId="8" fillId="3" borderId="4" xfId="4" applyNumberFormat="1" applyFont="1" applyFill="1" applyBorder="1" applyAlignment="1">
      <alignment horizontal="left" vertical="top" wrapText="1"/>
    </xf>
    <xf numFmtId="174" fontId="8" fillId="3" borderId="4" xfId="17" applyNumberFormat="1" applyFont="1" applyFill="1" applyBorder="1" applyAlignment="1" applyProtection="1">
      <alignment horizontal="right" vertical="top" wrapText="1"/>
    </xf>
    <xf numFmtId="170" fontId="8" fillId="3" borderId="4" xfId="17" applyNumberFormat="1" applyFont="1" applyFill="1" applyBorder="1" applyAlignment="1" applyProtection="1">
      <alignment horizontal="right" vertical="top" wrapText="1"/>
    </xf>
    <xf numFmtId="2" fontId="25" fillId="0" borderId="0" xfId="17" applyNumberFormat="1" applyFont="1" applyFill="1" applyBorder="1" applyAlignment="1" applyProtection="1">
      <alignment horizontal="left" vertical="top" wrapText="1"/>
    </xf>
    <xf numFmtId="0" fontId="13" fillId="0" borderId="0" xfId="4" applyFont="1" applyAlignment="1">
      <alignment horizontal="left" vertical="top" wrapText="1"/>
    </xf>
    <xf numFmtId="165" fontId="13" fillId="0" borderId="0" xfId="4" applyNumberFormat="1" applyFont="1" applyAlignment="1">
      <alignment vertical="top"/>
    </xf>
    <xf numFmtId="170" fontId="13" fillId="0" borderId="0" xfId="4" applyNumberFormat="1" applyFont="1" applyAlignment="1">
      <alignment horizontal="right" vertical="top"/>
    </xf>
    <xf numFmtId="0" fontId="12" fillId="0" borderId="0" xfId="4" applyFont="1" applyAlignment="1">
      <alignment horizontal="left" vertical="top" wrapText="1"/>
    </xf>
    <xf numFmtId="173" fontId="13" fillId="0" borderId="0" xfId="4" applyNumberFormat="1" applyFont="1" applyAlignment="1">
      <alignment vertical="top"/>
    </xf>
    <xf numFmtId="173" fontId="13" fillId="0" borderId="8" xfId="4" applyNumberFormat="1" applyFont="1" applyBorder="1" applyAlignment="1">
      <alignment vertical="top"/>
    </xf>
    <xf numFmtId="0" fontId="12" fillId="0" borderId="4" xfId="4" applyFont="1" applyBorder="1" applyAlignment="1">
      <alignment horizontal="left" vertical="top" wrapText="1"/>
    </xf>
    <xf numFmtId="174" fontId="12" fillId="0" borderId="0" xfId="9" applyNumberFormat="1" applyFont="1" applyAlignment="1">
      <alignment horizontal="right" vertical="top"/>
    </xf>
    <xf numFmtId="174" fontId="13" fillId="0" borderId="0" xfId="9" applyNumberFormat="1" applyFont="1" applyAlignment="1">
      <alignment horizontal="right" vertical="top"/>
    </xf>
    <xf numFmtId="174" fontId="12" fillId="0" borderId="0" xfId="19" applyNumberFormat="1" applyFont="1" applyFill="1" applyBorder="1" applyAlignment="1" applyProtection="1">
      <alignment horizontal="right" vertical="top"/>
    </xf>
    <xf numFmtId="170" fontId="12" fillId="0" borderId="0" xfId="9" applyNumberFormat="1" applyFont="1" applyAlignment="1">
      <alignment horizontal="right" vertical="top"/>
    </xf>
    <xf numFmtId="165" fontId="8" fillId="3" borderId="6" xfId="16" applyNumberFormat="1" applyFont="1" applyFill="1" applyBorder="1" applyAlignment="1">
      <alignment horizontal="left" vertical="center" wrapText="1"/>
    </xf>
    <xf numFmtId="165" fontId="8" fillId="3" borderId="5" xfId="19" applyNumberFormat="1" applyFont="1" applyFill="1" applyBorder="1" applyAlignment="1" applyProtection="1">
      <alignment horizontal="right" vertical="top"/>
    </xf>
    <xf numFmtId="10" fontId="8" fillId="3" borderId="5" xfId="19" applyNumberFormat="1" applyFont="1" applyFill="1" applyBorder="1" applyAlignment="1" applyProtection="1">
      <alignment horizontal="right" vertical="top"/>
    </xf>
    <xf numFmtId="165" fontId="8" fillId="3" borderId="5" xfId="16" applyNumberFormat="1" applyFont="1" applyFill="1" applyBorder="1" applyAlignment="1">
      <alignment horizontal="center" vertical="top" wrapText="1"/>
    </xf>
    <xf numFmtId="165" fontId="13" fillId="0" borderId="0" xfId="16" applyNumberFormat="1" applyFont="1" applyAlignment="1">
      <alignment horizontal="left" vertical="center" wrapText="1"/>
    </xf>
    <xf numFmtId="165" fontId="13" fillId="0" borderId="0" xfId="19" applyNumberFormat="1" applyFont="1" applyFill="1" applyBorder="1" applyAlignment="1" applyProtection="1">
      <alignment horizontal="right" vertical="top"/>
    </xf>
    <xf numFmtId="10" fontId="13" fillId="0" borderId="0" xfId="19" applyNumberFormat="1" applyFont="1" applyFill="1" applyBorder="1" applyAlignment="1" applyProtection="1">
      <alignment horizontal="right"/>
    </xf>
    <xf numFmtId="165" fontId="13" fillId="4" borderId="0" xfId="16" applyNumberFormat="1" applyFont="1" applyFill="1" applyAlignment="1">
      <alignment horizontal="center" vertical="top" wrapText="1"/>
    </xf>
    <xf numFmtId="10" fontId="13" fillId="5" borderId="5" xfId="11" applyNumberFormat="1" applyFont="1" applyFill="1" applyBorder="1" applyAlignment="1">
      <alignment vertical="top"/>
    </xf>
    <xf numFmtId="165" fontId="12" fillId="0" borderId="13" xfId="9" applyNumberFormat="1" applyFont="1" applyBorder="1" applyAlignment="1">
      <alignment horizontal="left" vertical="top" wrapText="1"/>
    </xf>
    <xf numFmtId="165" fontId="12" fillId="0" borderId="4" xfId="19" applyNumberFormat="1" applyFont="1" applyFill="1" applyBorder="1" applyAlignment="1" applyProtection="1">
      <alignment horizontal="right" vertical="top"/>
    </xf>
    <xf numFmtId="165" fontId="13" fillId="5" borderId="4" xfId="19" applyNumberFormat="1" applyFont="1" applyFill="1" applyBorder="1" applyAlignment="1" applyProtection="1">
      <alignment horizontal="right" vertical="top"/>
    </xf>
    <xf numFmtId="165" fontId="12" fillId="0" borderId="4" xfId="9" applyNumberFormat="1" applyFont="1" applyBorder="1" applyAlignment="1">
      <alignment horizontal="left" vertical="top" wrapText="1"/>
    </xf>
    <xf numFmtId="165" fontId="12" fillId="0" borderId="6" xfId="16" applyNumberFormat="1" applyFont="1" applyBorder="1" applyAlignment="1">
      <alignment horizontal="left" vertical="top" wrapText="1"/>
    </xf>
    <xf numFmtId="165" fontId="12" fillId="4" borderId="6" xfId="9" applyNumberFormat="1" applyFont="1" applyFill="1" applyBorder="1" applyAlignment="1">
      <alignment horizontal="left" vertical="top" wrapText="1"/>
    </xf>
    <xf numFmtId="165" fontId="13" fillId="5" borderId="4" xfId="11" applyNumberFormat="1" applyFont="1" applyFill="1" applyBorder="1" applyAlignment="1">
      <alignment horizontal="left" vertical="top" wrapText="1"/>
    </xf>
    <xf numFmtId="165" fontId="15" fillId="5" borderId="4" xfId="11" applyNumberFormat="1" applyFont="1" applyFill="1" applyBorder="1" applyAlignment="1">
      <alignment vertical="top" wrapText="1"/>
    </xf>
    <xf numFmtId="165" fontId="15" fillId="5" borderId="6" xfId="11" applyNumberFormat="1" applyFont="1" applyFill="1" applyBorder="1" applyAlignment="1">
      <alignment vertical="top" wrapText="1"/>
    </xf>
    <xf numFmtId="165" fontId="13" fillId="0" borderId="0" xfId="16" applyNumberFormat="1" applyFont="1" applyAlignment="1">
      <alignment horizontal="left" wrapText="1"/>
    </xf>
    <xf numFmtId="165" fontId="13" fillId="0" borderId="0" xfId="16" applyNumberFormat="1" applyFont="1"/>
    <xf numFmtId="10" fontId="13" fillId="0" borderId="0" xfId="16" applyNumberFormat="1" applyFont="1" applyAlignment="1">
      <alignment horizontal="right"/>
    </xf>
    <xf numFmtId="165" fontId="12" fillId="0" borderId="0" xfId="4" applyNumberFormat="1" applyFont="1" applyAlignment="1">
      <alignment horizontal="left" vertical="top" wrapText="1"/>
    </xf>
    <xf numFmtId="165" fontId="12" fillId="0" borderId="4" xfId="16" applyNumberFormat="1" applyFont="1" applyBorder="1" applyAlignment="1">
      <alignment horizontal="left" vertical="top" wrapText="1"/>
    </xf>
    <xf numFmtId="165" fontId="9" fillId="0" borderId="4" xfId="0" applyNumberFormat="1" applyFont="1" applyBorder="1" applyAlignment="1">
      <alignment vertical="top" wrapText="1"/>
    </xf>
    <xf numFmtId="165" fontId="9" fillId="4" borderId="6" xfId="0" applyNumberFormat="1" applyFont="1" applyFill="1" applyBorder="1" applyAlignment="1">
      <alignment vertical="top" wrapText="1"/>
    </xf>
    <xf numFmtId="165" fontId="12" fillId="0" borderId="4" xfId="0" applyNumberFormat="1" applyFont="1" applyBorder="1" applyAlignment="1">
      <alignment vertical="top" wrapText="1"/>
    </xf>
    <xf numFmtId="165" fontId="12" fillId="0" borderId="6" xfId="9" applyNumberFormat="1" applyFont="1" applyBorder="1" applyAlignment="1">
      <alignment horizontal="left" vertical="top" wrapText="1"/>
    </xf>
    <xf numFmtId="165" fontId="12" fillId="0" borderId="0" xfId="16" applyNumberFormat="1" applyFont="1" applyAlignment="1">
      <alignment wrapText="1"/>
    </xf>
    <xf numFmtId="165" fontId="12" fillId="4" borderId="0" xfId="16" applyNumberFormat="1" applyFont="1" applyFill="1" applyAlignment="1">
      <alignment horizontal="left" vertical="top" wrapText="1"/>
    </xf>
    <xf numFmtId="165" fontId="13" fillId="5" borderId="6" xfId="11" applyNumberFormat="1" applyFont="1" applyFill="1" applyBorder="1" applyAlignment="1">
      <alignment vertical="top" wrapText="1"/>
    </xf>
    <xf numFmtId="165" fontId="13" fillId="5" borderId="5" xfId="11" applyNumberFormat="1" applyFont="1" applyFill="1" applyBorder="1" applyAlignment="1">
      <alignment vertical="top"/>
    </xf>
    <xf numFmtId="165" fontId="12" fillId="0" borderId="13" xfId="0" applyNumberFormat="1" applyFont="1" applyBorder="1" applyAlignment="1">
      <alignment vertical="top" wrapText="1"/>
    </xf>
    <xf numFmtId="165" fontId="9" fillId="0" borderId="6" xfId="0" applyNumberFormat="1" applyFont="1" applyBorder="1" applyAlignment="1">
      <alignment vertical="top" wrapText="1"/>
    </xf>
    <xf numFmtId="165" fontId="12" fillId="0" borderId="1" xfId="16" applyNumberFormat="1" applyFont="1" applyBorder="1" applyAlignment="1">
      <alignment horizontal="left" vertical="top" wrapText="1"/>
    </xf>
    <xf numFmtId="165" fontId="12" fillId="4" borderId="1" xfId="9" applyNumberFormat="1" applyFont="1" applyFill="1" applyBorder="1" applyAlignment="1">
      <alignment horizontal="left" vertical="top" wrapText="1"/>
    </xf>
    <xf numFmtId="165" fontId="8" fillId="3" borderId="4" xfId="16" applyNumberFormat="1" applyFont="1" applyFill="1" applyBorder="1" applyAlignment="1">
      <alignment horizontal="justify" vertical="top" wrapText="1"/>
    </xf>
    <xf numFmtId="165" fontId="8" fillId="3" borderId="4" xfId="16" applyNumberFormat="1" applyFont="1" applyFill="1" applyBorder="1"/>
    <xf numFmtId="165" fontId="12" fillId="3" borderId="4" xfId="16" applyNumberFormat="1" applyFont="1" applyFill="1" applyBorder="1" applyAlignment="1">
      <alignment vertical="top" wrapText="1"/>
    </xf>
    <xf numFmtId="165" fontId="12" fillId="3" borderId="6" xfId="16" applyNumberFormat="1" applyFont="1" applyFill="1" applyBorder="1" applyAlignment="1">
      <alignment vertical="top" wrapText="1"/>
    </xf>
    <xf numFmtId="165" fontId="13" fillId="0" borderId="0" xfId="16" applyNumberFormat="1" applyFont="1" applyAlignment="1">
      <alignment wrapText="1"/>
    </xf>
    <xf numFmtId="0" fontId="8" fillId="3" borderId="6" xfId="16" applyFont="1" applyFill="1" applyBorder="1" applyAlignment="1">
      <alignment horizontal="left" vertical="center" wrapText="1"/>
    </xf>
    <xf numFmtId="170" fontId="8" fillId="3" borderId="5" xfId="19" applyNumberFormat="1" applyFont="1" applyFill="1" applyBorder="1" applyAlignment="1" applyProtection="1">
      <alignment horizontal="right" vertical="top"/>
    </xf>
    <xf numFmtId="0" fontId="8" fillId="3" borderId="5" xfId="16" applyFont="1" applyFill="1" applyBorder="1" applyAlignment="1">
      <alignment horizontal="center" vertical="top" wrapText="1"/>
    </xf>
    <xf numFmtId="165" fontId="12" fillId="0" borderId="4" xfId="16" quotePrefix="1" applyNumberFormat="1" applyFont="1" applyBorder="1" applyAlignment="1">
      <alignment horizontal="left" vertical="top" wrapText="1"/>
    </xf>
    <xf numFmtId="0" fontId="8" fillId="3" borderId="4" xfId="16" quotePrefix="1" applyFont="1" applyFill="1" applyBorder="1" applyAlignment="1">
      <alignment horizontal="left" wrapText="1"/>
    </xf>
    <xf numFmtId="165" fontId="8" fillId="3" borderId="4" xfId="16" applyNumberFormat="1" applyFont="1" applyFill="1" applyBorder="1" applyAlignment="1">
      <alignment horizontal="right"/>
    </xf>
    <xf numFmtId="0" fontId="12" fillId="3" borderId="4" xfId="16" applyFont="1" applyFill="1" applyBorder="1" applyAlignment="1">
      <alignment vertical="top" wrapText="1"/>
    </xf>
    <xf numFmtId="0" fontId="12" fillId="3" borderId="6" xfId="16" applyFont="1" applyFill="1" applyBorder="1" applyAlignment="1">
      <alignment vertical="top" wrapText="1"/>
    </xf>
    <xf numFmtId="0" fontId="9" fillId="4" borderId="0" xfId="9" applyFont="1" applyFill="1" applyAlignment="1">
      <alignment wrapText="1"/>
    </xf>
    <xf numFmtId="165" fontId="26" fillId="0" borderId="0" xfId="0" applyNumberFormat="1" applyFont="1"/>
    <xf numFmtId="165" fontId="31" fillId="0" borderId="0" xfId="0" applyNumberFormat="1" applyFont="1"/>
    <xf numFmtId="167" fontId="9" fillId="4" borderId="0" xfId="9" applyNumberFormat="1" applyFont="1" applyFill="1" applyAlignment="1">
      <alignment horizontal="right"/>
    </xf>
    <xf numFmtId="165" fontId="8" fillId="3" borderId="4" xfId="16" applyNumberFormat="1" applyFont="1" applyFill="1" applyBorder="1" applyAlignment="1">
      <alignment wrapText="1"/>
    </xf>
    <xf numFmtId="165" fontId="12" fillId="3" borderId="4" xfId="16" applyNumberFormat="1" applyFont="1" applyFill="1" applyBorder="1" applyAlignment="1">
      <alignment wrapText="1"/>
    </xf>
    <xf numFmtId="165" fontId="13" fillId="0" borderId="0" xfId="16" applyNumberFormat="1" applyFont="1" applyAlignment="1">
      <alignment horizontal="justify" vertical="top" wrapText="1"/>
    </xf>
    <xf numFmtId="165" fontId="13" fillId="0" borderId="0" xfId="16" applyNumberFormat="1" applyFont="1" applyAlignment="1">
      <alignment horizontal="right"/>
    </xf>
    <xf numFmtId="165" fontId="12" fillId="4" borderId="0" xfId="16" applyNumberFormat="1" applyFont="1" applyFill="1" applyAlignment="1">
      <alignment vertical="top" wrapText="1"/>
    </xf>
    <xf numFmtId="165" fontId="8" fillId="3" borderId="6" xfId="4" applyNumberFormat="1" applyFont="1" applyFill="1" applyBorder="1" applyAlignment="1">
      <alignment horizontal="left" vertical="center" wrapText="1"/>
    </xf>
    <xf numFmtId="10" fontId="8" fillId="3" borderId="5" xfId="5" applyNumberFormat="1" applyFont="1" applyFill="1" applyBorder="1" applyAlignment="1" applyProtection="1">
      <alignment horizontal="center" vertical="center"/>
    </xf>
    <xf numFmtId="165" fontId="8" fillId="3" borderId="5" xfId="4" applyNumberFormat="1" applyFont="1" applyFill="1" applyBorder="1" applyAlignment="1">
      <alignment horizontal="center" vertical="top" wrapText="1"/>
    </xf>
    <xf numFmtId="165" fontId="12" fillId="4" borderId="13" xfId="16" applyNumberFormat="1" applyFont="1" applyFill="1" applyBorder="1" applyAlignment="1">
      <alignment horizontal="left" vertical="top" wrapText="1"/>
    </xf>
    <xf numFmtId="165" fontId="12" fillId="4" borderId="4" xfId="16" applyNumberFormat="1" applyFont="1" applyFill="1" applyBorder="1" applyAlignment="1">
      <alignment horizontal="left" vertical="top" wrapText="1"/>
    </xf>
    <xf numFmtId="165" fontId="12" fillId="4" borderId="4" xfId="9" applyNumberFormat="1" applyFont="1" applyFill="1" applyBorder="1" applyAlignment="1">
      <alignment horizontal="left" vertical="top" wrapText="1"/>
    </xf>
    <xf numFmtId="165" fontId="8" fillId="3" borderId="4" xfId="4" applyNumberFormat="1" applyFont="1" applyFill="1" applyBorder="1" applyAlignment="1">
      <alignment horizontal="left" vertical="top" wrapText="1"/>
    </xf>
    <xf numFmtId="165" fontId="8" fillId="3" borderId="4" xfId="4" applyNumberFormat="1" applyFont="1" applyFill="1" applyBorder="1" applyAlignment="1">
      <alignment vertical="top" wrapText="1"/>
    </xf>
    <xf numFmtId="165" fontId="12" fillId="3" borderId="4" xfId="4" applyNumberFormat="1" applyFont="1" applyFill="1" applyBorder="1" applyAlignment="1">
      <alignment horizontal="left" vertical="top" wrapText="1"/>
    </xf>
    <xf numFmtId="165" fontId="12" fillId="3" borderId="6" xfId="4" applyNumberFormat="1" applyFont="1" applyFill="1" applyBorder="1" applyAlignment="1">
      <alignment horizontal="left" vertical="top" wrapText="1"/>
    </xf>
    <xf numFmtId="2" fontId="12" fillId="0" borderId="4" xfId="17" applyNumberFormat="1" applyFont="1" applyFill="1" applyBorder="1" applyAlignment="1" applyProtection="1">
      <alignment vertical="top" wrapText="1"/>
    </xf>
    <xf numFmtId="2" fontId="12" fillId="0" borderId="6" xfId="17" applyNumberFormat="1" applyFont="1" applyFill="1" applyBorder="1" applyAlignment="1" applyProtection="1">
      <alignment vertical="top" wrapText="1"/>
    </xf>
    <xf numFmtId="174" fontId="8" fillId="3" borderId="4" xfId="17" applyNumberFormat="1" applyFont="1" applyFill="1" applyBorder="1" applyAlignment="1" applyProtection="1">
      <alignment horizontal="right" vertical="top"/>
    </xf>
    <xf numFmtId="2" fontId="13" fillId="5" borderId="4" xfId="11" quotePrefix="1" applyNumberFormat="1" applyFont="1" applyFill="1" applyBorder="1" applyAlignment="1">
      <alignment horizontal="right" vertical="top" wrapText="1"/>
    </xf>
    <xf numFmtId="174" fontId="13" fillId="0" borderId="4" xfId="11" applyNumberFormat="1" applyFont="1" applyBorder="1" applyAlignment="1">
      <alignment vertical="top" wrapText="1"/>
    </xf>
    <xf numFmtId="2" fontId="24" fillId="4" borderId="0" xfId="0" applyNumberFormat="1" applyFont="1" applyFill="1" applyAlignment="1">
      <alignment horizontal="left" vertical="top" wrapText="1"/>
    </xf>
    <xf numFmtId="174" fontId="24" fillId="4" borderId="0" xfId="0" applyNumberFormat="1" applyFont="1" applyFill="1" applyAlignment="1">
      <alignment horizontal="right" vertical="top"/>
    </xf>
    <xf numFmtId="174" fontId="32" fillId="4" borderId="0" xfId="0" applyNumberFormat="1" applyFont="1" applyFill="1" applyAlignment="1">
      <alignment horizontal="right" vertical="top"/>
    </xf>
    <xf numFmtId="170" fontId="24" fillId="4" borderId="0" xfId="0" applyNumberFormat="1" applyFont="1" applyFill="1" applyAlignment="1">
      <alignment horizontal="right" vertical="top"/>
    </xf>
    <xf numFmtId="2" fontId="23" fillId="0" borderId="0" xfId="0" applyNumberFormat="1" applyFont="1"/>
    <xf numFmtId="2" fontId="26" fillId="0" borderId="0" xfId="0" applyNumberFormat="1" applyFont="1"/>
    <xf numFmtId="164" fontId="6" fillId="3" borderId="16" xfId="4" applyNumberFormat="1" applyFont="1" applyFill="1" applyBorder="1" applyAlignment="1">
      <alignment vertical="center" wrapText="1"/>
    </xf>
    <xf numFmtId="166" fontId="8" fillId="3" borderId="19" xfId="5" applyNumberFormat="1" applyFont="1" applyFill="1" applyBorder="1" applyAlignment="1" applyProtection="1">
      <alignment vertical="center" wrapText="1"/>
    </xf>
    <xf numFmtId="166" fontId="8" fillId="3" borderId="17" xfId="5" applyNumberFormat="1" applyFont="1" applyFill="1" applyBorder="1" applyAlignment="1" applyProtection="1">
      <alignment vertical="center" wrapText="1"/>
    </xf>
    <xf numFmtId="166" fontId="8" fillId="3" borderId="18" xfId="5" applyNumberFormat="1" applyFont="1" applyFill="1" applyBorder="1" applyAlignment="1" applyProtection="1">
      <alignment vertical="center" wrapText="1"/>
    </xf>
    <xf numFmtId="167" fontId="8" fillId="3" borderId="9" xfId="5" applyNumberFormat="1" applyFont="1" applyFill="1" applyBorder="1" applyAlignment="1" applyProtection="1">
      <alignment horizontal="center" vertical="center" wrapText="1"/>
    </xf>
    <xf numFmtId="0" fontId="8" fillId="3" borderId="9" xfId="4" applyFont="1" applyFill="1" applyBorder="1" applyAlignment="1">
      <alignment horizontal="center" vertical="center" wrapText="1"/>
    </xf>
    <xf numFmtId="0" fontId="8" fillId="3" borderId="17" xfId="4" applyFont="1" applyFill="1" applyBorder="1" applyAlignment="1">
      <alignment horizontal="center" vertical="center" wrapText="1"/>
    </xf>
    <xf numFmtId="0" fontId="26" fillId="3" borderId="1" xfId="0" applyFont="1" applyFill="1" applyBorder="1" applyAlignment="1">
      <alignment vertical="center"/>
    </xf>
    <xf numFmtId="0" fontId="13" fillId="0" borderId="0" xfId="9" applyFont="1" applyAlignment="1">
      <alignment horizontal="justify" vertical="top" wrapText="1"/>
    </xf>
    <xf numFmtId="165" fontId="13" fillId="0" borderId="0" xfId="9" applyNumberFormat="1" applyFont="1" applyAlignment="1">
      <alignment horizontal="justify" vertical="top" wrapText="1"/>
    </xf>
    <xf numFmtId="170" fontId="13" fillId="0" borderId="0" xfId="9" applyNumberFormat="1" applyFont="1" applyAlignment="1">
      <alignment horizontal="right" vertical="top" wrapText="1"/>
    </xf>
    <xf numFmtId="0" fontId="8" fillId="3" borderId="6" xfId="9" applyFont="1" applyFill="1" applyBorder="1" applyAlignment="1">
      <alignment horizontal="left" vertical="center" wrapText="1"/>
    </xf>
    <xf numFmtId="166" fontId="8" fillId="3" borderId="5" xfId="5" applyNumberFormat="1" applyFont="1" applyFill="1" applyBorder="1" applyAlignment="1" applyProtection="1">
      <alignment horizontal="center" vertical="center" wrapText="1"/>
    </xf>
    <xf numFmtId="167" fontId="8" fillId="3" borderId="5" xfId="5" applyNumberFormat="1" applyFont="1" applyFill="1" applyBorder="1" applyAlignment="1" applyProtection="1">
      <alignment horizontal="center" vertical="center" wrapText="1"/>
    </xf>
    <xf numFmtId="0" fontId="8" fillId="3" borderId="5" xfId="9" applyFont="1" applyFill="1" applyBorder="1" applyAlignment="1">
      <alignment horizontal="center" vertical="center" wrapText="1"/>
    </xf>
    <xf numFmtId="0" fontId="12" fillId="0" borderId="0" xfId="9" applyFont="1" applyAlignment="1">
      <alignment horizontal="justify" vertical="top" wrapText="1"/>
    </xf>
    <xf numFmtId="166" fontId="12" fillId="0" borderId="0" xfId="9" applyNumberFormat="1" applyFont="1" applyAlignment="1">
      <alignment horizontal="right" vertical="top" wrapText="1"/>
    </xf>
    <xf numFmtId="170" fontId="12" fillId="0" borderId="0" xfId="9" applyNumberFormat="1" applyFont="1" applyAlignment="1">
      <alignment horizontal="right" vertical="top" wrapText="1"/>
    </xf>
    <xf numFmtId="4" fontId="13" fillId="5" borderId="6" xfId="11" applyNumberFormat="1" applyFont="1" applyFill="1" applyBorder="1" applyAlignment="1">
      <alignment horizontal="left" vertical="top" wrapText="1"/>
    </xf>
    <xf numFmtId="170" fontId="13" fillId="5" borderId="5" xfId="11" applyNumberFormat="1" applyFont="1" applyFill="1" applyBorder="1" applyAlignment="1">
      <alignment vertical="top" wrapText="1"/>
    </xf>
    <xf numFmtId="169" fontId="13" fillId="5" borderId="5" xfId="11" applyNumberFormat="1" applyFont="1" applyFill="1" applyBorder="1" applyAlignment="1">
      <alignment vertical="top" wrapText="1"/>
    </xf>
    <xf numFmtId="0" fontId="12" fillId="0" borderId="13" xfId="9" applyFont="1" applyBorder="1" applyAlignment="1">
      <alignment horizontal="left" vertical="top" wrapText="1"/>
    </xf>
    <xf numFmtId="165" fontId="12" fillId="0" borderId="13" xfId="9" applyNumberFormat="1" applyFont="1" applyBorder="1" applyAlignment="1">
      <alignment horizontal="right" vertical="top" wrapText="1"/>
    </xf>
    <xf numFmtId="165" fontId="13" fillId="5" borderId="13" xfId="9" applyNumberFormat="1" applyFont="1" applyFill="1" applyBorder="1" applyAlignment="1">
      <alignment horizontal="right" vertical="top" wrapText="1"/>
    </xf>
    <xf numFmtId="170" fontId="12" fillId="0" borderId="13" xfId="9" applyNumberFormat="1" applyFont="1" applyBorder="1" applyAlignment="1">
      <alignment horizontal="right" vertical="top" wrapText="1"/>
    </xf>
    <xf numFmtId="0" fontId="12" fillId="0" borderId="13" xfId="9" applyFont="1" applyBorder="1" applyAlignment="1">
      <alignment vertical="top" wrapText="1"/>
    </xf>
    <xf numFmtId="0" fontId="12" fillId="0" borderId="1" xfId="9" applyFont="1" applyBorder="1" applyAlignment="1">
      <alignment horizontal="left" vertical="top" wrapText="1"/>
    </xf>
    <xf numFmtId="3" fontId="12" fillId="0" borderId="4" xfId="9" applyNumberFormat="1" applyFont="1" applyBorder="1" applyAlignment="1">
      <alignment vertical="top" wrapText="1"/>
    </xf>
    <xf numFmtId="165" fontId="12" fillId="0" borderId="4" xfId="9" applyNumberFormat="1" applyFont="1" applyBorder="1" applyAlignment="1">
      <alignment horizontal="right" vertical="top" wrapText="1"/>
    </xf>
    <xf numFmtId="170" fontId="12" fillId="0" borderId="4" xfId="9" applyNumberFormat="1" applyFont="1" applyBorder="1" applyAlignment="1">
      <alignment horizontal="right" vertical="top" wrapText="1"/>
    </xf>
    <xf numFmtId="0" fontId="12" fillId="0" borderId="4" xfId="9" applyFont="1" applyBorder="1" applyAlignment="1">
      <alignment vertical="top" wrapText="1"/>
    </xf>
    <xf numFmtId="0" fontId="12" fillId="0" borderId="6" xfId="9" applyFont="1" applyBorder="1" applyAlignment="1">
      <alignment horizontal="left" vertical="top" wrapText="1"/>
    </xf>
    <xf numFmtId="10" fontId="12" fillId="0" borderId="4" xfId="18" applyNumberFormat="1" applyFont="1" applyBorder="1" applyAlignment="1">
      <alignment horizontal="right" vertical="top"/>
    </xf>
    <xf numFmtId="4" fontId="13" fillId="5" borderId="4" xfId="11" applyNumberFormat="1" applyFont="1" applyFill="1" applyBorder="1" applyAlignment="1">
      <alignment horizontal="left" vertical="top" wrapText="1"/>
    </xf>
    <xf numFmtId="169" fontId="13" fillId="5" borderId="4" xfId="11" applyNumberFormat="1" applyFont="1" applyFill="1" applyBorder="1" applyAlignment="1">
      <alignment vertical="top" wrapText="1"/>
    </xf>
    <xf numFmtId="169" fontId="13" fillId="5" borderId="6" xfId="11" applyNumberFormat="1" applyFont="1" applyFill="1" applyBorder="1" applyAlignment="1">
      <alignment vertical="top" wrapText="1"/>
    </xf>
    <xf numFmtId="165" fontId="12" fillId="0" borderId="0" xfId="9" applyNumberFormat="1" applyFont="1" applyAlignment="1">
      <alignment horizontal="right" vertical="top" wrapText="1"/>
    </xf>
    <xf numFmtId="0" fontId="12" fillId="0" borderId="0" xfId="9" applyFont="1" applyAlignment="1">
      <alignment vertical="top" wrapText="1"/>
    </xf>
    <xf numFmtId="0" fontId="12" fillId="0" borderId="4" xfId="9" applyFont="1" applyBorder="1" applyAlignment="1">
      <alignment horizontal="left" vertical="top" wrapText="1"/>
    </xf>
    <xf numFmtId="170" fontId="12" fillId="0" borderId="4" xfId="18" applyNumberFormat="1" applyFont="1" applyBorder="1" applyAlignment="1">
      <alignment horizontal="right" vertical="top" wrapText="1"/>
    </xf>
    <xf numFmtId="175" fontId="12" fillId="0" borderId="4" xfId="9" applyNumberFormat="1" applyFont="1" applyBorder="1" applyAlignment="1">
      <alignment vertical="top" wrapText="1"/>
    </xf>
    <xf numFmtId="4" fontId="13" fillId="5" borderId="6" xfId="11" quotePrefix="1" applyNumberFormat="1" applyFont="1" applyFill="1" applyBorder="1" applyAlignment="1">
      <alignment horizontal="left" vertical="top" wrapText="1"/>
    </xf>
    <xf numFmtId="4" fontId="13" fillId="5" borderId="4" xfId="11" quotePrefix="1" applyNumberFormat="1" applyFont="1" applyFill="1" applyBorder="1" applyAlignment="1">
      <alignment horizontal="left" vertical="top" wrapText="1"/>
    </xf>
    <xf numFmtId="0" fontId="8" fillId="3" borderId="4" xfId="9" applyFont="1" applyFill="1" applyBorder="1" applyAlignment="1">
      <alignment horizontal="justify" vertical="top" wrapText="1"/>
    </xf>
    <xf numFmtId="165" fontId="8" fillId="3" borderId="4" xfId="9" applyNumberFormat="1" applyFont="1" applyFill="1" applyBorder="1" applyAlignment="1">
      <alignment horizontal="right" vertical="top" wrapText="1"/>
    </xf>
    <xf numFmtId="170" fontId="8" fillId="3" borderId="4" xfId="9" applyNumberFormat="1" applyFont="1" applyFill="1" applyBorder="1" applyAlignment="1">
      <alignment horizontal="right" vertical="top" wrapText="1"/>
    </xf>
    <xf numFmtId="0" fontId="12" fillId="3" borderId="4" xfId="9" applyFont="1" applyFill="1" applyBorder="1" applyAlignment="1">
      <alignment horizontal="left" vertical="top" wrapText="1"/>
    </xf>
    <xf numFmtId="0" fontId="12" fillId="3" borderId="6" xfId="9" applyFont="1" applyFill="1" applyBorder="1" applyAlignment="1">
      <alignment horizontal="left" vertical="top" wrapText="1"/>
    </xf>
    <xf numFmtId="165" fontId="13" fillId="0" borderId="0" xfId="5" applyNumberFormat="1" applyFont="1" applyFill="1" applyBorder="1" applyAlignment="1" applyProtection="1">
      <alignment horizontal="right" vertical="top" wrapText="1"/>
    </xf>
    <xf numFmtId="170" fontId="13" fillId="0" borderId="0" xfId="5" applyNumberFormat="1" applyFont="1" applyFill="1" applyBorder="1" applyAlignment="1" applyProtection="1">
      <alignment horizontal="right" vertical="top" wrapText="1"/>
    </xf>
    <xf numFmtId="0" fontId="9" fillId="0" borderId="6" xfId="0" applyFont="1" applyBorder="1" applyAlignment="1">
      <alignment vertical="top" wrapText="1"/>
    </xf>
    <xf numFmtId="0" fontId="9" fillId="0" borderId="6" xfId="0" applyFont="1" applyBorder="1" applyAlignment="1">
      <alignment vertical="center" wrapText="1"/>
    </xf>
    <xf numFmtId="175" fontId="12" fillId="0" borderId="13" xfId="9" applyNumberFormat="1" applyFont="1" applyBorder="1" applyAlignment="1">
      <alignment vertical="top" wrapText="1"/>
    </xf>
    <xf numFmtId="165" fontId="8" fillId="3" borderId="0" xfId="9" applyNumberFormat="1" applyFont="1" applyFill="1" applyAlignment="1">
      <alignment horizontal="right" vertical="top" wrapText="1"/>
    </xf>
    <xf numFmtId="170" fontId="8" fillId="3" borderId="0" xfId="9" applyNumberFormat="1" applyFont="1" applyFill="1" applyAlignment="1">
      <alignment horizontal="right" vertical="top" wrapText="1"/>
    </xf>
    <xf numFmtId="0" fontId="12" fillId="3" borderId="0" xfId="9" applyFont="1" applyFill="1" applyAlignment="1">
      <alignment horizontal="left" vertical="top" wrapText="1"/>
    </xf>
    <xf numFmtId="0" fontId="12" fillId="4" borderId="4" xfId="9" applyFont="1" applyFill="1" applyBorder="1" applyAlignment="1">
      <alignment vertical="top" wrapText="1"/>
    </xf>
    <xf numFmtId="170" fontId="12" fillId="4" borderId="4" xfId="9" applyNumberFormat="1" applyFont="1" applyFill="1" applyBorder="1" applyAlignment="1">
      <alignment horizontal="right" vertical="top" wrapText="1"/>
    </xf>
    <xf numFmtId="165" fontId="13" fillId="0" borderId="0" xfId="9" applyNumberFormat="1" applyFont="1" applyAlignment="1">
      <alignment horizontal="left" vertical="top" wrapText="1"/>
    </xf>
    <xf numFmtId="165" fontId="13" fillId="0" borderId="0" xfId="9" applyNumberFormat="1" applyFont="1" applyAlignment="1">
      <alignment horizontal="right" vertical="top" wrapText="1"/>
    </xf>
    <xf numFmtId="0" fontId="12" fillId="4" borderId="4" xfId="9" quotePrefix="1" applyFont="1" applyFill="1" applyBorder="1" applyAlignment="1">
      <alignment horizontal="left" vertical="top" wrapText="1"/>
    </xf>
    <xf numFmtId="0" fontId="12" fillId="0" borderId="4" xfId="0" applyFont="1" applyBorder="1" applyAlignment="1">
      <alignment vertical="top" wrapText="1"/>
    </xf>
    <xf numFmtId="0" fontId="8" fillId="3" borderId="4" xfId="0" applyFont="1" applyFill="1" applyBorder="1" applyAlignment="1">
      <alignment horizontal="left" vertical="center" wrapText="1"/>
    </xf>
    <xf numFmtId="0" fontId="9" fillId="3" borderId="4" xfId="0" applyFont="1" applyFill="1" applyBorder="1" applyAlignment="1">
      <alignment wrapText="1"/>
    </xf>
    <xf numFmtId="0" fontId="9" fillId="3" borderId="6" xfId="0" applyFont="1" applyFill="1" applyBorder="1" applyAlignment="1">
      <alignment wrapText="1"/>
    </xf>
    <xf numFmtId="0" fontId="13" fillId="0" borderId="0" xfId="9" applyFont="1" applyAlignment="1">
      <alignment horizontal="center" vertical="top" wrapText="1"/>
    </xf>
    <xf numFmtId="170" fontId="13" fillId="5" borderId="4" xfId="11" applyNumberFormat="1" applyFont="1" applyFill="1" applyBorder="1" applyAlignment="1">
      <alignment vertical="top" wrapText="1"/>
    </xf>
    <xf numFmtId="165" fontId="12" fillId="0" borderId="0" xfId="9" applyNumberFormat="1" applyFont="1" applyAlignment="1">
      <alignment vertical="top" wrapText="1"/>
    </xf>
    <xf numFmtId="0" fontId="12" fillId="3" borderId="4" xfId="9" applyFont="1" applyFill="1" applyBorder="1" applyAlignment="1">
      <alignment vertical="top" wrapText="1"/>
    </xf>
    <xf numFmtId="0" fontId="13" fillId="4" borderId="0" xfId="9" applyFont="1" applyFill="1" applyAlignment="1">
      <alignment horizontal="left" vertical="top" wrapText="1"/>
    </xf>
    <xf numFmtId="165" fontId="13" fillId="4" borderId="0" xfId="9" applyNumberFormat="1" applyFont="1" applyFill="1" applyAlignment="1">
      <alignment horizontal="right" vertical="top" wrapText="1"/>
    </xf>
    <xf numFmtId="170" fontId="13" fillId="4" borderId="0" xfId="9" applyNumberFormat="1" applyFont="1" applyFill="1" applyAlignment="1">
      <alignment horizontal="right" vertical="top" wrapText="1"/>
    </xf>
    <xf numFmtId="0" fontId="13" fillId="0" borderId="4" xfId="9" applyFont="1" applyBorder="1" applyAlignment="1">
      <alignment vertical="top" wrapText="1"/>
    </xf>
    <xf numFmtId="165" fontId="13" fillId="5" borderId="4" xfId="9" applyNumberFormat="1" applyFont="1" applyFill="1" applyBorder="1" applyAlignment="1">
      <alignment horizontal="right" vertical="top" wrapText="1"/>
    </xf>
    <xf numFmtId="170" fontId="13" fillId="0" borderId="4" xfId="9" applyNumberFormat="1" applyFont="1" applyBorder="1" applyAlignment="1">
      <alignment horizontal="right" vertical="top" wrapText="1"/>
    </xf>
    <xf numFmtId="0" fontId="12" fillId="0" borderId="6" xfId="14" applyFont="1" applyBorder="1" applyAlignment="1">
      <alignment horizontal="justify" vertical="top" wrapText="1"/>
    </xf>
    <xf numFmtId="165" fontId="13" fillId="0" borderId="4" xfId="9" applyNumberFormat="1" applyFont="1" applyBorder="1" applyAlignment="1">
      <alignment horizontal="right" vertical="top" wrapText="1"/>
    </xf>
    <xf numFmtId="0" fontId="12" fillId="0" borderId="4" xfId="21" applyFont="1" applyBorder="1" applyAlignment="1">
      <alignment horizontal="justify" vertical="top" wrapText="1"/>
    </xf>
    <xf numFmtId="0" fontId="12" fillId="0" borderId="6" xfId="21" applyFont="1" applyBorder="1" applyAlignment="1">
      <alignment horizontal="justify" vertical="top" wrapText="1"/>
    </xf>
    <xf numFmtId="0" fontId="8" fillId="3" borderId="4" xfId="9" applyFont="1" applyFill="1" applyBorder="1" applyAlignment="1">
      <alignment horizontal="left" vertical="top" wrapText="1"/>
    </xf>
    <xf numFmtId="4" fontId="8" fillId="3" borderId="6" xfId="5" applyNumberFormat="1" applyFont="1" applyFill="1" applyBorder="1" applyAlignment="1" applyProtection="1">
      <alignment horizontal="left" vertical="center" wrapText="1"/>
    </xf>
    <xf numFmtId="0" fontId="9" fillId="0" borderId="4" xfId="0" applyFont="1" applyBorder="1" applyAlignment="1">
      <alignment vertical="top" wrapText="1"/>
    </xf>
    <xf numFmtId="0" fontId="12" fillId="0" borderId="6" xfId="9" applyFont="1" applyBorder="1" applyAlignment="1">
      <alignment vertical="top" wrapText="1"/>
    </xf>
    <xf numFmtId="165" fontId="13" fillId="4" borderId="0" xfId="9" applyNumberFormat="1" applyFont="1" applyFill="1" applyAlignment="1">
      <alignment horizontal="left" vertical="top" wrapText="1"/>
    </xf>
    <xf numFmtId="170" fontId="8" fillId="3" borderId="4" xfId="5" applyNumberFormat="1" applyFont="1" applyFill="1" applyBorder="1" applyAlignment="1" applyProtection="1">
      <alignment horizontal="right" vertical="center" wrapText="1"/>
    </xf>
    <xf numFmtId="0" fontId="33" fillId="0" borderId="0" xfId="9" applyFont="1" applyAlignment="1">
      <alignment vertical="top" wrapText="1"/>
    </xf>
    <xf numFmtId="165" fontId="33" fillId="0" borderId="0" xfId="9" applyNumberFormat="1" applyFont="1" applyAlignment="1">
      <alignment horizontal="right" vertical="top" wrapText="1"/>
    </xf>
    <xf numFmtId="170" fontId="33" fillId="0" borderId="0" xfId="9" applyNumberFormat="1" applyFont="1" applyAlignment="1">
      <alignment horizontal="right" vertical="top" wrapText="1"/>
    </xf>
    <xf numFmtId="0" fontId="33" fillId="0" borderId="0" xfId="9" applyFont="1" applyAlignment="1">
      <alignment horizontal="left" vertical="top" wrapText="1"/>
    </xf>
    <xf numFmtId="0" fontId="8" fillId="3" borderId="4" xfId="9" applyFont="1" applyFill="1" applyBorder="1" applyAlignment="1">
      <alignment vertical="top" wrapText="1"/>
    </xf>
    <xf numFmtId="0" fontId="25" fillId="0" borderId="0" xfId="9" applyFont="1" applyAlignment="1">
      <alignment vertical="top" wrapText="1"/>
    </xf>
    <xf numFmtId="0" fontId="26" fillId="0" borderId="0" xfId="0" applyFont="1" applyAlignment="1">
      <alignment wrapText="1"/>
    </xf>
    <xf numFmtId="0" fontId="26" fillId="0" borderId="0" xfId="0" applyFont="1"/>
    <xf numFmtId="0" fontId="8" fillId="3" borderId="6" xfId="0" applyFont="1" applyFill="1" applyBorder="1" applyAlignment="1">
      <alignment horizontal="left" vertical="center" wrapText="1"/>
    </xf>
    <xf numFmtId="167" fontId="8" fillId="3" borderId="7" xfId="5" applyNumberFormat="1" applyFont="1" applyFill="1" applyBorder="1" applyAlignment="1" applyProtection="1">
      <alignment horizontal="center" vertical="center" wrapText="1"/>
    </xf>
    <xf numFmtId="0" fontId="9" fillId="0" borderId="0" xfId="0" applyFont="1" applyAlignment="1">
      <alignment wrapText="1"/>
    </xf>
    <xf numFmtId="0" fontId="13" fillId="0" borderId="0" xfId="0" applyFont="1" applyAlignment="1">
      <alignment horizontal="left" vertical="center" wrapText="1"/>
    </xf>
    <xf numFmtId="165" fontId="12" fillId="0" borderId="0" xfId="0" applyNumberFormat="1" applyFont="1" applyAlignment="1">
      <alignment horizontal="right" vertical="top" wrapText="1"/>
    </xf>
    <xf numFmtId="165" fontId="13" fillId="0" borderId="0" xfId="5" applyNumberFormat="1" applyFont="1" applyFill="1" applyBorder="1" applyAlignment="1" applyProtection="1">
      <alignment horizontal="center" vertical="top" wrapText="1"/>
    </xf>
    <xf numFmtId="167" fontId="13" fillId="0" borderId="0" xfId="5" applyNumberFormat="1" applyFont="1" applyFill="1" applyBorder="1" applyAlignment="1" applyProtection="1">
      <alignment horizontal="center" vertical="top" wrapText="1"/>
    </xf>
    <xf numFmtId="170" fontId="12" fillId="0" borderId="4" xfId="0" applyNumberFormat="1" applyFont="1" applyBorder="1" applyAlignment="1">
      <alignment horizontal="right" vertical="top" wrapText="1"/>
    </xf>
    <xf numFmtId="165" fontId="12" fillId="0" borderId="4" xfId="0" applyNumberFormat="1" applyFont="1" applyBorder="1" applyAlignment="1">
      <alignment horizontal="right" vertical="top" wrapText="1"/>
    </xf>
    <xf numFmtId="0" fontId="13" fillId="5" borderId="4" xfId="0" applyFont="1" applyFill="1" applyBorder="1" applyAlignment="1">
      <alignment horizontal="left" vertical="top" wrapText="1"/>
    </xf>
    <xf numFmtId="165" fontId="13" fillId="5" borderId="4" xfId="0" applyNumberFormat="1" applyFont="1" applyFill="1" applyBorder="1" applyAlignment="1">
      <alignment horizontal="right" vertical="top" wrapText="1"/>
    </xf>
    <xf numFmtId="170" fontId="13" fillId="5" borderId="4" xfId="9" applyNumberFormat="1" applyFont="1" applyFill="1" applyBorder="1" applyAlignment="1">
      <alignment horizontal="right" vertical="top" wrapText="1"/>
    </xf>
    <xf numFmtId="0" fontId="13" fillId="0" borderId="0" xfId="0" applyFont="1" applyAlignment="1">
      <alignment horizontal="left" vertical="top" wrapText="1"/>
    </xf>
    <xf numFmtId="165" fontId="13" fillId="0" borderId="0" xfId="0" applyNumberFormat="1" applyFont="1" applyAlignment="1">
      <alignment horizontal="right" vertical="top" wrapText="1"/>
    </xf>
    <xf numFmtId="169" fontId="13" fillId="0" borderId="0" xfId="0" applyNumberFormat="1" applyFont="1" applyAlignment="1">
      <alignment horizontal="right" vertical="top" wrapText="1"/>
    </xf>
    <xf numFmtId="165" fontId="8" fillId="3" borderId="4" xfId="5" applyNumberFormat="1" applyFont="1" applyFill="1" applyBorder="1" applyAlignment="1" applyProtection="1">
      <alignment horizontal="right" vertical="center" wrapText="1"/>
    </xf>
    <xf numFmtId="169" fontId="12" fillId="0" borderId="0" xfId="0" applyNumberFormat="1" applyFont="1" applyAlignment="1">
      <alignment horizontal="right" vertical="top" wrapText="1"/>
    </xf>
    <xf numFmtId="165" fontId="8" fillId="3" borderId="5" xfId="5" applyNumberFormat="1" applyFont="1" applyFill="1" applyBorder="1" applyAlignment="1" applyProtection="1">
      <alignment horizontal="right" vertical="center" wrapText="1"/>
    </xf>
    <xf numFmtId="164" fontId="10" fillId="3" borderId="11" xfId="4" quotePrefix="1" applyNumberFormat="1" applyFont="1" applyFill="1" applyBorder="1" applyAlignment="1">
      <alignment horizontal="center" vertical="center" wrapText="1"/>
    </xf>
    <xf numFmtId="0" fontId="15" fillId="0" borderId="0" xfId="9" applyFont="1" applyAlignment="1">
      <alignment horizontal="left" vertical="top" wrapText="1"/>
    </xf>
    <xf numFmtId="166" fontId="15" fillId="0" borderId="0" xfId="9" applyNumberFormat="1" applyFont="1" applyAlignment="1">
      <alignment horizontal="right" vertical="top"/>
    </xf>
    <xf numFmtId="170" fontId="15" fillId="0" borderId="0" xfId="9" applyNumberFormat="1" applyFont="1" applyAlignment="1">
      <alignment horizontal="right" vertical="top"/>
    </xf>
    <xf numFmtId="0" fontId="9" fillId="0" borderId="0" xfId="9" applyFont="1" applyAlignment="1">
      <alignment horizontal="left" vertical="top" wrapText="1"/>
    </xf>
    <xf numFmtId="0" fontId="8" fillId="3" borderId="6" xfId="9" applyFont="1" applyFill="1" applyBorder="1" applyAlignment="1">
      <alignment vertical="top" wrapText="1"/>
    </xf>
    <xf numFmtId="0" fontId="8" fillId="3" borderId="5" xfId="9" applyFont="1" applyFill="1" applyBorder="1" applyAlignment="1">
      <alignment vertical="top"/>
    </xf>
    <xf numFmtId="10" fontId="13" fillId="5" borderId="5" xfId="11" applyNumberFormat="1" applyFont="1" applyFill="1" applyBorder="1" applyAlignment="1">
      <alignment vertical="top" wrapText="1"/>
    </xf>
    <xf numFmtId="0" fontId="12" fillId="5" borderId="5" xfId="9" applyFont="1" applyFill="1" applyBorder="1" applyAlignment="1">
      <alignment horizontal="left" vertical="top" wrapText="1"/>
    </xf>
    <xf numFmtId="165" fontId="12" fillId="0" borderId="13" xfId="9" applyNumberFormat="1" applyFont="1" applyBorder="1" applyAlignment="1">
      <alignment horizontal="right" vertical="top"/>
    </xf>
    <xf numFmtId="165" fontId="13" fillId="5" borderId="13" xfId="9" applyNumberFormat="1" applyFont="1" applyFill="1" applyBorder="1" applyAlignment="1">
      <alignment horizontal="right" vertical="top"/>
    </xf>
    <xf numFmtId="0" fontId="12" fillId="5" borderId="4" xfId="9" applyFont="1" applyFill="1" applyBorder="1" applyAlignment="1">
      <alignment horizontal="left" vertical="top" wrapText="1"/>
    </xf>
    <xf numFmtId="0" fontId="12" fillId="5" borderId="6" xfId="9" applyFont="1" applyFill="1" applyBorder="1" applyAlignment="1">
      <alignment horizontal="left" vertical="top" wrapText="1"/>
    </xf>
    <xf numFmtId="165" fontId="13" fillId="0" borderId="0" xfId="9" applyNumberFormat="1" applyFont="1" applyAlignment="1">
      <alignment horizontal="right" vertical="top"/>
    </xf>
    <xf numFmtId="170" fontId="13" fillId="0" borderId="0" xfId="9" applyNumberFormat="1" applyFont="1" applyAlignment="1">
      <alignment horizontal="right" vertical="top"/>
    </xf>
    <xf numFmtId="165" fontId="12" fillId="0" borderId="0" xfId="9" applyNumberFormat="1" applyFont="1" applyAlignment="1">
      <alignment horizontal="right" vertical="top"/>
    </xf>
    <xf numFmtId="165" fontId="8" fillId="3" borderId="4" xfId="9" applyNumberFormat="1" applyFont="1" applyFill="1" applyBorder="1" applyAlignment="1">
      <alignment horizontal="right" vertical="top"/>
    </xf>
    <xf numFmtId="170" fontId="8" fillId="3" borderId="4" xfId="9" applyNumberFormat="1" applyFont="1" applyFill="1" applyBorder="1" applyAlignment="1">
      <alignment horizontal="right" vertical="top"/>
    </xf>
    <xf numFmtId="0" fontId="9" fillId="3" borderId="4" xfId="9" applyFont="1" applyFill="1" applyBorder="1" applyAlignment="1">
      <alignment horizontal="left" vertical="top" wrapText="1"/>
    </xf>
    <xf numFmtId="0" fontId="9" fillId="3" borderId="6" xfId="9" applyFont="1" applyFill="1" applyBorder="1" applyAlignment="1">
      <alignment horizontal="left" vertical="top" wrapText="1"/>
    </xf>
    <xf numFmtId="165" fontId="15" fillId="0" borderId="0" xfId="9" applyNumberFormat="1" applyFont="1" applyAlignment="1">
      <alignment horizontal="right" vertical="top"/>
    </xf>
    <xf numFmtId="170" fontId="8" fillId="3" borderId="5" xfId="5" applyNumberFormat="1" applyFont="1" applyFill="1" applyBorder="1" applyAlignment="1" applyProtection="1">
      <alignment horizontal="center" vertical="center"/>
    </xf>
    <xf numFmtId="165" fontId="9" fillId="0" borderId="0" xfId="9" applyNumberFormat="1" applyFont="1" applyAlignment="1">
      <alignment horizontal="right" vertical="top"/>
    </xf>
    <xf numFmtId="169" fontId="9" fillId="0" borderId="0" xfId="9" applyNumberFormat="1" applyFont="1" applyAlignment="1">
      <alignment horizontal="right" vertical="top"/>
    </xf>
    <xf numFmtId="0" fontId="13" fillId="4" borderId="4" xfId="9" applyFont="1" applyFill="1" applyBorder="1" applyAlignment="1">
      <alignment horizontal="left" vertical="top" wrapText="1"/>
    </xf>
    <xf numFmtId="165" fontId="13" fillId="0" borderId="4" xfId="9" applyNumberFormat="1" applyFont="1" applyBorder="1" applyAlignment="1">
      <alignment horizontal="right" vertical="top"/>
    </xf>
    <xf numFmtId="0" fontId="9" fillId="0" borderId="4" xfId="9" applyFont="1" applyBorder="1" applyAlignment="1">
      <alignment horizontal="left" vertical="top" wrapText="1"/>
    </xf>
    <xf numFmtId="165" fontId="9" fillId="0" borderId="4" xfId="9" applyNumberFormat="1" applyFont="1" applyBorder="1" applyAlignment="1">
      <alignment horizontal="right" vertical="top"/>
    </xf>
    <xf numFmtId="170" fontId="9" fillId="0" borderId="4" xfId="9" applyNumberFormat="1" applyFont="1" applyBorder="1" applyAlignment="1">
      <alignment horizontal="right" vertical="top"/>
    </xf>
    <xf numFmtId="0" fontId="9" fillId="0" borderId="6" xfId="9" applyFont="1" applyBorder="1" applyAlignment="1">
      <alignment horizontal="left" vertical="top" wrapText="1"/>
    </xf>
    <xf numFmtId="0" fontId="12" fillId="4" borderId="13" xfId="9" applyFont="1" applyFill="1" applyBorder="1" applyAlignment="1">
      <alignment horizontal="left" vertical="top" wrapText="1"/>
    </xf>
    <xf numFmtId="0" fontId="13" fillId="5" borderId="6" xfId="9" applyFont="1" applyFill="1" applyBorder="1" applyAlignment="1">
      <alignment horizontal="left" vertical="top" wrapText="1"/>
    </xf>
    <xf numFmtId="0" fontId="34" fillId="3" borderId="4" xfId="9" applyFont="1" applyFill="1" applyBorder="1" applyAlignment="1">
      <alignment horizontal="left" vertical="top" wrapText="1"/>
    </xf>
    <xf numFmtId="170" fontId="9" fillId="0" borderId="0" xfId="9" applyNumberFormat="1" applyFont="1" applyAlignment="1">
      <alignment horizontal="right" vertical="top"/>
    </xf>
    <xf numFmtId="165" fontId="15" fillId="0" borderId="5" xfId="9" applyNumberFormat="1" applyFont="1" applyBorder="1" applyAlignment="1">
      <alignment horizontal="right" vertical="top"/>
    </xf>
    <xf numFmtId="170" fontId="15" fillId="0" borderId="5" xfId="9" applyNumberFormat="1" applyFont="1" applyBorder="1" applyAlignment="1">
      <alignment horizontal="right" vertical="top"/>
    </xf>
    <xf numFmtId="0" fontId="15" fillId="4" borderId="4" xfId="9" applyFont="1" applyFill="1" applyBorder="1" applyAlignment="1">
      <alignment horizontal="left" vertical="top" wrapText="1"/>
    </xf>
    <xf numFmtId="165" fontId="15" fillId="0" borderId="13" xfId="9" applyNumberFormat="1" applyFont="1" applyBorder="1" applyAlignment="1">
      <alignment horizontal="right" vertical="top"/>
    </xf>
    <xf numFmtId="165" fontId="15" fillId="0" borderId="4" xfId="9" applyNumberFormat="1" applyFont="1" applyBorder="1" applyAlignment="1">
      <alignment horizontal="right" vertical="top"/>
    </xf>
    <xf numFmtId="0" fontId="13" fillId="5" borderId="5" xfId="9" applyFont="1" applyFill="1" applyBorder="1" applyAlignment="1">
      <alignment horizontal="left" vertical="top" wrapText="1"/>
    </xf>
    <xf numFmtId="0" fontId="9" fillId="0" borderId="13" xfId="9" applyFont="1" applyBorder="1" applyAlignment="1">
      <alignment horizontal="left" vertical="top" wrapText="1"/>
    </xf>
    <xf numFmtId="165" fontId="9" fillId="0" borderId="13" xfId="9" applyNumberFormat="1" applyFont="1" applyBorder="1" applyAlignment="1">
      <alignment horizontal="right" vertical="top"/>
    </xf>
    <xf numFmtId="0" fontId="35" fillId="0" borderId="0" xfId="9" applyFont="1" applyAlignment="1">
      <alignment horizontal="left" vertical="top" wrapText="1"/>
    </xf>
    <xf numFmtId="0" fontId="8" fillId="3" borderId="4" xfId="9" applyFont="1" applyFill="1" applyBorder="1" applyAlignment="1">
      <alignment horizontal="left" vertical="center" wrapText="1"/>
    </xf>
    <xf numFmtId="165" fontId="8" fillId="3" borderId="4" xfId="5" applyNumberFormat="1" applyFont="1" applyFill="1" applyBorder="1" applyAlignment="1" applyProtection="1">
      <alignment horizontal="center" vertical="center"/>
    </xf>
    <xf numFmtId="170" fontId="8" fillId="3" borderId="4" xfId="5" applyNumberFormat="1" applyFont="1" applyFill="1" applyBorder="1" applyAlignment="1" applyProtection="1">
      <alignment horizontal="center" vertical="center"/>
    </xf>
    <xf numFmtId="0" fontId="8" fillId="3" borderId="4" xfId="9" applyFont="1" applyFill="1" applyBorder="1" applyAlignment="1">
      <alignment horizontal="center" vertical="center" wrapText="1"/>
    </xf>
    <xf numFmtId="0" fontId="8" fillId="3" borderId="6" xfId="9" applyFont="1" applyFill="1" applyBorder="1" applyAlignment="1">
      <alignment horizontal="center" vertical="center" wrapText="1"/>
    </xf>
    <xf numFmtId="0" fontId="15" fillId="0" borderId="4" xfId="9" applyFont="1" applyBorder="1" applyAlignment="1">
      <alignment horizontal="left" vertical="top" wrapText="1"/>
    </xf>
    <xf numFmtId="165" fontId="13" fillId="5" borderId="4" xfId="9" applyNumberFormat="1" applyFont="1" applyFill="1" applyBorder="1" applyAlignment="1">
      <alignment horizontal="right" vertical="top"/>
    </xf>
    <xf numFmtId="0" fontId="35" fillId="3" borderId="4" xfId="9" applyFont="1" applyFill="1" applyBorder="1" applyAlignment="1">
      <alignment horizontal="left" vertical="top" wrapText="1"/>
    </xf>
    <xf numFmtId="165" fontId="13" fillId="5" borderId="5" xfId="9" applyNumberFormat="1" applyFont="1" applyFill="1" applyBorder="1" applyAlignment="1">
      <alignment horizontal="right" vertical="top"/>
    </xf>
    <xf numFmtId="170" fontId="12" fillId="5" borderId="5" xfId="9" applyNumberFormat="1" applyFont="1" applyFill="1" applyBorder="1" applyAlignment="1">
      <alignment horizontal="right" vertical="top"/>
    </xf>
    <xf numFmtId="170" fontId="13" fillId="5" borderId="4" xfId="9" applyNumberFormat="1" applyFont="1" applyFill="1" applyBorder="1" applyAlignment="1">
      <alignment horizontal="right" vertical="top"/>
    </xf>
    <xf numFmtId="0" fontId="15" fillId="5" borderId="6" xfId="9" applyFont="1" applyFill="1" applyBorder="1" applyAlignment="1">
      <alignment horizontal="left" vertical="top" wrapText="1"/>
    </xf>
    <xf numFmtId="165" fontId="15" fillId="5" borderId="5" xfId="9" applyNumberFormat="1" applyFont="1" applyFill="1" applyBorder="1" applyAlignment="1">
      <alignment horizontal="right" vertical="top"/>
    </xf>
    <xf numFmtId="170" fontId="9" fillId="5" borderId="5" xfId="9" applyNumberFormat="1" applyFont="1" applyFill="1" applyBorder="1" applyAlignment="1">
      <alignment horizontal="right" vertical="top"/>
    </xf>
    <xf numFmtId="0" fontId="9" fillId="5" borderId="5" xfId="9" applyFont="1" applyFill="1" applyBorder="1" applyAlignment="1">
      <alignment horizontal="left" vertical="top" wrapText="1"/>
    </xf>
    <xf numFmtId="3" fontId="12" fillId="0" borderId="4" xfId="9" applyNumberFormat="1" applyFont="1" applyBorder="1" applyAlignment="1">
      <alignment horizontal="left" vertical="top" wrapText="1"/>
    </xf>
    <xf numFmtId="0" fontId="15" fillId="5" borderId="4" xfId="9" applyFont="1" applyFill="1" applyBorder="1" applyAlignment="1">
      <alignment horizontal="left" vertical="top" wrapText="1"/>
    </xf>
    <xf numFmtId="165" fontId="15" fillId="5" borderId="4" xfId="9" applyNumberFormat="1" applyFont="1" applyFill="1" applyBorder="1" applyAlignment="1">
      <alignment horizontal="right" vertical="top"/>
    </xf>
    <xf numFmtId="170" fontId="15" fillId="5" borderId="4" xfId="9" applyNumberFormat="1" applyFont="1" applyFill="1" applyBorder="1" applyAlignment="1">
      <alignment horizontal="right" vertical="top"/>
    </xf>
    <xf numFmtId="0" fontId="35" fillId="5" borderId="4" xfId="9" applyFont="1" applyFill="1" applyBorder="1" applyAlignment="1">
      <alignment horizontal="left" vertical="top" wrapText="1"/>
    </xf>
    <xf numFmtId="165" fontId="12" fillId="5" borderId="5" xfId="9" applyNumberFormat="1" applyFont="1" applyFill="1" applyBorder="1" applyAlignment="1">
      <alignment horizontal="right" vertical="top"/>
    </xf>
    <xf numFmtId="0" fontId="22" fillId="0" borderId="6" xfId="9" applyFont="1" applyBorder="1" applyAlignment="1">
      <alignment vertical="top" wrapText="1"/>
    </xf>
    <xf numFmtId="165" fontId="9" fillId="0" borderId="5" xfId="9" applyNumberFormat="1" applyFont="1" applyBorder="1" applyAlignment="1">
      <alignment horizontal="right" vertical="top"/>
    </xf>
    <xf numFmtId="170" fontId="9" fillId="0" borderId="5" xfId="9" applyNumberFormat="1" applyFont="1" applyBorder="1" applyAlignment="1">
      <alignment horizontal="right" vertical="top"/>
    </xf>
    <xf numFmtId="171" fontId="9" fillId="0" borderId="4" xfId="9" applyNumberFormat="1" applyFont="1" applyBorder="1" applyAlignment="1">
      <alignment horizontal="left" vertical="top" wrapText="1"/>
    </xf>
    <xf numFmtId="0" fontId="12" fillId="4" borderId="0" xfId="9" applyFont="1" applyFill="1" applyAlignment="1">
      <alignment wrapText="1"/>
    </xf>
    <xf numFmtId="165" fontId="12" fillId="4" borderId="0" xfId="9" applyNumberFormat="1" applyFont="1" applyFill="1"/>
    <xf numFmtId="171" fontId="12" fillId="4" borderId="0" xfId="9" applyNumberFormat="1" applyFont="1" applyFill="1"/>
    <xf numFmtId="0" fontId="33" fillId="4" borderId="0" xfId="9" applyFont="1" applyFill="1" applyAlignment="1">
      <alignment wrapText="1"/>
    </xf>
    <xf numFmtId="165" fontId="33" fillId="4" borderId="0" xfId="9" applyNumberFormat="1" applyFont="1" applyFill="1"/>
    <xf numFmtId="171" fontId="33" fillId="4" borderId="0" xfId="9" applyNumberFormat="1" applyFont="1" applyFill="1"/>
    <xf numFmtId="165" fontId="8" fillId="3" borderId="4" xfId="9" applyNumberFormat="1" applyFont="1" applyFill="1" applyBorder="1" applyAlignment="1">
      <alignment horizontal="right"/>
    </xf>
    <xf numFmtId="170" fontId="8" fillId="3" borderId="4" xfId="9" applyNumberFormat="1" applyFont="1" applyFill="1" applyBorder="1" applyAlignment="1">
      <alignment horizontal="right"/>
    </xf>
    <xf numFmtId="0" fontId="25" fillId="4" borderId="0" xfId="9" applyFont="1" applyFill="1" applyAlignment="1">
      <alignment vertical="top" wrapText="1"/>
    </xf>
    <xf numFmtId="166" fontId="12" fillId="4" borderId="0" xfId="9" applyNumberFormat="1" applyFont="1" applyFill="1"/>
    <xf numFmtId="0" fontId="25" fillId="4" borderId="0" xfId="9" applyFont="1" applyFill="1" applyAlignment="1">
      <alignment wrapText="1"/>
    </xf>
    <xf numFmtId="0" fontId="13" fillId="4" borderId="0" xfId="9" applyFont="1" applyFill="1" applyAlignment="1">
      <alignment horizontal="right" wrapText="1"/>
    </xf>
    <xf numFmtId="0" fontId="13" fillId="4" borderId="0" xfId="9" applyFont="1" applyFill="1" applyAlignment="1">
      <alignment horizontal="center" wrapText="1"/>
    </xf>
    <xf numFmtId="0" fontId="8" fillId="3" borderId="6" xfId="9" applyFont="1" applyFill="1" applyBorder="1" applyAlignment="1">
      <alignment horizontal="left" vertical="top" wrapText="1"/>
    </xf>
    <xf numFmtId="166" fontId="8" fillId="3" borderId="5" xfId="9" applyNumberFormat="1" applyFont="1" applyFill="1" applyBorder="1" applyAlignment="1">
      <alignment horizontal="right" vertical="top"/>
    </xf>
    <xf numFmtId="10" fontId="8" fillId="3" borderId="7" xfId="9" applyNumberFormat="1" applyFont="1" applyFill="1" applyBorder="1" applyAlignment="1">
      <alignment horizontal="right" vertical="top"/>
    </xf>
    <xf numFmtId="0" fontId="13" fillId="4" borderId="13" xfId="9" applyFont="1" applyFill="1" applyBorder="1" applyAlignment="1">
      <alignment horizontal="left" vertical="top" wrapText="1"/>
    </xf>
    <xf numFmtId="166" fontId="15" fillId="0" borderId="13" xfId="9" applyNumberFormat="1" applyFont="1" applyBorder="1" applyAlignment="1">
      <alignment horizontal="right" vertical="top"/>
    </xf>
    <xf numFmtId="166" fontId="8" fillId="3" borderId="4" xfId="9" applyNumberFormat="1" applyFont="1" applyFill="1" applyBorder="1" applyAlignment="1">
      <alignment horizontal="right" vertical="top"/>
    </xf>
    <xf numFmtId="0" fontId="9" fillId="4" borderId="0" xfId="0" applyFont="1" applyFill="1"/>
    <xf numFmtId="174" fontId="9" fillId="4" borderId="0" xfId="0" applyNumberFormat="1" applyFont="1" applyFill="1" applyAlignment="1">
      <alignment horizontal="right"/>
    </xf>
    <xf numFmtId="174" fontId="15" fillId="4" borderId="0" xfId="0" applyNumberFormat="1" applyFont="1" applyFill="1" applyAlignment="1">
      <alignment horizontal="right"/>
    </xf>
    <xf numFmtId="170" fontId="9" fillId="4" borderId="0" xfId="0" applyNumberFormat="1" applyFont="1" applyFill="1" applyAlignment="1">
      <alignment horizontal="right"/>
    </xf>
    <xf numFmtId="173" fontId="9" fillId="4" borderId="0" xfId="0" applyNumberFormat="1" applyFont="1" applyFill="1" applyAlignment="1">
      <alignment horizontal="right"/>
    </xf>
    <xf numFmtId="173" fontId="9" fillId="4" borderId="8" xfId="0" applyNumberFormat="1" applyFont="1" applyFill="1" applyBorder="1" applyAlignment="1">
      <alignment horizontal="right"/>
    </xf>
    <xf numFmtId="0" fontId="12" fillId="0" borderId="13" xfId="16" applyFont="1" applyBorder="1" applyAlignment="1">
      <alignment horizontal="left" vertical="top" wrapText="1"/>
    </xf>
    <xf numFmtId="165" fontId="12" fillId="4" borderId="13" xfId="17" applyNumberFormat="1" applyFont="1" applyFill="1" applyBorder="1" applyAlignment="1" applyProtection="1">
      <alignment horizontal="right" vertical="top"/>
    </xf>
    <xf numFmtId="165" fontId="13" fillId="5" borderId="13" xfId="17" applyNumberFormat="1" applyFont="1" applyFill="1" applyBorder="1" applyAlignment="1" applyProtection="1">
      <alignment horizontal="right" vertical="top"/>
    </xf>
    <xf numFmtId="0" fontId="12" fillId="0" borderId="4" xfId="16" applyFont="1" applyBorder="1" applyAlignment="1">
      <alignment horizontal="left" vertical="top" wrapText="1"/>
    </xf>
    <xf numFmtId="165" fontId="12" fillId="4" borderId="4" xfId="17" applyNumberFormat="1" applyFont="1" applyFill="1" applyBorder="1" applyAlignment="1" applyProtection="1">
      <alignment horizontal="right" vertical="top"/>
    </xf>
    <xf numFmtId="165" fontId="13" fillId="5" borderId="4" xfId="17" applyNumberFormat="1" applyFont="1" applyFill="1" applyBorder="1" applyAlignment="1" applyProtection="1">
      <alignment horizontal="right" vertical="top"/>
    </xf>
    <xf numFmtId="0" fontId="8" fillId="0" borderId="0" xfId="4" applyFont="1" applyAlignment="1">
      <alignment horizontal="left" vertical="top" wrapText="1"/>
    </xf>
    <xf numFmtId="165" fontId="8" fillId="0" borderId="0" xfId="4" applyNumberFormat="1" applyFont="1" applyAlignment="1">
      <alignment vertical="top"/>
    </xf>
    <xf numFmtId="170" fontId="8" fillId="0" borderId="0" xfId="4" applyNumberFormat="1" applyFont="1" applyAlignment="1">
      <alignment horizontal="right" vertical="top"/>
    </xf>
    <xf numFmtId="173" fontId="8" fillId="0" borderId="0" xfId="4" applyNumberFormat="1" applyFont="1" applyAlignment="1">
      <alignment vertical="top"/>
    </xf>
    <xf numFmtId="173" fontId="8" fillId="0" borderId="8" xfId="4" applyNumberFormat="1" applyFont="1" applyBorder="1" applyAlignment="1">
      <alignment vertical="top"/>
    </xf>
    <xf numFmtId="0" fontId="8" fillId="3" borderId="5" xfId="4" applyFont="1" applyFill="1" applyBorder="1" applyAlignment="1">
      <alignment horizontal="center" vertical="top" wrapText="1"/>
    </xf>
    <xf numFmtId="165" fontId="12" fillId="0" borderId="13" xfId="17" applyNumberFormat="1" applyFont="1" applyFill="1" applyBorder="1" applyAlignment="1" applyProtection="1">
      <alignment horizontal="right" vertical="top"/>
    </xf>
    <xf numFmtId="0" fontId="13" fillId="4" borderId="0" xfId="4" applyFont="1" applyFill="1" applyAlignment="1">
      <alignment horizontal="left" vertical="top" wrapText="1"/>
    </xf>
    <xf numFmtId="165" fontId="13" fillId="4" borderId="0" xfId="4" applyNumberFormat="1" applyFont="1" applyFill="1" applyAlignment="1">
      <alignment vertical="top"/>
    </xf>
    <xf numFmtId="0" fontId="12" fillId="0" borderId="0" xfId="16" applyFont="1" applyAlignment="1">
      <alignment horizontal="left" vertical="top" wrapText="1"/>
    </xf>
    <xf numFmtId="165" fontId="12" fillId="0" borderId="0" xfId="17" applyNumberFormat="1" applyFont="1" applyFill="1" applyBorder="1" applyAlignment="1" applyProtection="1">
      <alignment horizontal="right" vertical="top"/>
    </xf>
    <xf numFmtId="165" fontId="13" fillId="0" borderId="0" xfId="17" applyNumberFormat="1" applyFont="1" applyFill="1" applyBorder="1" applyAlignment="1" applyProtection="1">
      <alignment horizontal="right" vertical="top"/>
    </xf>
    <xf numFmtId="170" fontId="12" fillId="0" borderId="0" xfId="19" applyNumberFormat="1" applyFont="1" applyFill="1" applyBorder="1" applyAlignment="1" applyProtection="1">
      <alignment horizontal="right" vertical="top"/>
    </xf>
    <xf numFmtId="0" fontId="12" fillId="4" borderId="0" xfId="9" applyFont="1" applyFill="1" applyAlignment="1">
      <alignment horizontal="left" vertical="top" wrapText="1"/>
    </xf>
    <xf numFmtId="0" fontId="12" fillId="5" borderId="6" xfId="4" applyFont="1" applyFill="1" applyBorder="1" applyAlignment="1">
      <alignment horizontal="left" vertical="top" wrapText="1"/>
    </xf>
    <xf numFmtId="4" fontId="13" fillId="4" borderId="0" xfId="4" applyNumberFormat="1" applyFont="1" applyFill="1" applyAlignment="1">
      <alignment horizontal="left" vertical="top" wrapText="1"/>
    </xf>
    <xf numFmtId="170" fontId="12" fillId="4" borderId="0" xfId="4" applyNumberFormat="1" applyFont="1" applyFill="1" applyAlignment="1">
      <alignment horizontal="right" vertical="top"/>
    </xf>
    <xf numFmtId="0" fontId="12" fillId="5" borderId="5" xfId="4" applyFont="1" applyFill="1" applyBorder="1" applyAlignment="1">
      <alignment horizontal="left" vertical="top" wrapText="1"/>
    </xf>
    <xf numFmtId="170" fontId="13" fillId="4" borderId="5" xfId="4" applyNumberFormat="1" applyFont="1" applyFill="1" applyBorder="1" applyAlignment="1">
      <alignment horizontal="right" vertical="top"/>
    </xf>
    <xf numFmtId="173" fontId="12" fillId="0" borderId="4" xfId="17" applyNumberFormat="1" applyFont="1" applyFill="1" applyBorder="1" applyAlignment="1" applyProtection="1">
      <alignment horizontal="right" vertical="top"/>
    </xf>
    <xf numFmtId="0" fontId="12" fillId="0" borderId="0" xfId="2" applyFont="1" applyAlignment="1">
      <alignment horizontal="left" vertical="top" wrapText="1"/>
    </xf>
    <xf numFmtId="4" fontId="13" fillId="5" borderId="6" xfId="11" applyNumberFormat="1" applyFont="1" applyFill="1" applyBorder="1" applyAlignment="1">
      <alignment vertical="top" wrapText="1"/>
    </xf>
    <xf numFmtId="4" fontId="13" fillId="5" borderId="5" xfId="11" applyNumberFormat="1" applyFont="1" applyFill="1" applyBorder="1" applyAlignment="1">
      <alignment vertical="top"/>
    </xf>
    <xf numFmtId="0" fontId="13" fillId="5" borderId="4" xfId="4" applyFont="1" applyFill="1" applyBorder="1" applyAlignment="1">
      <alignment horizontal="left" vertical="top" wrapText="1"/>
    </xf>
    <xf numFmtId="4" fontId="13" fillId="0" borderId="6" xfId="11" applyNumberFormat="1" applyFont="1" applyBorder="1" applyAlignment="1">
      <alignment horizontal="left" vertical="top" wrapText="1"/>
    </xf>
    <xf numFmtId="165" fontId="13" fillId="0" borderId="5" xfId="11" applyNumberFormat="1" applyFont="1" applyBorder="1" applyAlignment="1">
      <alignment vertical="top" wrapText="1"/>
    </xf>
    <xf numFmtId="170" fontId="13" fillId="0" borderId="5" xfId="11" applyNumberFormat="1" applyFont="1" applyBorder="1" applyAlignment="1">
      <alignment vertical="top"/>
    </xf>
    <xf numFmtId="0" fontId="13" fillId="0" borderId="5" xfId="4" applyFont="1" applyBorder="1" applyAlignment="1">
      <alignment horizontal="left" vertical="top" wrapText="1"/>
    </xf>
    <xf numFmtId="0" fontId="12" fillId="0" borderId="5" xfId="4" applyFont="1" applyBorder="1" applyAlignment="1">
      <alignment horizontal="left" vertical="top" wrapText="1"/>
    </xf>
    <xf numFmtId="173" fontId="13" fillId="0" borderId="5" xfId="11" applyNumberFormat="1" applyFont="1" applyBorder="1" applyAlignment="1">
      <alignment vertical="top" wrapText="1"/>
    </xf>
    <xf numFmtId="173" fontId="13" fillId="0" borderId="7" xfId="11" applyNumberFormat="1" applyFont="1" applyBorder="1" applyAlignment="1">
      <alignment vertical="top" wrapText="1"/>
    </xf>
    <xf numFmtId="4" fontId="13" fillId="0" borderId="0" xfId="4" applyNumberFormat="1" applyFont="1" applyAlignment="1">
      <alignment horizontal="left" vertical="top" wrapText="1"/>
    </xf>
    <xf numFmtId="170" fontId="13" fillId="0" borderId="5" xfId="4" applyNumberFormat="1" applyFont="1" applyBorder="1" applyAlignment="1">
      <alignment horizontal="right" vertical="top"/>
    </xf>
    <xf numFmtId="165" fontId="13" fillId="3" borderId="5" xfId="5" applyNumberFormat="1" applyFont="1" applyFill="1" applyBorder="1" applyAlignment="1" applyProtection="1">
      <alignment horizontal="center" vertical="center"/>
    </xf>
    <xf numFmtId="170" fontId="13" fillId="3" borderId="5" xfId="5" applyNumberFormat="1" applyFont="1" applyFill="1" applyBorder="1" applyAlignment="1" applyProtection="1">
      <alignment horizontal="right" vertical="center"/>
    </xf>
    <xf numFmtId="0" fontId="13" fillId="3" borderId="5" xfId="4" applyFont="1" applyFill="1" applyBorder="1" applyAlignment="1">
      <alignment horizontal="center" vertical="top" wrapText="1"/>
    </xf>
    <xf numFmtId="173" fontId="13" fillId="3" borderId="5" xfId="5" applyNumberFormat="1" applyFont="1" applyFill="1" applyBorder="1" applyAlignment="1" applyProtection="1">
      <alignment horizontal="center" vertical="center"/>
    </xf>
    <xf numFmtId="173" fontId="13" fillId="3" borderId="7" xfId="5" applyNumberFormat="1" applyFont="1" applyFill="1" applyBorder="1" applyAlignment="1" applyProtection="1">
      <alignment horizontal="center" vertical="center"/>
    </xf>
    <xf numFmtId="0" fontId="13" fillId="5" borderId="5" xfId="4" applyFont="1" applyFill="1" applyBorder="1" applyAlignment="1">
      <alignment horizontal="left" vertical="top" wrapText="1"/>
    </xf>
    <xf numFmtId="170" fontId="12" fillId="0" borderId="5" xfId="19" applyNumberFormat="1" applyFont="1" applyFill="1" applyBorder="1" applyAlignment="1" applyProtection="1">
      <alignment horizontal="right" vertical="top"/>
    </xf>
    <xf numFmtId="165" fontId="12" fillId="4" borderId="0" xfId="17" applyNumberFormat="1" applyFont="1" applyFill="1" applyBorder="1" applyAlignment="1" applyProtection="1">
      <alignment horizontal="right" vertical="top"/>
    </xf>
    <xf numFmtId="165" fontId="13" fillId="4" borderId="0" xfId="17" applyNumberFormat="1" applyFont="1" applyFill="1" applyBorder="1" applyAlignment="1" applyProtection="1">
      <alignment horizontal="right" vertical="top"/>
    </xf>
    <xf numFmtId="173" fontId="12" fillId="4" borderId="0" xfId="17" applyNumberFormat="1" applyFont="1" applyFill="1" applyBorder="1" applyAlignment="1" applyProtection="1">
      <alignment horizontal="right" vertical="top"/>
    </xf>
    <xf numFmtId="173" fontId="12" fillId="4" borderId="8" xfId="17" applyNumberFormat="1" applyFont="1" applyFill="1" applyBorder="1" applyAlignment="1" applyProtection="1">
      <alignment horizontal="right" vertical="top"/>
    </xf>
    <xf numFmtId="0" fontId="8" fillId="3" borderId="4" xfId="4" applyFont="1" applyFill="1" applyBorder="1" applyAlignment="1">
      <alignment horizontal="left" vertical="center" wrapText="1"/>
    </xf>
    <xf numFmtId="0" fontId="24" fillId="4" borderId="0" xfId="9" applyFont="1" applyFill="1" applyAlignment="1">
      <alignment wrapText="1"/>
    </xf>
    <xf numFmtId="165" fontId="24" fillId="0" borderId="0" xfId="0" applyNumberFormat="1" applyFont="1"/>
    <xf numFmtId="165" fontId="32" fillId="0" borderId="0" xfId="0" applyNumberFormat="1" applyFont="1"/>
    <xf numFmtId="167" fontId="24" fillId="4" borderId="0" xfId="9" applyNumberFormat="1" applyFont="1" applyFill="1" applyAlignment="1">
      <alignment horizontal="right"/>
    </xf>
    <xf numFmtId="0" fontId="8" fillId="3" borderId="4" xfId="16" applyFont="1" applyFill="1" applyBorder="1" applyAlignment="1">
      <alignment wrapText="1"/>
    </xf>
    <xf numFmtId="0" fontId="25" fillId="0" borderId="0" xfId="16" applyFont="1" applyAlignment="1">
      <alignment wrapText="1"/>
    </xf>
    <xf numFmtId="0" fontId="25" fillId="0" borderId="0" xfId="16" applyFont="1" applyAlignment="1">
      <alignment vertical="top" wrapText="1"/>
    </xf>
    <xf numFmtId="165" fontId="9" fillId="4" borderId="0" xfId="0" applyNumberFormat="1" applyFont="1" applyFill="1"/>
    <xf numFmtId="165" fontId="15" fillId="4" borderId="0" xfId="0" applyNumberFormat="1" applyFont="1" applyFill="1"/>
    <xf numFmtId="164" fontId="8" fillId="3" borderId="6" xfId="11" applyNumberFormat="1" applyFont="1" applyFill="1" applyBorder="1" applyAlignment="1">
      <alignment vertical="top"/>
    </xf>
    <xf numFmtId="170" fontId="25" fillId="3" borderId="5" xfId="11" applyNumberFormat="1" applyFont="1" applyFill="1" applyBorder="1" applyAlignment="1">
      <alignment vertical="top"/>
    </xf>
    <xf numFmtId="164" fontId="8" fillId="3" borderId="4" xfId="11" applyNumberFormat="1" applyFont="1" applyFill="1" applyBorder="1" applyAlignment="1">
      <alignment vertical="top"/>
    </xf>
    <xf numFmtId="173" fontId="9" fillId="4" borderId="0" xfId="0" applyNumberFormat="1" applyFont="1" applyFill="1"/>
    <xf numFmtId="173" fontId="9" fillId="4" borderId="8" xfId="0" applyNumberFormat="1" applyFont="1" applyFill="1" applyBorder="1"/>
    <xf numFmtId="0" fontId="8" fillId="3" borderId="0" xfId="4" applyFont="1" applyFill="1" applyAlignment="1">
      <alignment horizontal="left" vertical="center" wrapText="1"/>
    </xf>
    <xf numFmtId="165" fontId="8" fillId="3" borderId="0" xfId="5" applyNumberFormat="1" applyFont="1" applyFill="1" applyBorder="1" applyAlignment="1" applyProtection="1">
      <alignment horizontal="center" vertical="center"/>
    </xf>
    <xf numFmtId="2" fontId="8" fillId="3" borderId="0" xfId="5" applyNumberFormat="1" applyFont="1" applyFill="1" applyBorder="1" applyAlignment="1" applyProtection="1">
      <alignment horizontal="right" vertical="center"/>
    </xf>
    <xf numFmtId="0" fontId="8" fillId="0" borderId="0" xfId="4" applyFont="1" applyAlignment="1">
      <alignment horizontal="center" vertical="center" wrapText="1"/>
    </xf>
    <xf numFmtId="173" fontId="8" fillId="3" borderId="0" xfId="5" applyNumberFormat="1" applyFont="1" applyFill="1" applyBorder="1" applyAlignment="1" applyProtection="1">
      <alignment horizontal="center" vertical="center"/>
    </xf>
    <xf numFmtId="173" fontId="8" fillId="3" borderId="8" xfId="5" applyNumberFormat="1" applyFont="1" applyFill="1" applyBorder="1" applyAlignment="1" applyProtection="1">
      <alignment horizontal="center" vertical="center"/>
    </xf>
    <xf numFmtId="0" fontId="12" fillId="0" borderId="4" xfId="16" quotePrefix="1" applyFont="1" applyBorder="1" applyAlignment="1">
      <alignment horizontal="left" vertical="top" wrapText="1"/>
    </xf>
    <xf numFmtId="0" fontId="31" fillId="0" borderId="0" xfId="0" applyFont="1"/>
    <xf numFmtId="166" fontId="8" fillId="3" borderId="5" xfId="19" applyNumberFormat="1" applyFont="1" applyFill="1" applyBorder="1" applyAlignment="1" applyProtection="1">
      <alignment horizontal="right" vertical="top"/>
    </xf>
    <xf numFmtId="166" fontId="8" fillId="3" borderId="7" xfId="19" applyNumberFormat="1" applyFont="1" applyFill="1" applyBorder="1" applyAlignment="1" applyProtection="1">
      <alignment horizontal="right" vertical="top"/>
    </xf>
    <xf numFmtId="166" fontId="9" fillId="0" borderId="0" xfId="9" applyNumberFormat="1" applyFont="1"/>
    <xf numFmtId="166" fontId="9" fillId="0" borderId="8" xfId="9" applyNumberFormat="1" applyFont="1" applyBorder="1"/>
    <xf numFmtId="0" fontId="8" fillId="3" borderId="1" xfId="0" applyFont="1" applyFill="1" applyBorder="1" applyAlignment="1">
      <alignment horizontal="center" vertical="center"/>
    </xf>
    <xf numFmtId="0" fontId="13" fillId="0" borderId="0" xfId="16" applyFont="1" applyAlignment="1">
      <alignment horizontal="left" wrapText="1"/>
    </xf>
    <xf numFmtId="166" fontId="13" fillId="0" borderId="0" xfId="19" applyNumberFormat="1" applyFont="1" applyFill="1" applyBorder="1" applyAlignment="1" applyProtection="1">
      <alignment horizontal="right"/>
    </xf>
    <xf numFmtId="167" fontId="13" fillId="0" borderId="0" xfId="19" applyNumberFormat="1" applyFont="1" applyFill="1" applyBorder="1" applyAlignment="1" applyProtection="1">
      <alignment horizontal="right"/>
    </xf>
    <xf numFmtId="0" fontId="13" fillId="0" borderId="0" xfId="16" applyFont="1" applyAlignment="1">
      <alignment horizontal="center" vertical="top" wrapText="1"/>
    </xf>
    <xf numFmtId="0" fontId="8" fillId="3" borderId="6" xfId="11" applyFont="1" applyFill="1" applyBorder="1" applyAlignment="1">
      <alignment vertical="top" wrapText="1"/>
    </xf>
    <xf numFmtId="0" fontId="8" fillId="3" borderId="5" xfId="11" applyFont="1" applyFill="1" applyBorder="1" applyAlignment="1">
      <alignment vertical="top" wrapText="1"/>
    </xf>
    <xf numFmtId="0" fontId="8" fillId="3" borderId="5" xfId="11" applyFont="1" applyFill="1" applyBorder="1" applyAlignment="1">
      <alignment horizontal="right" vertical="top" wrapText="1"/>
    </xf>
    <xf numFmtId="169" fontId="15" fillId="5" borderId="4" xfId="11" applyNumberFormat="1" applyFont="1" applyFill="1" applyBorder="1" applyAlignment="1">
      <alignment vertical="top" wrapText="1"/>
    </xf>
    <xf numFmtId="169" fontId="15" fillId="5" borderId="6" xfId="11" applyNumberFormat="1" applyFont="1" applyFill="1" applyBorder="1" applyAlignment="1">
      <alignment vertical="top" wrapText="1"/>
    </xf>
    <xf numFmtId="165" fontId="13" fillId="0" borderId="0" xfId="19" applyNumberFormat="1" applyFont="1" applyFill="1" applyBorder="1" applyAlignment="1" applyProtection="1">
      <alignment horizontal="right"/>
    </xf>
    <xf numFmtId="170" fontId="13" fillId="0" borderId="0" xfId="19" applyNumberFormat="1" applyFont="1" applyFill="1" applyBorder="1" applyAlignment="1" applyProtection="1">
      <alignment horizontal="right"/>
    </xf>
    <xf numFmtId="0" fontId="8" fillId="5" borderId="5" xfId="9" applyFont="1" applyFill="1" applyBorder="1" applyAlignment="1">
      <alignment horizontal="center" vertical="center" wrapText="1"/>
    </xf>
    <xf numFmtId="170" fontId="13" fillId="0" borderId="0" xfId="16" applyNumberFormat="1" applyFont="1" applyAlignment="1">
      <alignment horizontal="right" wrapText="1"/>
    </xf>
    <xf numFmtId="0" fontId="13" fillId="0" borderId="0" xfId="16" applyFont="1" applyAlignment="1">
      <alignment horizontal="left" vertical="top" wrapText="1"/>
    </xf>
    <xf numFmtId="4" fontId="13" fillId="5" borderId="5" xfId="11" applyNumberFormat="1" applyFont="1" applyFill="1" applyBorder="1" applyAlignment="1">
      <alignment vertical="top" wrapText="1"/>
    </xf>
    <xf numFmtId="4" fontId="13" fillId="5" borderId="13" xfId="11" quotePrefix="1" applyNumberFormat="1" applyFont="1" applyFill="1" applyBorder="1" applyAlignment="1">
      <alignment horizontal="left" vertical="top" wrapText="1"/>
    </xf>
    <xf numFmtId="169" fontId="15" fillId="5" borderId="13" xfId="11" applyNumberFormat="1" applyFont="1" applyFill="1" applyBorder="1" applyAlignment="1">
      <alignment vertical="top" wrapText="1"/>
    </xf>
    <xf numFmtId="169" fontId="15" fillId="5" borderId="1" xfId="11" applyNumberFormat="1" applyFont="1" applyFill="1" applyBorder="1" applyAlignment="1">
      <alignment vertical="top" wrapText="1"/>
    </xf>
    <xf numFmtId="4" fontId="13" fillId="0" borderId="0" xfId="11" quotePrefix="1" applyNumberFormat="1" applyFont="1" applyAlignment="1">
      <alignment horizontal="left" vertical="top" wrapText="1"/>
    </xf>
    <xf numFmtId="165" fontId="13" fillId="0" borderId="0" xfId="11" applyNumberFormat="1" applyFont="1" applyAlignment="1">
      <alignment vertical="top" wrapText="1"/>
    </xf>
    <xf numFmtId="170" fontId="13" fillId="0" borderId="0" xfId="11" applyNumberFormat="1" applyFont="1" applyAlignment="1">
      <alignment horizontal="right" vertical="top"/>
    </xf>
    <xf numFmtId="169" fontId="15" fillId="0" borderId="0" xfId="11" applyNumberFormat="1" applyFont="1" applyAlignment="1">
      <alignment vertical="top" wrapText="1"/>
    </xf>
    <xf numFmtId="170" fontId="12" fillId="0" borderId="4" xfId="19" applyNumberFormat="1" applyFont="1" applyFill="1" applyBorder="1" applyAlignment="1" applyProtection="1">
      <alignment horizontal="right" vertical="top"/>
    </xf>
    <xf numFmtId="0" fontId="12" fillId="0" borderId="1" xfId="11" applyFont="1" applyBorder="1" applyAlignment="1">
      <alignment vertical="top" wrapText="1"/>
    </xf>
    <xf numFmtId="0" fontId="12" fillId="0" borderId="6" xfId="11" applyFont="1" applyBorder="1" applyAlignment="1">
      <alignment vertical="top" wrapText="1"/>
    </xf>
    <xf numFmtId="165" fontId="13" fillId="0" borderId="0" xfId="19" applyNumberFormat="1" applyFont="1" applyFill="1" applyBorder="1" applyAlignment="1" applyProtection="1"/>
    <xf numFmtId="0" fontId="8" fillId="3" borderId="4" xfId="16" applyFont="1" applyFill="1" applyBorder="1" applyAlignment="1">
      <alignment horizontal="left" vertical="top" wrapText="1"/>
    </xf>
    <xf numFmtId="0" fontId="13" fillId="0" borderId="0" xfId="16" applyFont="1" applyAlignment="1">
      <alignment horizontal="justify" wrapText="1"/>
    </xf>
    <xf numFmtId="170" fontId="13" fillId="0" borderId="0" xfId="16" applyNumberFormat="1" applyFont="1" applyAlignment="1">
      <alignment horizontal="right"/>
    </xf>
    <xf numFmtId="0" fontId="12" fillId="0" borderId="0" xfId="16" applyFont="1" applyAlignment="1">
      <alignment vertical="top" wrapText="1"/>
    </xf>
    <xf numFmtId="0" fontId="13" fillId="0" borderId="0" xfId="16" applyFont="1" applyAlignment="1">
      <alignment horizontal="left" vertical="center" wrapText="1"/>
    </xf>
    <xf numFmtId="0" fontId="12" fillId="0" borderId="0" xfId="16" applyFont="1" applyAlignment="1">
      <alignment wrapText="1"/>
    </xf>
    <xf numFmtId="0" fontId="12" fillId="4" borderId="0" xfId="16" applyFont="1" applyFill="1" applyAlignment="1">
      <alignment horizontal="left" vertical="top" wrapText="1"/>
    </xf>
    <xf numFmtId="0" fontId="8" fillId="3" borderId="4" xfId="16" applyFont="1" applyFill="1" applyBorder="1" applyAlignment="1">
      <alignment horizontal="justify" vertical="top" wrapText="1"/>
    </xf>
    <xf numFmtId="0" fontId="9" fillId="4" borderId="0" xfId="0" applyFont="1" applyFill="1" applyAlignment="1">
      <alignment horizontal="right"/>
    </xf>
    <xf numFmtId="0" fontId="9" fillId="4" borderId="0" xfId="0" applyFont="1" applyFill="1" applyAlignment="1">
      <alignment vertical="top" wrapText="1"/>
    </xf>
    <xf numFmtId="0" fontId="9" fillId="0" borderId="0" xfId="0" applyFont="1" applyAlignment="1">
      <alignment vertical="top" wrapText="1"/>
    </xf>
    <xf numFmtId="165" fontId="13" fillId="0" borderId="0" xfId="16" applyNumberFormat="1" applyFont="1" applyAlignment="1">
      <alignment horizontal="right" wrapText="1"/>
    </xf>
    <xf numFmtId="165" fontId="12" fillId="0" borderId="0" xfId="16" applyNumberFormat="1" applyFont="1" applyAlignment="1">
      <alignment horizontal="right" wrapText="1"/>
    </xf>
    <xf numFmtId="170" fontId="12" fillId="0" borderId="0" xfId="16" applyNumberFormat="1" applyFont="1" applyAlignment="1">
      <alignment horizontal="right" wrapText="1"/>
    </xf>
    <xf numFmtId="0" fontId="8" fillId="3" borderId="4" xfId="16" applyFont="1" applyFill="1" applyBorder="1" applyAlignment="1">
      <alignment horizontal="justify" wrapText="1"/>
    </xf>
    <xf numFmtId="165" fontId="8" fillId="3" borderId="4" xfId="16" applyNumberFormat="1" applyFont="1" applyFill="1" applyBorder="1" applyAlignment="1">
      <alignment horizontal="right" wrapText="1"/>
    </xf>
    <xf numFmtId="0" fontId="12" fillId="3" borderId="4" xfId="16" applyFont="1" applyFill="1" applyBorder="1" applyAlignment="1">
      <alignment wrapText="1"/>
    </xf>
    <xf numFmtId="0" fontId="12" fillId="3" borderId="6" xfId="16" applyFont="1" applyFill="1" applyBorder="1" applyAlignment="1">
      <alignment wrapText="1"/>
    </xf>
    <xf numFmtId="165" fontId="13" fillId="0" borderId="13" xfId="16" applyNumberFormat="1" applyFont="1" applyBorder="1" applyAlignment="1">
      <alignment horizontal="left" vertical="top" wrapText="1"/>
    </xf>
    <xf numFmtId="165" fontId="8" fillId="3" borderId="4" xfId="16" applyNumberFormat="1" applyFont="1" applyFill="1" applyBorder="1" applyAlignment="1">
      <alignment horizontal="justify" wrapText="1"/>
    </xf>
    <xf numFmtId="165" fontId="9" fillId="0" borderId="0" xfId="9" applyNumberFormat="1" applyFont="1" applyAlignment="1">
      <alignment wrapText="1"/>
    </xf>
    <xf numFmtId="165" fontId="9" fillId="0" borderId="0" xfId="9" applyNumberFormat="1" applyFont="1"/>
    <xf numFmtId="165" fontId="15" fillId="0" borderId="0" xfId="9" applyNumberFormat="1" applyFont="1"/>
    <xf numFmtId="10" fontId="9" fillId="0" borderId="0" xfId="9" applyNumberFormat="1" applyFont="1" applyAlignment="1">
      <alignment horizontal="right"/>
    </xf>
    <xf numFmtId="165" fontId="9" fillId="4" borderId="0" xfId="9" applyNumberFormat="1" applyFont="1" applyFill="1" applyAlignment="1">
      <alignment vertical="top" wrapText="1"/>
    </xf>
    <xf numFmtId="0" fontId="8" fillId="3" borderId="6" xfId="4" quotePrefix="1" applyFont="1" applyFill="1" applyBorder="1" applyAlignment="1">
      <alignment horizontal="left" vertical="center" wrapText="1"/>
    </xf>
    <xf numFmtId="0" fontId="8" fillId="3" borderId="4" xfId="4" quotePrefix="1" applyFont="1" applyFill="1" applyBorder="1" applyAlignment="1">
      <alignment horizontal="left" vertical="center" wrapText="1"/>
    </xf>
    <xf numFmtId="165" fontId="8" fillId="3" borderId="5" xfId="16" applyNumberFormat="1" applyFont="1" applyFill="1" applyBorder="1" applyAlignment="1">
      <alignment horizontal="left" vertical="center"/>
    </xf>
    <xf numFmtId="10" fontId="8" fillId="3" borderId="5" xfId="16" applyNumberFormat="1" applyFont="1" applyFill="1" applyBorder="1" applyAlignment="1">
      <alignment horizontal="left" vertical="center"/>
    </xf>
    <xf numFmtId="0" fontId="13" fillId="0" borderId="13" xfId="16" applyFont="1" applyBorder="1" applyAlignment="1">
      <alignment horizontal="left" vertical="top" wrapText="1"/>
    </xf>
    <xf numFmtId="0" fontId="13" fillId="0" borderId="4" xfId="16" applyFont="1" applyBorder="1" applyAlignment="1">
      <alignment horizontal="left" vertical="top" wrapText="1"/>
    </xf>
    <xf numFmtId="0" fontId="8" fillId="3" borderId="0" xfId="16" applyFont="1" applyFill="1" applyAlignment="1">
      <alignment wrapText="1"/>
    </xf>
    <xf numFmtId="0" fontId="12" fillId="3" borderId="0" xfId="16" applyFont="1" applyFill="1" applyAlignment="1">
      <alignment vertical="top" wrapText="1"/>
    </xf>
    <xf numFmtId="0" fontId="9" fillId="0" borderId="0" xfId="4" applyFont="1" applyAlignment="1">
      <alignment wrapText="1"/>
    </xf>
    <xf numFmtId="165" fontId="9" fillId="0" borderId="0" xfId="4" applyNumberFormat="1" applyFont="1"/>
    <xf numFmtId="165" fontId="15" fillId="0" borderId="0" xfId="4" applyNumberFormat="1" applyFont="1"/>
    <xf numFmtId="0" fontId="9" fillId="0" borderId="0" xfId="4" applyFont="1" applyAlignment="1">
      <alignment horizontal="right"/>
    </xf>
    <xf numFmtId="0" fontId="9" fillId="0" borderId="0" xfId="4" applyFont="1" applyAlignment="1">
      <alignment vertical="top" wrapText="1"/>
    </xf>
    <xf numFmtId="0" fontId="8" fillId="3" borderId="6" xfId="16" applyFont="1" applyFill="1" applyBorder="1" applyAlignment="1">
      <alignment vertical="center" wrapText="1"/>
    </xf>
    <xf numFmtId="0" fontId="9" fillId="0" borderId="0" xfId="9" applyFont="1" applyAlignment="1">
      <alignment wrapText="1"/>
    </xf>
    <xf numFmtId="166" fontId="15" fillId="0" borderId="0" xfId="9" applyNumberFormat="1" applyFont="1"/>
    <xf numFmtId="165" fontId="12" fillId="0" borderId="0" xfId="16" applyNumberFormat="1" applyFont="1" applyAlignment="1">
      <alignment horizontal="left" vertical="top" wrapText="1"/>
    </xf>
    <xf numFmtId="0" fontId="37" fillId="5" borderId="10" xfId="0" applyFont="1" applyFill="1" applyBorder="1"/>
    <xf numFmtId="0" fontId="37" fillId="0" borderId="0" xfId="0" applyFont="1"/>
    <xf numFmtId="0" fontId="13" fillId="4" borderId="0" xfId="16" applyFont="1" applyFill="1" applyAlignment="1">
      <alignment wrapText="1"/>
    </xf>
    <xf numFmtId="165" fontId="13" fillId="4" borderId="0" xfId="16" applyNumberFormat="1" applyFont="1" applyFill="1" applyAlignment="1">
      <alignment horizontal="right"/>
    </xf>
    <xf numFmtId="0" fontId="12" fillId="4" borderId="0" xfId="16" applyFont="1" applyFill="1" applyAlignment="1">
      <alignment vertical="top" wrapText="1"/>
    </xf>
    <xf numFmtId="165" fontId="13" fillId="5" borderId="0" xfId="11" applyNumberFormat="1" applyFont="1" applyFill="1" applyAlignment="1">
      <alignment vertical="top" wrapText="1"/>
    </xf>
    <xf numFmtId="0" fontId="38" fillId="4" borderId="0" xfId="16" applyFont="1" applyFill="1" applyAlignment="1">
      <alignment wrapText="1"/>
    </xf>
    <xf numFmtId="165" fontId="38" fillId="4" borderId="0" xfId="16" applyNumberFormat="1" applyFont="1" applyFill="1" applyAlignment="1">
      <alignment horizontal="right"/>
    </xf>
    <xf numFmtId="170" fontId="38" fillId="4" borderId="0" xfId="16" applyNumberFormat="1" applyFont="1" applyFill="1" applyAlignment="1">
      <alignment horizontal="right"/>
    </xf>
    <xf numFmtId="0" fontId="33" fillId="4" borderId="0" xfId="16" applyFont="1" applyFill="1" applyAlignment="1">
      <alignment vertical="top" wrapText="1"/>
    </xf>
    <xf numFmtId="0" fontId="25" fillId="4" borderId="0" xfId="16" applyFont="1" applyFill="1" applyAlignment="1">
      <alignment vertical="top" wrapText="1"/>
    </xf>
    <xf numFmtId="0" fontId="26" fillId="0" borderId="0" xfId="0" applyFont="1" applyAlignment="1">
      <alignment horizontal="right"/>
    </xf>
    <xf numFmtId="0" fontId="9" fillId="4" borderId="23" xfId="0" applyFont="1" applyFill="1" applyBorder="1" applyAlignment="1">
      <alignment wrapText="1"/>
    </xf>
    <xf numFmtId="0" fontId="9" fillId="4" borderId="23" xfId="0" applyFont="1" applyFill="1" applyBorder="1"/>
    <xf numFmtId="0" fontId="8" fillId="3" borderId="6" xfId="16" applyFont="1" applyFill="1" applyBorder="1" applyAlignment="1">
      <alignment horizontal="left" vertical="top" wrapText="1"/>
    </xf>
    <xf numFmtId="0" fontId="8" fillId="3" borderId="5" xfId="9" applyFont="1" applyFill="1" applyBorder="1" applyAlignment="1">
      <alignment vertical="center" wrapText="1"/>
    </xf>
    <xf numFmtId="0" fontId="26" fillId="4" borderId="0" xfId="0" applyFont="1" applyFill="1" applyAlignment="1">
      <alignment wrapText="1"/>
    </xf>
    <xf numFmtId="0" fontId="26" fillId="4" borderId="0" xfId="0" applyFont="1" applyFill="1"/>
    <xf numFmtId="0" fontId="12" fillId="0" borderId="24" xfId="4" applyFont="1" applyBorder="1" applyAlignment="1">
      <alignment horizontal="left" vertical="top" wrapText="1"/>
    </xf>
    <xf numFmtId="0" fontId="12" fillId="0" borderId="4" xfId="17" applyNumberFormat="1" applyFont="1" applyFill="1" applyBorder="1" applyAlignment="1" applyProtection="1">
      <alignment horizontal="left" vertical="top" wrapText="1"/>
    </xf>
    <xf numFmtId="0" fontId="12" fillId="0" borderId="6" xfId="4" applyFont="1" applyBorder="1" applyAlignment="1">
      <alignment horizontal="left" vertical="top" wrapText="1"/>
    </xf>
    <xf numFmtId="4" fontId="13" fillId="5" borderId="13" xfId="11" applyNumberFormat="1" applyFont="1" applyFill="1" applyBorder="1" applyAlignment="1">
      <alignment horizontal="left" vertical="top" wrapText="1"/>
    </xf>
    <xf numFmtId="170" fontId="13" fillId="5" borderId="1" xfId="11" applyNumberFormat="1" applyFont="1" applyFill="1" applyBorder="1" applyAlignment="1">
      <alignment vertical="top"/>
    </xf>
    <xf numFmtId="0" fontId="26" fillId="5" borderId="4" xfId="0" applyFont="1" applyFill="1" applyBorder="1"/>
    <xf numFmtId="0" fontId="26" fillId="5" borderId="6" xfId="0" applyFont="1" applyFill="1" applyBorder="1"/>
    <xf numFmtId="169" fontId="12" fillId="0" borderId="0" xfId="17" applyNumberFormat="1" applyFont="1" applyFill="1" applyBorder="1" applyAlignment="1" applyProtection="1">
      <alignment horizontal="right" vertical="top"/>
    </xf>
    <xf numFmtId="0" fontId="12" fillId="0" borderId="0" xfId="17" applyNumberFormat="1" applyFont="1" applyFill="1" applyBorder="1" applyAlignment="1" applyProtection="1">
      <alignment vertical="top" wrapText="1"/>
    </xf>
    <xf numFmtId="166" fontId="12" fillId="4" borderId="0" xfId="9" applyNumberFormat="1" applyFont="1" applyFill="1" applyAlignment="1">
      <alignment horizontal="left" vertical="top"/>
    </xf>
    <xf numFmtId="170" fontId="12" fillId="4" borderId="0" xfId="9" applyNumberFormat="1" applyFont="1" applyFill="1" applyAlignment="1">
      <alignment horizontal="left" vertical="top"/>
    </xf>
    <xf numFmtId="0" fontId="36" fillId="5" borderId="4" xfId="0" applyFont="1" applyFill="1" applyBorder="1"/>
    <xf numFmtId="0" fontId="36" fillId="5" borderId="6" xfId="0" applyFont="1" applyFill="1" applyBorder="1"/>
    <xf numFmtId="0" fontId="26" fillId="3" borderId="4" xfId="0" applyFont="1" applyFill="1" applyBorder="1"/>
    <xf numFmtId="0" fontId="26" fillId="3" borderId="6" xfId="0" applyFont="1" applyFill="1" applyBorder="1"/>
    <xf numFmtId="10" fontId="12" fillId="4" borderId="0" xfId="9" applyNumberFormat="1" applyFont="1" applyFill="1" applyAlignment="1">
      <alignment horizontal="left" vertical="top"/>
    </xf>
    <xf numFmtId="0" fontId="8" fillId="3" borderId="6" xfId="9" applyFont="1" applyFill="1" applyBorder="1" applyAlignment="1">
      <alignment vertical="center" wrapText="1"/>
    </xf>
    <xf numFmtId="0" fontId="8" fillId="3" borderId="5" xfId="9" applyFont="1" applyFill="1" applyBorder="1" applyAlignment="1">
      <alignment vertical="center"/>
    </xf>
    <xf numFmtId="165" fontId="13" fillId="0" borderId="4" xfId="18" applyNumberFormat="1" applyFont="1" applyBorder="1" applyAlignment="1">
      <alignment horizontal="right" vertical="top"/>
    </xf>
    <xf numFmtId="2" fontId="13" fillId="4" borderId="4" xfId="9" applyNumberFormat="1" applyFont="1" applyFill="1" applyBorder="1" applyAlignment="1">
      <alignment horizontal="left" vertical="top"/>
    </xf>
    <xf numFmtId="2" fontId="13" fillId="4" borderId="6" xfId="9" applyNumberFormat="1" applyFont="1" applyFill="1" applyBorder="1" applyAlignment="1">
      <alignment horizontal="left" vertical="top"/>
    </xf>
    <xf numFmtId="166" fontId="13" fillId="0" borderId="4" xfId="9" applyNumberFormat="1" applyFont="1" applyBorder="1" applyAlignment="1">
      <alignment horizontal="left" vertical="top"/>
    </xf>
    <xf numFmtId="10" fontId="13" fillId="0" borderId="4" xfId="9" applyNumberFormat="1" applyFont="1" applyBorder="1" applyAlignment="1">
      <alignment horizontal="left" vertical="top"/>
    </xf>
    <xf numFmtId="0" fontId="26" fillId="4" borderId="4" xfId="0" applyFont="1" applyFill="1" applyBorder="1"/>
    <xf numFmtId="0" fontId="26" fillId="4" borderId="6" xfId="0" applyFont="1" applyFill="1" applyBorder="1"/>
    <xf numFmtId="0" fontId="12" fillId="0" borderId="20" xfId="9" applyFont="1" applyBorder="1" applyAlignment="1">
      <alignment horizontal="left" vertical="top" wrapText="1"/>
    </xf>
    <xf numFmtId="166" fontId="12" fillId="0" borderId="0" xfId="18" applyNumberFormat="1" applyFont="1" applyAlignment="1">
      <alignment horizontal="right" vertical="top"/>
    </xf>
    <xf numFmtId="0" fontId="12" fillId="4" borderId="17" xfId="9" applyFont="1" applyFill="1" applyBorder="1" applyAlignment="1">
      <alignment horizontal="left" vertical="top" wrapText="1"/>
    </xf>
    <xf numFmtId="0" fontId="12" fillId="0" borderId="4" xfId="18" quotePrefix="1" applyFont="1" applyBorder="1" applyAlignment="1">
      <alignment horizontal="left" vertical="top" wrapText="1"/>
    </xf>
    <xf numFmtId="0" fontId="12" fillId="4" borderId="1" xfId="9" applyFont="1" applyFill="1" applyBorder="1" applyAlignment="1">
      <alignment horizontal="left" vertical="top" wrapText="1"/>
    </xf>
    <xf numFmtId="166" fontId="12" fillId="0" borderId="0" xfId="9" applyNumberFormat="1" applyFont="1" applyAlignment="1">
      <alignment horizontal="left" vertical="top"/>
    </xf>
    <xf numFmtId="170" fontId="12" fillId="0" borderId="0" xfId="9" applyNumberFormat="1" applyFont="1" applyAlignment="1">
      <alignment horizontal="left" vertical="top"/>
    </xf>
    <xf numFmtId="0" fontId="24" fillId="0" borderId="0" xfId="0" applyFont="1" applyAlignment="1">
      <alignment wrapText="1"/>
    </xf>
    <xf numFmtId="0" fontId="24" fillId="0" borderId="0" xfId="0" applyFont="1"/>
    <xf numFmtId="0" fontId="33" fillId="0" borderId="0" xfId="16" applyFont="1" applyAlignment="1">
      <alignment horizontal="left" wrapText="1"/>
    </xf>
    <xf numFmtId="0" fontId="33" fillId="0" borderId="0" xfId="16" applyFont="1" applyAlignment="1">
      <alignment horizontal="left" vertical="top" wrapText="1"/>
    </xf>
    <xf numFmtId="0" fontId="12" fillId="0" borderId="0" xfId="16" applyFont="1" applyAlignment="1">
      <alignment horizontal="left" wrapText="1"/>
    </xf>
    <xf numFmtId="164" fontId="8" fillId="3" borderId="4" xfId="4" applyNumberFormat="1" applyFont="1" applyFill="1" applyBorder="1" applyAlignment="1">
      <alignment vertical="top" wrapText="1"/>
    </xf>
    <xf numFmtId="170" fontId="8" fillId="3" borderId="4" xfId="4" applyNumberFormat="1" applyFont="1" applyFill="1" applyBorder="1" applyAlignment="1">
      <alignment vertical="top"/>
    </xf>
    <xf numFmtId="165" fontId="8" fillId="3" borderId="5" xfId="11" applyNumberFormat="1" applyFont="1" applyFill="1" applyBorder="1" applyAlignment="1">
      <alignment horizontal="center" vertical="center" wrapText="1"/>
    </xf>
    <xf numFmtId="170" fontId="12" fillId="0" borderId="13" xfId="11" applyNumberFormat="1" applyFont="1" applyBorder="1" applyAlignment="1">
      <alignment horizontal="right" vertical="top"/>
    </xf>
    <xf numFmtId="170" fontId="8" fillId="3" borderId="4" xfId="1" applyNumberFormat="1" applyFont="1" applyFill="1" applyBorder="1" applyAlignment="1" applyProtection="1">
      <alignment horizontal="right" vertical="top" wrapText="1"/>
    </xf>
    <xf numFmtId="165" fontId="8" fillId="3" borderId="6" xfId="11" applyNumberFormat="1" applyFont="1" applyFill="1" applyBorder="1" applyAlignment="1">
      <alignment horizontal="right" vertical="top" wrapText="1"/>
    </xf>
    <xf numFmtId="0" fontId="8" fillId="3" borderId="25" xfId="4" applyFont="1" applyFill="1" applyBorder="1" applyAlignment="1">
      <alignment vertical="center" wrapText="1"/>
    </xf>
    <xf numFmtId="0" fontId="8" fillId="3" borderId="26" xfId="4" applyFont="1" applyFill="1" applyBorder="1" applyAlignment="1">
      <alignment vertical="center" wrapText="1"/>
    </xf>
    <xf numFmtId="0" fontId="12" fillId="0" borderId="27" xfId="4" applyFont="1" applyBorder="1" applyAlignment="1">
      <alignment horizontal="left" vertical="top" wrapText="1"/>
    </xf>
    <xf numFmtId="0" fontId="8" fillId="3" borderId="13" xfId="16" applyFont="1" applyFill="1" applyBorder="1" applyAlignment="1">
      <alignment horizontal="left" vertical="top" wrapText="1"/>
    </xf>
    <xf numFmtId="165" fontId="8" fillId="3" borderId="13" xfId="17" applyNumberFormat="1" applyFont="1" applyFill="1" applyBorder="1" applyAlignment="1" applyProtection="1">
      <alignment horizontal="right" vertical="top"/>
    </xf>
    <xf numFmtId="2" fontId="12" fillId="0" borderId="6" xfId="4" applyNumberFormat="1" applyFont="1" applyBorder="1" applyAlignment="1">
      <alignment horizontal="left" vertical="top" wrapText="1"/>
    </xf>
    <xf numFmtId="174" fontId="12" fillId="0" borderId="5" xfId="9" applyNumberFormat="1" applyFont="1" applyBorder="1" applyAlignment="1">
      <alignment horizontal="right" vertical="top"/>
    </xf>
    <xf numFmtId="174" fontId="13" fillId="5" borderId="5" xfId="9" applyNumberFormat="1" applyFont="1" applyFill="1" applyBorder="1" applyAlignment="1">
      <alignment horizontal="right" vertical="top"/>
    </xf>
    <xf numFmtId="174" fontId="12" fillId="0" borderId="2" xfId="19" applyNumberFormat="1" applyFont="1" applyFill="1" applyBorder="1" applyAlignment="1" applyProtection="1">
      <alignment horizontal="right" vertical="top"/>
    </xf>
    <xf numFmtId="170" fontId="12" fillId="0" borderId="5" xfId="9" applyNumberFormat="1" applyFont="1" applyBorder="1" applyAlignment="1">
      <alignment horizontal="right" vertical="top"/>
    </xf>
    <xf numFmtId="2" fontId="12" fillId="0" borderId="5" xfId="17" applyNumberFormat="1" applyFont="1" applyFill="1" applyBorder="1" applyAlignment="1" applyProtection="1">
      <alignment vertical="top" wrapText="1"/>
    </xf>
    <xf numFmtId="165" fontId="13" fillId="5" borderId="6" xfId="11" quotePrefix="1" applyNumberFormat="1" applyFont="1" applyFill="1" applyBorder="1" applyAlignment="1">
      <alignment horizontal="left" vertical="top"/>
    </xf>
    <xf numFmtId="2" fontId="8" fillId="3" borderId="6" xfId="16" applyNumberFormat="1" applyFont="1" applyFill="1" applyBorder="1" applyAlignment="1">
      <alignment horizontal="left" vertical="top" wrapText="1"/>
    </xf>
    <xf numFmtId="174" fontId="8" fillId="3" borderId="5" xfId="19" applyNumberFormat="1" applyFont="1" applyFill="1" applyBorder="1" applyAlignment="1" applyProtection="1">
      <alignment horizontal="right" vertical="top"/>
    </xf>
    <xf numFmtId="170" fontId="8" fillId="3" borderId="5" xfId="17" applyNumberFormat="1" applyFont="1" applyFill="1" applyBorder="1" applyAlignment="1" applyProtection="1">
      <alignment horizontal="right" vertical="top"/>
    </xf>
    <xf numFmtId="174" fontId="8" fillId="3" borderId="5" xfId="16" applyNumberFormat="1" applyFont="1" applyFill="1" applyBorder="1" applyAlignment="1">
      <alignment horizontal="right" vertical="top"/>
    </xf>
    <xf numFmtId="170" fontId="25" fillId="3" borderId="5" xfId="17" applyNumberFormat="1" applyFont="1" applyFill="1" applyBorder="1" applyAlignment="1" applyProtection="1">
      <alignment horizontal="right" vertical="top"/>
    </xf>
    <xf numFmtId="2" fontId="9" fillId="4" borderId="13" xfId="0" applyNumberFormat="1" applyFont="1" applyFill="1" applyBorder="1" applyAlignment="1">
      <alignment vertical="top" wrapText="1"/>
    </xf>
    <xf numFmtId="174" fontId="8" fillId="3" borderId="4" xfId="19" applyNumberFormat="1" applyFont="1" applyFill="1" applyBorder="1" applyAlignment="1" applyProtection="1">
      <alignment horizontal="right" vertical="top"/>
    </xf>
    <xf numFmtId="2" fontId="9" fillId="4" borderId="4" xfId="0" applyNumberFormat="1" applyFont="1" applyFill="1" applyBorder="1" applyAlignment="1">
      <alignment vertical="top" wrapText="1"/>
    </xf>
    <xf numFmtId="2" fontId="9" fillId="4" borderId="9" xfId="0" applyNumberFormat="1" applyFont="1" applyFill="1" applyBorder="1" applyAlignment="1">
      <alignment vertical="top" wrapText="1"/>
    </xf>
    <xf numFmtId="174" fontId="9" fillId="4" borderId="0" xfId="14" applyNumberFormat="1" applyFont="1" applyFill="1"/>
    <xf numFmtId="170" fontId="9" fillId="4" borderId="0" xfId="14" applyNumberFormat="1" applyFont="1" applyFill="1"/>
    <xf numFmtId="2" fontId="8" fillId="3" borderId="4" xfId="16" applyNumberFormat="1" applyFont="1" applyFill="1" applyBorder="1" applyAlignment="1">
      <alignment horizontal="left" vertical="top"/>
    </xf>
    <xf numFmtId="174" fontId="12" fillId="0" borderId="13" xfId="11" applyNumberFormat="1" applyFont="1" applyBorder="1" applyAlignment="1">
      <alignment horizontal="right" vertical="top" wrapText="1"/>
    </xf>
    <xf numFmtId="174" fontId="13" fillId="5" borderId="13" xfId="11" applyNumberFormat="1" applyFont="1" applyFill="1" applyBorder="1" applyAlignment="1">
      <alignment horizontal="right" vertical="top" wrapText="1"/>
    </xf>
    <xf numFmtId="170" fontId="25" fillId="3" borderId="4" xfId="17" applyNumberFormat="1" applyFont="1" applyFill="1" applyBorder="1" applyAlignment="1" applyProtection="1">
      <alignment horizontal="right" vertical="top"/>
    </xf>
    <xf numFmtId="174" fontId="8" fillId="3" borderId="5" xfId="5" applyNumberFormat="1" applyFont="1" applyFill="1" applyBorder="1" applyAlignment="1" applyProtection="1">
      <alignment horizontal="right" vertical="center"/>
    </xf>
    <xf numFmtId="2" fontId="8" fillId="0" borderId="0" xfId="16" applyNumberFormat="1" applyFont="1" applyAlignment="1">
      <alignment horizontal="left" vertical="top" wrapText="1"/>
    </xf>
    <xf numFmtId="174" fontId="8" fillId="0" borderId="0" xfId="19" applyNumberFormat="1" applyFont="1" applyFill="1" applyBorder="1" applyAlignment="1" applyProtection="1">
      <alignment horizontal="right" vertical="top"/>
    </xf>
    <xf numFmtId="170" fontId="25" fillId="0" borderId="0" xfId="17" applyNumberFormat="1" applyFont="1" applyFill="1" applyBorder="1" applyAlignment="1" applyProtection="1">
      <alignment horizontal="right" vertical="top"/>
    </xf>
    <xf numFmtId="2" fontId="8" fillId="3" borderId="0" xfId="16" applyNumberFormat="1" applyFont="1" applyFill="1" applyAlignment="1">
      <alignment horizontal="left" vertical="top" wrapText="1"/>
    </xf>
    <xf numFmtId="174" fontId="8" fillId="3" borderId="0" xfId="17" applyNumberFormat="1" applyFont="1" applyFill="1" applyBorder="1" applyAlignment="1" applyProtection="1">
      <alignment horizontal="right" vertical="top"/>
    </xf>
    <xf numFmtId="170" fontId="25" fillId="3" borderId="0" xfId="17" applyNumberFormat="1" applyFont="1" applyFill="1" applyBorder="1" applyAlignment="1" applyProtection="1">
      <alignment horizontal="right" vertical="top"/>
    </xf>
    <xf numFmtId="2" fontId="9" fillId="4" borderId="0" xfId="0" applyNumberFormat="1" applyFont="1" applyFill="1" applyAlignment="1">
      <alignment wrapText="1"/>
    </xf>
    <xf numFmtId="0" fontId="40" fillId="0" borderId="0" xfId="0" applyFont="1"/>
    <xf numFmtId="0" fontId="41" fillId="0" borderId="0" xfId="0" applyFont="1"/>
    <xf numFmtId="0" fontId="42" fillId="0" borderId="0" xfId="0" applyFont="1"/>
    <xf numFmtId="0" fontId="39" fillId="9" borderId="28" xfId="0" applyFont="1" applyFill="1" applyBorder="1" applyAlignment="1">
      <alignment horizontal="left"/>
    </xf>
    <xf numFmtId="0" fontId="0" fillId="10" borderId="0" xfId="0" applyFill="1"/>
    <xf numFmtId="0" fontId="44" fillId="0" borderId="0" xfId="22" applyFont="1"/>
    <xf numFmtId="0" fontId="45" fillId="0" borderId="0" xfId="0" applyFont="1"/>
    <xf numFmtId="173" fontId="29" fillId="8" borderId="14" xfId="0" applyNumberFormat="1" applyFont="1" applyFill="1" applyBorder="1" applyAlignment="1">
      <alignment horizontal="center" vertical="center"/>
    </xf>
    <xf numFmtId="173" fontId="29" fillId="8" borderId="0" xfId="0" applyNumberFormat="1" applyFont="1" applyFill="1" applyAlignment="1">
      <alignment horizontal="center" vertical="center"/>
    </xf>
    <xf numFmtId="173" fontId="28" fillId="0" borderId="4" xfId="0" quotePrefix="1" applyNumberFormat="1" applyFont="1" applyBorder="1" applyAlignment="1">
      <alignment horizontal="center" vertical="center"/>
    </xf>
  </cellXfs>
  <cellStyles count="23">
    <cellStyle name="% 2" xfId="18" xr:uid="{ECA38190-5830-46E0-A77F-696F12925832}"/>
    <cellStyle name="Comma 2 2 15" xfId="17" xr:uid="{95D9DE2E-E21A-4881-83CA-B2558F36F0AD}"/>
    <cellStyle name="Comma 2 2 2" xfId="15" xr:uid="{E6F2662A-39AA-4D51-BD30-EDAE618D57EA}"/>
    <cellStyle name="Good 2" xfId="19" xr:uid="{DE9440A9-EB47-472B-8950-94FF8968294D}"/>
    <cellStyle name="Good 2 3" xfId="10" xr:uid="{6B7DBF63-B92D-4322-98AB-3C7734FAB4D9}"/>
    <cellStyle name="Good 4" xfId="5" xr:uid="{5E9CB094-8515-435F-A075-3DE6FA744F4B}"/>
    <cellStyle name="Hyperlink" xfId="22" builtinId="8"/>
    <cellStyle name="Normal" xfId="0" builtinId="0"/>
    <cellStyle name="Normal 10" xfId="12" xr:uid="{684718D2-74F0-47D7-A007-19E37D8E6012}"/>
    <cellStyle name="Normal 10 12" xfId="11" xr:uid="{3E5E879B-E0D0-483D-B5BE-AC3F5649E580}"/>
    <cellStyle name="Normal 11 2" xfId="8" xr:uid="{22762833-2310-4154-AB2F-EE5A1E209710}"/>
    <cellStyle name="Normal 11 2 2" xfId="4" xr:uid="{29A64801-CFC3-4200-AD6C-91F66A07DE0B}"/>
    <cellStyle name="Normal 12 2" xfId="6" xr:uid="{5D4B010E-277E-4171-ACBC-252B6D9FF697}"/>
    <cellStyle name="Normal 15" xfId="3" xr:uid="{335D990F-5C7E-4CBC-B14A-A2E39A3E3C39}"/>
    <cellStyle name="Normal 2 2" xfId="13" xr:uid="{516780E1-F0FC-4B0E-B540-1A732F881C7E}"/>
    <cellStyle name="Normal 2 9" xfId="9" xr:uid="{1478761C-C8B1-44E0-992B-D77E2561F564}"/>
    <cellStyle name="Normal 3" xfId="14" xr:uid="{9C8E5D1E-8175-48E4-A58B-905A1DB6B9C9}"/>
    <cellStyle name="Normal 3 2 2 2" xfId="21" xr:uid="{A920ED33-9C21-4E2B-85F3-7BB5F43E2CA6}"/>
    <cellStyle name="Normal 6" xfId="20" xr:uid="{8DC2803D-8FAB-4002-A6EF-5BD027C59AD5}"/>
    <cellStyle name="Normal 7 2 2 2" xfId="16" xr:uid="{3472A712-87BA-4E3E-AEB5-02805AC9859F}"/>
    <cellStyle name="Normal 7 3" xfId="7" xr:uid="{B258B768-D8C6-4B43-828A-BF82876CFE2C}"/>
    <cellStyle name="Normal 8 2" xfId="2" xr:uid="{6E4D1CF6-E84B-4817-8122-1EED3746C6EC}"/>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5C2A-B8B1-4162-BEB6-F720024317FB}">
  <dimension ref="A1:AB24"/>
  <sheetViews>
    <sheetView showGridLines="0" workbookViewId="0">
      <selection activeCell="B18" sqref="B18"/>
    </sheetView>
  </sheetViews>
  <sheetFormatPr defaultRowHeight="14.45"/>
  <cols>
    <col min="1" max="1" width="17.28515625" customWidth="1"/>
  </cols>
  <sheetData>
    <row r="1" spans="1:28" s="1024" customFormat="1" ht="26.45">
      <c r="A1" s="1023" t="s">
        <v>0</v>
      </c>
      <c r="B1" s="1023"/>
      <c r="C1" s="1023"/>
      <c r="D1" s="1023"/>
      <c r="E1" s="1023"/>
      <c r="F1" s="1023"/>
      <c r="G1" s="1023"/>
      <c r="H1" s="1023"/>
      <c r="I1" s="1023"/>
      <c r="J1" s="1023"/>
      <c r="K1" s="1023"/>
      <c r="L1" s="1023"/>
      <c r="M1" s="1023"/>
      <c r="N1" s="1023"/>
      <c r="O1" s="1023"/>
      <c r="P1" s="1023"/>
      <c r="Q1" s="1023"/>
      <c r="R1" s="1023"/>
      <c r="S1" s="1023"/>
      <c r="T1" s="1023"/>
      <c r="U1" s="1023"/>
      <c r="V1" s="1023"/>
      <c r="W1" s="1023"/>
      <c r="X1" s="1023"/>
      <c r="Y1" s="1023"/>
      <c r="Z1" s="1023"/>
      <c r="AA1" s="1023"/>
      <c r="AB1" s="1023"/>
    </row>
    <row r="2" spans="1:28" s="1024" customFormat="1" ht="26.45">
      <c r="A2" s="1023" t="s">
        <v>1</v>
      </c>
      <c r="B2" s="1023"/>
      <c r="C2" s="1023"/>
      <c r="D2" s="1023"/>
      <c r="E2" s="1023"/>
      <c r="F2" s="1023"/>
      <c r="G2" s="1023"/>
      <c r="H2" s="1023"/>
      <c r="I2" s="1023"/>
      <c r="J2" s="1023"/>
      <c r="K2" s="1023"/>
      <c r="L2" s="1023"/>
      <c r="M2" s="1023"/>
      <c r="N2" s="1023"/>
      <c r="O2" s="1023"/>
      <c r="P2" s="1023"/>
      <c r="Q2" s="1023"/>
      <c r="R2" s="1023"/>
      <c r="S2" s="1023"/>
      <c r="T2" s="1023"/>
      <c r="U2" s="1023"/>
      <c r="V2" s="1023"/>
      <c r="W2" s="1023"/>
      <c r="X2" s="1023"/>
      <c r="Y2" s="1023"/>
      <c r="Z2" s="1023"/>
      <c r="AA2" s="1023"/>
      <c r="AB2" s="1023"/>
    </row>
    <row r="3" spans="1:28">
      <c r="A3" s="1020"/>
      <c r="B3" s="1020"/>
    </row>
    <row r="4" spans="1:28" ht="21">
      <c r="A4" s="1020"/>
      <c r="B4" s="1026"/>
      <c r="C4" s="2"/>
      <c r="D4" s="2"/>
      <c r="E4" s="2"/>
      <c r="F4" s="2"/>
      <c r="G4" s="2"/>
    </row>
    <row r="5" spans="1:28" ht="21">
      <c r="A5" s="1020"/>
      <c r="B5" s="1026"/>
      <c r="C5" s="2"/>
      <c r="D5" s="2"/>
      <c r="E5" s="2"/>
      <c r="F5" s="2"/>
      <c r="G5" s="2"/>
    </row>
    <row r="6" spans="1:28" ht="21">
      <c r="A6" s="1020"/>
      <c r="B6" s="1025" t="s">
        <v>2</v>
      </c>
      <c r="C6" s="2"/>
      <c r="D6" s="2"/>
      <c r="E6" s="2"/>
      <c r="F6" s="2"/>
      <c r="G6" s="2"/>
    </row>
    <row r="7" spans="1:28" ht="22.15">
      <c r="A7" s="1020"/>
      <c r="B7" s="1022"/>
      <c r="C7" s="2"/>
      <c r="D7" s="2"/>
      <c r="E7" s="2"/>
      <c r="F7" s="2"/>
      <c r="G7" s="2"/>
    </row>
    <row r="8" spans="1:28" ht="21">
      <c r="A8" s="1020"/>
      <c r="B8" s="1025" t="s">
        <v>3</v>
      </c>
      <c r="C8" s="2"/>
      <c r="D8" s="2"/>
      <c r="E8" s="2"/>
      <c r="F8" s="2"/>
      <c r="G8" s="2"/>
    </row>
    <row r="9" spans="1:28" ht="22.15">
      <c r="A9" s="1020"/>
      <c r="B9" s="1021"/>
      <c r="C9" s="2"/>
      <c r="D9" s="2"/>
      <c r="E9" s="2"/>
      <c r="F9" s="2"/>
      <c r="G9" s="2"/>
    </row>
    <row r="10" spans="1:28" ht="21">
      <c r="A10" s="1020"/>
      <c r="B10" s="1025" t="s">
        <v>4</v>
      </c>
      <c r="C10" s="2"/>
      <c r="D10" s="2"/>
      <c r="E10" s="2"/>
      <c r="F10" s="2"/>
      <c r="G10" s="2"/>
    </row>
    <row r="11" spans="1:28" ht="22.15">
      <c r="A11" s="1020"/>
      <c r="B11" s="1021"/>
      <c r="C11" s="2"/>
      <c r="D11" s="2"/>
      <c r="E11" s="2"/>
      <c r="F11" s="2"/>
      <c r="G11" s="2"/>
    </row>
    <row r="12" spans="1:28" ht="21">
      <c r="A12" s="1020"/>
      <c r="B12" s="1025" t="s">
        <v>5</v>
      </c>
      <c r="C12" s="2"/>
      <c r="D12" s="2"/>
      <c r="E12" s="2"/>
      <c r="F12" s="2"/>
      <c r="G12" s="2"/>
    </row>
    <row r="13" spans="1:28" ht="22.15">
      <c r="A13" s="1020"/>
      <c r="B13" s="1021"/>
      <c r="C13" s="2"/>
      <c r="D13" s="2"/>
      <c r="E13" s="2"/>
      <c r="F13" s="2"/>
      <c r="G13" s="2"/>
    </row>
    <row r="14" spans="1:28" ht="21">
      <c r="A14" s="1020"/>
      <c r="B14" s="1025" t="s">
        <v>6</v>
      </c>
      <c r="C14" s="2"/>
      <c r="D14" s="2"/>
      <c r="E14" s="2"/>
      <c r="F14" s="2"/>
      <c r="G14" s="2"/>
    </row>
    <row r="15" spans="1:28" ht="22.15">
      <c r="A15" s="1020"/>
      <c r="B15" s="1021"/>
      <c r="C15" s="2"/>
      <c r="D15" s="2"/>
      <c r="E15" s="2"/>
      <c r="F15" s="2"/>
      <c r="G15" s="2"/>
    </row>
    <row r="16" spans="1:28" ht="21">
      <c r="A16" s="1020"/>
      <c r="B16" s="1025" t="s">
        <v>7</v>
      </c>
      <c r="C16" s="2"/>
      <c r="D16" s="2"/>
      <c r="E16" s="2"/>
      <c r="F16" s="2"/>
      <c r="G16" s="2"/>
    </row>
    <row r="17" spans="1:7" ht="22.15">
      <c r="A17" s="1020"/>
      <c r="B17" s="1021"/>
      <c r="C17" s="2"/>
      <c r="D17" s="2"/>
      <c r="E17" s="2"/>
      <c r="F17" s="2"/>
      <c r="G17" s="2"/>
    </row>
    <row r="18" spans="1:7" ht="21">
      <c r="A18" s="1020"/>
      <c r="B18" s="1025" t="s">
        <v>8</v>
      </c>
      <c r="C18" s="2"/>
      <c r="D18" s="2"/>
      <c r="E18" s="2"/>
      <c r="F18" s="2"/>
      <c r="G18" s="2"/>
    </row>
    <row r="19" spans="1:7" ht="22.15">
      <c r="A19" s="1020"/>
      <c r="B19" s="1021"/>
      <c r="C19" s="2"/>
      <c r="D19" s="2"/>
      <c r="E19" s="2"/>
      <c r="F19" s="2"/>
      <c r="G19" s="2"/>
    </row>
    <row r="20" spans="1:7" ht="21">
      <c r="A20" s="1020"/>
      <c r="B20" s="1025" t="s">
        <v>9</v>
      </c>
      <c r="C20" s="2"/>
      <c r="D20" s="2"/>
      <c r="E20" s="2"/>
      <c r="F20" s="2"/>
      <c r="G20" s="2"/>
    </row>
    <row r="21" spans="1:7" ht="22.15">
      <c r="A21" s="1020"/>
      <c r="B21" s="1021"/>
      <c r="C21" s="2"/>
      <c r="D21" s="2"/>
      <c r="E21" s="2"/>
      <c r="F21" s="2"/>
      <c r="G21" s="2"/>
    </row>
    <row r="22" spans="1:7" ht="21">
      <c r="A22" s="1020"/>
      <c r="B22" s="1025" t="s">
        <v>10</v>
      </c>
      <c r="C22" s="2"/>
      <c r="D22" s="2"/>
      <c r="E22" s="2"/>
      <c r="F22" s="2"/>
      <c r="G22" s="2"/>
    </row>
    <row r="23" spans="1:7" ht="22.15">
      <c r="A23" s="1020"/>
      <c r="B23" s="1022"/>
      <c r="C23" s="2"/>
      <c r="D23" s="2"/>
      <c r="E23" s="2"/>
      <c r="F23" s="2"/>
      <c r="G23" s="2"/>
    </row>
    <row r="24" spans="1:7" ht="22.15">
      <c r="A24" s="1020"/>
      <c r="B24" s="1022"/>
    </row>
  </sheetData>
  <hyperlinks>
    <hyperlink ref="B6" location="'NHSR, H &amp; SC'!A1" display="NHS Recovery, Health and Social Care" xr:uid="{170C60D1-2781-4E04-B885-77E194970BD4}"/>
    <hyperlink ref="B8" location="'DFM &amp; F'!A1" display="Deputy First Minister and Finance" xr:uid="{E22544E1-28C8-4961-93D2-E9779B3878B2}"/>
    <hyperlink ref="B10" location="SJ!A1" display="Social Justice" xr:uid="{8FC8BD2D-4676-48A3-A7EC-381AF676B007}"/>
    <hyperlink ref="B12" location="TRANSPORT!A1" display="Transport" xr:uid="{EC6C53D0-88D1-46D3-A0FD-944045466B72}"/>
    <hyperlink ref="B14" location="'E &amp; S'!A1" display="Education &amp; Skills" xr:uid="{487FAE92-149F-4B41-991A-63B11FF4BAB5}"/>
    <hyperlink ref="B16" location="JUSTICE!A1" display="Justice and Home Affairs" xr:uid="{0A3BD82A-F7E2-4812-A590-8A16352DA3FA}"/>
    <hyperlink ref="B18" location="WENZE!A1" display="Wellbeing Economy, Net Zero and Energy" xr:uid="{D26D60A8-497C-4A0B-8224-584C825FDE3E}"/>
    <hyperlink ref="B20" location="'RA, LR  &amp; I'!A1" display="Rural Affairs, Land Reform and Islands" xr:uid="{3F07FB71-804B-46AA-BD96-78A1B3869E46}"/>
    <hyperlink ref="B22" location="'C,EA &amp; C'!A1" display="Constituion, External Affairs and Culture" xr:uid="{6497D68D-727E-4202-88B9-453E2803F8FB}"/>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0811-2455-4C11-8C29-1E6816FC3418}">
  <sheetPr>
    <tabColor theme="8" tint="-0.499984740745262"/>
  </sheetPr>
  <dimension ref="A1:P180"/>
  <sheetViews>
    <sheetView showGridLines="0" zoomScale="55" zoomScaleNormal="55" workbookViewId="0">
      <pane xSplit="1" ySplit="5" topLeftCell="J101" activePane="bottomRight" state="frozen"/>
      <selection pane="bottomRight" activeCell="O102" sqref="O102"/>
      <selection pane="bottomLeft" activeCell="L20" sqref="L20"/>
      <selection pane="topRight" activeCell="L20" sqref="L20"/>
    </sheetView>
  </sheetViews>
  <sheetFormatPr defaultColWidth="9.28515625" defaultRowHeight="14.45" outlineLevelCol="1"/>
  <cols>
    <col min="1" max="1" width="40.7109375" style="3" customWidth="1"/>
    <col min="2" max="4" width="17.7109375" customWidth="1" outlineLevel="1"/>
    <col min="5" max="5" width="20.42578125" customWidth="1" outlineLevel="1"/>
    <col min="6" max="10" width="17.7109375" customWidth="1" outlineLevel="1"/>
    <col min="11" max="11" width="21.28515625" customWidth="1" outlineLevel="1"/>
    <col min="12" max="14" width="17.7109375" customWidth="1" outlineLevel="1"/>
    <col min="15" max="16" width="75.7109375" customWidth="1" outlineLevel="1"/>
    <col min="17" max="17" width="2.5703125" customWidth="1"/>
  </cols>
  <sheetData>
    <row r="1" spans="1:16" s="2" customFormat="1" ht="21">
      <c r="A1" s="1"/>
    </row>
    <row r="2" spans="1:16" ht="33" customHeight="1"/>
    <row r="3" spans="1:16" s="9" customFormat="1" ht="33" customHeight="1">
      <c r="A3" s="4"/>
      <c r="B3" s="5"/>
      <c r="C3" s="5"/>
      <c r="D3" s="5"/>
      <c r="E3" s="5"/>
      <c r="F3" s="5"/>
      <c r="G3" s="5"/>
      <c r="H3" s="5"/>
      <c r="I3" s="5"/>
      <c r="J3" s="5"/>
      <c r="K3" s="5"/>
      <c r="L3" s="5"/>
      <c r="M3" s="5"/>
      <c r="N3" s="6"/>
      <c r="O3" s="7"/>
      <c r="P3" s="8"/>
    </row>
    <row r="4" spans="1:16" s="9" customFormat="1" ht="100.15" customHeight="1">
      <c r="A4" s="10" t="s">
        <v>2</v>
      </c>
      <c r="B4" s="11" t="s">
        <v>11</v>
      </c>
      <c r="C4" s="11" t="s">
        <v>12</v>
      </c>
      <c r="D4" s="11" t="s">
        <v>13</v>
      </c>
      <c r="E4" s="11" t="s">
        <v>14</v>
      </c>
      <c r="F4" s="11" t="s">
        <v>15</v>
      </c>
      <c r="G4" s="11" t="s">
        <v>16</v>
      </c>
      <c r="H4" s="11" t="s">
        <v>17</v>
      </c>
      <c r="I4" s="11" t="s">
        <v>18</v>
      </c>
      <c r="J4" s="11" t="s">
        <v>19</v>
      </c>
      <c r="K4" s="11" t="s">
        <v>20</v>
      </c>
      <c r="L4" s="11" t="s">
        <v>21</v>
      </c>
      <c r="M4" s="11" t="s">
        <v>22</v>
      </c>
      <c r="N4" s="12" t="s">
        <v>23</v>
      </c>
      <c r="O4" s="13" t="s">
        <v>24</v>
      </c>
      <c r="P4" s="14" t="s">
        <v>25</v>
      </c>
    </row>
    <row r="5" spans="1:16" s="9" customFormat="1" ht="22.15">
      <c r="A5" s="4"/>
      <c r="B5" s="5"/>
      <c r="C5" s="5"/>
      <c r="D5" s="5"/>
      <c r="E5" s="5"/>
      <c r="F5" s="5"/>
      <c r="G5" s="5"/>
      <c r="H5" s="5"/>
      <c r="I5" s="5"/>
      <c r="J5" s="5"/>
      <c r="K5" s="5"/>
      <c r="L5" s="5"/>
      <c r="M5" s="5"/>
      <c r="N5" s="6"/>
      <c r="O5" s="7"/>
      <c r="P5" s="8"/>
    </row>
    <row r="6" spans="1:16" s="9" customFormat="1" ht="16.149999999999999">
      <c r="A6" s="15"/>
      <c r="B6" s="16"/>
      <c r="C6" s="16"/>
      <c r="D6" s="16"/>
      <c r="E6" s="16"/>
      <c r="F6" s="16"/>
      <c r="G6" s="17"/>
      <c r="H6" s="17"/>
      <c r="I6" s="17"/>
      <c r="J6" s="17"/>
      <c r="K6" s="17"/>
      <c r="L6" s="17"/>
      <c r="M6" s="17"/>
      <c r="N6" s="18"/>
      <c r="O6" s="19"/>
      <c r="P6" s="20"/>
    </row>
    <row r="7" spans="1:16" s="26" customFormat="1" ht="16.149999999999999">
      <c r="A7" s="21" t="s">
        <v>26</v>
      </c>
      <c r="B7" s="22"/>
      <c r="C7" s="22"/>
      <c r="D7" s="22"/>
      <c r="E7" s="22"/>
      <c r="F7" s="22"/>
      <c r="G7" s="22"/>
      <c r="H7" s="22"/>
      <c r="I7" s="22"/>
      <c r="J7" s="22"/>
      <c r="K7" s="22"/>
      <c r="L7" s="22"/>
      <c r="M7" s="22"/>
      <c r="N7" s="23"/>
      <c r="O7" s="24"/>
      <c r="P7" s="24"/>
    </row>
    <row r="8" spans="1:16" s="9" customFormat="1" ht="97.15">
      <c r="A8" s="27" t="s">
        <v>27</v>
      </c>
      <c r="B8" s="28">
        <v>11896.036</v>
      </c>
      <c r="C8" s="28">
        <v>236</v>
      </c>
      <c r="D8" s="28">
        <v>0</v>
      </c>
      <c r="E8" s="28">
        <v>0</v>
      </c>
      <c r="F8" s="28">
        <v>0</v>
      </c>
      <c r="G8" s="29">
        <v>12132.036</v>
      </c>
      <c r="H8" s="28">
        <v>12419</v>
      </c>
      <c r="I8" s="28">
        <v>236</v>
      </c>
      <c r="J8" s="28">
        <v>0</v>
      </c>
      <c r="K8" s="28">
        <v>0</v>
      </c>
      <c r="L8" s="28">
        <v>0</v>
      </c>
      <c r="M8" s="29">
        <v>12655</v>
      </c>
      <c r="N8" s="30">
        <v>4.3106037601602892E-2</v>
      </c>
      <c r="O8" s="31" t="s">
        <v>28</v>
      </c>
      <c r="P8" s="32" t="s">
        <v>29</v>
      </c>
    </row>
    <row r="9" spans="1:16" s="26" customFormat="1" ht="16.149999999999999">
      <c r="A9" s="33" t="s">
        <v>30</v>
      </c>
      <c r="B9" s="29">
        <v>11896.036</v>
      </c>
      <c r="C9" s="34">
        <v>236</v>
      </c>
      <c r="D9" s="34">
        <v>0</v>
      </c>
      <c r="E9" s="34">
        <v>0</v>
      </c>
      <c r="F9" s="34">
        <v>0</v>
      </c>
      <c r="G9" s="34">
        <v>12132.036</v>
      </c>
      <c r="H9" s="29">
        <v>12419</v>
      </c>
      <c r="I9" s="29">
        <v>236</v>
      </c>
      <c r="J9" s="29">
        <v>0</v>
      </c>
      <c r="K9" s="29">
        <v>0</v>
      </c>
      <c r="L9" s="29">
        <v>0</v>
      </c>
      <c r="M9" s="29">
        <v>12655</v>
      </c>
      <c r="N9" s="35">
        <v>4.3106037601602892E-2</v>
      </c>
      <c r="O9" s="36"/>
      <c r="P9" s="36"/>
    </row>
    <row r="10" spans="1:16" s="9" customFormat="1" ht="51.75" customHeight="1">
      <c r="A10" s="27" t="s">
        <v>31</v>
      </c>
      <c r="B10" s="28">
        <v>1495.1</v>
      </c>
      <c r="C10" s="28">
        <v>35</v>
      </c>
      <c r="D10" s="28">
        <v>0</v>
      </c>
      <c r="E10" s="28">
        <v>0</v>
      </c>
      <c r="F10" s="28">
        <v>0</v>
      </c>
      <c r="G10" s="29">
        <v>1530.1</v>
      </c>
      <c r="H10" s="28">
        <v>1553.9</v>
      </c>
      <c r="I10" s="28">
        <v>35</v>
      </c>
      <c r="J10" s="28">
        <v>0</v>
      </c>
      <c r="K10" s="28">
        <v>0</v>
      </c>
      <c r="L10" s="28">
        <v>0</v>
      </c>
      <c r="M10" s="29">
        <v>1588.9</v>
      </c>
      <c r="N10" s="30">
        <v>3.8428860858767525E-2</v>
      </c>
      <c r="O10" s="37" t="s">
        <v>32</v>
      </c>
      <c r="P10" s="32" t="s">
        <v>33</v>
      </c>
    </row>
    <row r="11" spans="1:16" s="26" customFormat="1" ht="16.149999999999999">
      <c r="A11" s="33" t="s">
        <v>30</v>
      </c>
      <c r="B11" s="29">
        <v>1495.1</v>
      </c>
      <c r="C11" s="34">
        <v>35</v>
      </c>
      <c r="D11" s="34">
        <v>0</v>
      </c>
      <c r="E11" s="34">
        <v>0</v>
      </c>
      <c r="F11" s="34">
        <v>0</v>
      </c>
      <c r="G11" s="34">
        <v>1530.1</v>
      </c>
      <c r="H11" s="29">
        <v>1553.9</v>
      </c>
      <c r="I11" s="29">
        <v>35</v>
      </c>
      <c r="J11" s="29">
        <v>0</v>
      </c>
      <c r="K11" s="29">
        <v>0</v>
      </c>
      <c r="L11" s="29">
        <v>0</v>
      </c>
      <c r="M11" s="29">
        <v>1588.9</v>
      </c>
      <c r="N11" s="35">
        <v>3.8428860858767525E-2</v>
      </c>
      <c r="O11" s="36"/>
      <c r="P11" s="36"/>
    </row>
    <row r="12" spans="1:16" s="9" customFormat="1" ht="16.149999999999999">
      <c r="A12" s="15"/>
      <c r="B12" s="38"/>
      <c r="C12" s="38"/>
      <c r="D12" s="38"/>
      <c r="E12" s="38"/>
      <c r="F12" s="38"/>
      <c r="G12" s="39"/>
      <c r="H12" s="39"/>
      <c r="I12" s="39"/>
      <c r="J12" s="39"/>
      <c r="K12" s="39"/>
      <c r="L12" s="39"/>
      <c r="M12" s="39"/>
      <c r="N12" s="40"/>
      <c r="O12" s="19"/>
      <c r="P12" s="20"/>
    </row>
    <row r="13" spans="1:16" s="9" customFormat="1" ht="16.149999999999999">
      <c r="A13" s="41"/>
      <c r="B13" s="42"/>
      <c r="C13" s="43"/>
      <c r="D13" s="43"/>
      <c r="E13" s="43"/>
      <c r="F13" s="43"/>
      <c r="G13" s="43"/>
      <c r="H13" s="43"/>
      <c r="I13" s="43"/>
      <c r="J13" s="43"/>
      <c r="K13" s="43"/>
      <c r="L13" s="43"/>
      <c r="M13" s="43"/>
      <c r="N13" s="44"/>
      <c r="O13" s="41"/>
      <c r="P13" s="41"/>
    </row>
    <row r="14" spans="1:16" s="26" customFormat="1" ht="16.149999999999999">
      <c r="A14" s="21" t="s">
        <v>34</v>
      </c>
      <c r="B14" s="45"/>
      <c r="C14" s="45"/>
      <c r="D14" s="45"/>
      <c r="E14" s="45"/>
      <c r="F14" s="45"/>
      <c r="G14" s="45"/>
      <c r="H14" s="45"/>
      <c r="I14" s="45"/>
      <c r="J14" s="45"/>
      <c r="K14" s="45"/>
      <c r="L14" s="45"/>
      <c r="M14" s="45"/>
      <c r="N14" s="46"/>
      <c r="O14" s="24"/>
      <c r="P14" s="24"/>
    </row>
    <row r="15" spans="1:16" s="9" customFormat="1" ht="64.900000000000006">
      <c r="A15" s="47" t="s">
        <v>35</v>
      </c>
      <c r="B15" s="28">
        <v>0</v>
      </c>
      <c r="C15" s="28">
        <v>0</v>
      </c>
      <c r="D15" s="28">
        <v>752.10500000000002</v>
      </c>
      <c r="E15" s="28">
        <v>0</v>
      </c>
      <c r="F15" s="28">
        <v>0</v>
      </c>
      <c r="G15" s="29">
        <v>752.10500000000002</v>
      </c>
      <c r="H15" s="28">
        <v>0</v>
      </c>
      <c r="I15" s="28">
        <v>0</v>
      </c>
      <c r="J15" s="28">
        <v>840.31499999999994</v>
      </c>
      <c r="K15" s="28">
        <v>0</v>
      </c>
      <c r="L15" s="28">
        <v>0</v>
      </c>
      <c r="M15" s="29">
        <v>840.31499999999994</v>
      </c>
      <c r="N15" s="30">
        <v>0.1172841558027136</v>
      </c>
      <c r="O15" s="48" t="s">
        <v>36</v>
      </c>
      <c r="P15" s="48" t="s">
        <v>37</v>
      </c>
    </row>
    <row r="16" spans="1:16" s="26" customFormat="1" ht="16.149999999999999">
      <c r="A16" s="33" t="s">
        <v>30</v>
      </c>
      <c r="B16" s="29">
        <v>0</v>
      </c>
      <c r="C16" s="34">
        <v>0</v>
      </c>
      <c r="D16" s="34">
        <v>752.10500000000002</v>
      </c>
      <c r="E16" s="34">
        <v>0</v>
      </c>
      <c r="F16" s="34">
        <v>0</v>
      </c>
      <c r="G16" s="34">
        <v>752.10500000000002</v>
      </c>
      <c r="H16" s="29">
        <v>0</v>
      </c>
      <c r="I16" s="29">
        <v>0</v>
      </c>
      <c r="J16" s="29">
        <v>840.31499999999994</v>
      </c>
      <c r="K16" s="29">
        <v>0</v>
      </c>
      <c r="L16" s="29">
        <v>0</v>
      </c>
      <c r="M16" s="29">
        <v>840.31499999999994</v>
      </c>
      <c r="N16" s="35">
        <v>0.1172841558027136</v>
      </c>
      <c r="O16" s="36"/>
      <c r="P16" s="36"/>
    </row>
    <row r="17" spans="1:16" s="9" customFormat="1" ht="16.149999999999999">
      <c r="A17" s="15"/>
      <c r="B17" s="38"/>
      <c r="C17" s="38"/>
      <c r="D17" s="38"/>
      <c r="E17" s="38"/>
      <c r="F17" s="38"/>
      <c r="G17" s="39"/>
      <c r="H17" s="39"/>
      <c r="I17" s="39"/>
      <c r="J17" s="39"/>
      <c r="K17" s="39"/>
      <c r="L17" s="39"/>
      <c r="M17" s="39"/>
      <c r="N17" s="40"/>
      <c r="O17" s="19"/>
      <c r="P17" s="20"/>
    </row>
    <row r="18" spans="1:16" s="26" customFormat="1" ht="16.899999999999999" thickBot="1">
      <c r="A18" s="49" t="s">
        <v>38</v>
      </c>
      <c r="B18" s="50"/>
      <c r="C18" s="50"/>
      <c r="D18" s="50"/>
      <c r="E18" s="50"/>
      <c r="F18" s="50"/>
      <c r="G18" s="50"/>
      <c r="H18" s="50"/>
      <c r="I18" s="50"/>
      <c r="J18" s="50"/>
      <c r="K18" s="50"/>
      <c r="L18" s="50"/>
      <c r="M18" s="50"/>
      <c r="N18" s="51"/>
      <c r="O18" s="41"/>
      <c r="P18" s="41"/>
    </row>
    <row r="19" spans="1:16" s="26" customFormat="1" ht="16.149999999999999">
      <c r="A19" s="52" t="s">
        <v>39</v>
      </c>
      <c r="B19" s="53"/>
      <c r="C19" s="53"/>
      <c r="D19" s="53"/>
      <c r="E19" s="53"/>
      <c r="F19" s="53"/>
      <c r="G19" s="53"/>
      <c r="H19" s="53"/>
      <c r="I19" s="53"/>
      <c r="J19" s="53"/>
      <c r="K19" s="53"/>
      <c r="L19" s="53"/>
      <c r="M19" s="53"/>
      <c r="N19" s="54"/>
      <c r="O19" s="24"/>
      <c r="P19" s="24"/>
    </row>
    <row r="20" spans="1:16" s="9" customFormat="1" ht="64.900000000000006">
      <c r="A20" s="55" t="s">
        <v>39</v>
      </c>
      <c r="B20" s="28">
        <v>933.45699999999999</v>
      </c>
      <c r="C20" s="56">
        <v>0</v>
      </c>
      <c r="D20" s="56">
        <v>0</v>
      </c>
      <c r="E20" s="56">
        <v>0</v>
      </c>
      <c r="F20" s="56">
        <v>0</v>
      </c>
      <c r="G20" s="29">
        <v>933.45699999999999</v>
      </c>
      <c r="H20" s="28">
        <v>993.85699999999997</v>
      </c>
      <c r="I20" s="28">
        <v>0</v>
      </c>
      <c r="J20" s="28">
        <v>0</v>
      </c>
      <c r="K20" s="28">
        <v>0</v>
      </c>
      <c r="L20" s="28">
        <v>0</v>
      </c>
      <c r="M20" s="29">
        <v>993.85699999999997</v>
      </c>
      <c r="N20" s="30">
        <v>6.4705712207418206E-2</v>
      </c>
      <c r="O20" s="57" t="s">
        <v>40</v>
      </c>
      <c r="P20" s="57" t="s">
        <v>41</v>
      </c>
    </row>
    <row r="21" spans="1:16" s="9" customFormat="1" ht="162">
      <c r="A21" s="55" t="s">
        <v>42</v>
      </c>
      <c r="B21" s="28">
        <v>262.5</v>
      </c>
      <c r="C21" s="56">
        <v>0</v>
      </c>
      <c r="D21" s="56">
        <v>0</v>
      </c>
      <c r="E21" s="56">
        <v>0</v>
      </c>
      <c r="F21" s="56">
        <v>0</v>
      </c>
      <c r="G21" s="29">
        <v>262.5</v>
      </c>
      <c r="H21" s="28">
        <v>272.92500000000001</v>
      </c>
      <c r="I21" s="28">
        <v>0</v>
      </c>
      <c r="J21" s="28">
        <v>0</v>
      </c>
      <c r="K21" s="28">
        <v>0</v>
      </c>
      <c r="L21" s="28">
        <v>0</v>
      </c>
      <c r="M21" s="29">
        <v>272.92500000000001</v>
      </c>
      <c r="N21" s="30">
        <v>3.9714285714285757E-2</v>
      </c>
      <c r="O21" s="19" t="s">
        <v>43</v>
      </c>
      <c r="P21" s="57" t="s">
        <v>44</v>
      </c>
    </row>
    <row r="22" spans="1:16" s="9" customFormat="1" ht="48.6">
      <c r="A22" s="55" t="s">
        <v>45</v>
      </c>
      <c r="B22" s="28">
        <v>9.8010000000000002</v>
      </c>
      <c r="C22" s="56">
        <v>0</v>
      </c>
      <c r="D22" s="56">
        <v>0</v>
      </c>
      <c r="E22" s="56">
        <v>0</v>
      </c>
      <c r="F22" s="56">
        <v>0</v>
      </c>
      <c r="G22" s="29">
        <v>9.8010000000000002</v>
      </c>
      <c r="H22" s="28">
        <v>9.8010000000000002</v>
      </c>
      <c r="I22" s="28">
        <v>0</v>
      </c>
      <c r="J22" s="28">
        <v>0</v>
      </c>
      <c r="K22" s="28">
        <v>0</v>
      </c>
      <c r="L22" s="28">
        <v>0</v>
      </c>
      <c r="M22" s="29">
        <v>9.8010000000000002</v>
      </c>
      <c r="N22" s="30">
        <v>0</v>
      </c>
      <c r="O22" s="57" t="s">
        <v>46</v>
      </c>
      <c r="P22" s="57" t="s">
        <v>47</v>
      </c>
    </row>
    <row r="23" spans="1:16" s="26" customFormat="1" ht="16.149999999999999">
      <c r="A23" s="33" t="s">
        <v>30</v>
      </c>
      <c r="B23" s="29">
        <v>1205.7579999999998</v>
      </c>
      <c r="C23" s="34">
        <v>0</v>
      </c>
      <c r="D23" s="34">
        <v>0</v>
      </c>
      <c r="E23" s="34">
        <v>0</v>
      </c>
      <c r="F23" s="34">
        <v>0</v>
      </c>
      <c r="G23" s="34">
        <v>1205.7579999999998</v>
      </c>
      <c r="H23" s="34">
        <v>1276.5829999999999</v>
      </c>
      <c r="I23" s="34">
        <v>0</v>
      </c>
      <c r="J23" s="34">
        <v>0</v>
      </c>
      <c r="K23" s="34">
        <v>0</v>
      </c>
      <c r="L23" s="34">
        <v>0</v>
      </c>
      <c r="M23" s="34">
        <v>1276.5829999999999</v>
      </c>
      <c r="N23" s="35">
        <v>5.87389841079222E-2</v>
      </c>
      <c r="O23" s="36"/>
      <c r="P23" s="36"/>
    </row>
    <row r="24" spans="1:16" s="9" customFormat="1" ht="16.149999999999999">
      <c r="A24" s="15"/>
      <c r="B24" s="38"/>
      <c r="C24" s="38"/>
      <c r="D24" s="38"/>
      <c r="E24" s="38"/>
      <c r="F24" s="38"/>
      <c r="G24" s="39"/>
      <c r="H24" s="39"/>
      <c r="I24" s="39"/>
      <c r="J24" s="39"/>
      <c r="K24" s="39"/>
      <c r="L24" s="39"/>
      <c r="M24" s="39"/>
      <c r="N24" s="40"/>
      <c r="O24" s="19"/>
      <c r="P24" s="20"/>
    </row>
    <row r="25" spans="1:16" s="26" customFormat="1" ht="16.149999999999999">
      <c r="A25" s="58"/>
      <c r="B25" s="43"/>
      <c r="C25" s="43"/>
      <c r="D25" s="43"/>
      <c r="E25" s="43"/>
      <c r="F25" s="43"/>
      <c r="G25" s="43"/>
      <c r="H25" s="43"/>
      <c r="I25" s="43"/>
      <c r="J25" s="43"/>
      <c r="K25" s="43"/>
      <c r="L25" s="43"/>
      <c r="M25" s="43"/>
      <c r="N25" s="44"/>
      <c r="O25" s="41"/>
      <c r="P25" s="41"/>
    </row>
    <row r="26" spans="1:16" s="26" customFormat="1" ht="32.450000000000003">
      <c r="A26" s="21" t="s">
        <v>48</v>
      </c>
      <c r="B26" s="45"/>
      <c r="C26" s="45"/>
      <c r="D26" s="45"/>
      <c r="E26" s="45"/>
      <c r="F26" s="45"/>
      <c r="G26" s="45"/>
      <c r="H26" s="45"/>
      <c r="I26" s="45"/>
      <c r="J26" s="45"/>
      <c r="K26" s="45"/>
      <c r="L26" s="45"/>
      <c r="M26" s="45"/>
      <c r="N26" s="46"/>
      <c r="O26" s="24"/>
      <c r="P26" s="24"/>
    </row>
    <row r="27" spans="1:16" s="9" customFormat="1" ht="48.6">
      <c r="A27" s="59" t="s">
        <v>48</v>
      </c>
      <c r="B27" s="28">
        <v>211.61799999999999</v>
      </c>
      <c r="C27" s="60">
        <v>0</v>
      </c>
      <c r="D27" s="60">
        <v>0</v>
      </c>
      <c r="E27" s="60">
        <v>0</v>
      </c>
      <c r="F27" s="60">
        <v>0</v>
      </c>
      <c r="G27" s="29">
        <v>211.61799999999999</v>
      </c>
      <c r="H27" s="28">
        <v>224.018</v>
      </c>
      <c r="I27" s="28">
        <v>0</v>
      </c>
      <c r="J27" s="28">
        <v>0</v>
      </c>
      <c r="K27" s="28">
        <v>0</v>
      </c>
      <c r="L27" s="28">
        <v>0</v>
      </c>
      <c r="M27" s="29">
        <v>224.018</v>
      </c>
      <c r="N27" s="30">
        <v>5.8596149665907468E-2</v>
      </c>
      <c r="O27" s="57" t="s">
        <v>49</v>
      </c>
      <c r="P27" s="57" t="s">
        <v>50</v>
      </c>
    </row>
    <row r="28" spans="1:16" s="9" customFormat="1" ht="113.45">
      <c r="A28" s="61" t="s">
        <v>51</v>
      </c>
      <c r="B28" s="28">
        <v>10.067</v>
      </c>
      <c r="C28" s="56">
        <v>0</v>
      </c>
      <c r="D28" s="56">
        <v>0</v>
      </c>
      <c r="E28" s="56">
        <v>0</v>
      </c>
      <c r="F28" s="56">
        <v>0</v>
      </c>
      <c r="G28" s="29">
        <v>10.067</v>
      </c>
      <c r="H28" s="28">
        <v>14.903</v>
      </c>
      <c r="I28" s="28">
        <v>0</v>
      </c>
      <c r="J28" s="28">
        <v>0</v>
      </c>
      <c r="K28" s="28">
        <v>0</v>
      </c>
      <c r="L28" s="28">
        <v>0</v>
      </c>
      <c r="M28" s="29">
        <v>14.903</v>
      </c>
      <c r="N28" s="30">
        <v>0.4803814443230357</v>
      </c>
      <c r="O28" s="57" t="s">
        <v>52</v>
      </c>
      <c r="P28" s="57" t="s">
        <v>53</v>
      </c>
    </row>
    <row r="29" spans="1:16" s="26" customFormat="1" ht="16.149999999999999">
      <c r="A29" s="33" t="s">
        <v>30</v>
      </c>
      <c r="B29" s="29">
        <v>221.685</v>
      </c>
      <c r="C29" s="34">
        <v>0</v>
      </c>
      <c r="D29" s="34">
        <v>0</v>
      </c>
      <c r="E29" s="34">
        <v>0</v>
      </c>
      <c r="F29" s="34">
        <v>0</v>
      </c>
      <c r="G29" s="34">
        <v>221.685</v>
      </c>
      <c r="H29" s="34">
        <v>238.92099999999999</v>
      </c>
      <c r="I29" s="34">
        <v>0</v>
      </c>
      <c r="J29" s="34">
        <v>0</v>
      </c>
      <c r="K29" s="34">
        <v>0</v>
      </c>
      <c r="L29" s="34">
        <v>0</v>
      </c>
      <c r="M29" s="34">
        <v>238.92099999999999</v>
      </c>
      <c r="N29" s="35">
        <v>7.774996052958022E-2</v>
      </c>
      <c r="O29" s="36"/>
      <c r="P29" s="36" t="s">
        <v>54</v>
      </c>
    </row>
    <row r="30" spans="1:16" s="9" customFormat="1" ht="16.149999999999999">
      <c r="A30" s="15"/>
      <c r="B30" s="38"/>
      <c r="C30" s="38"/>
      <c r="D30" s="38"/>
      <c r="E30" s="38"/>
      <c r="F30" s="38"/>
      <c r="G30" s="39"/>
      <c r="H30" s="39"/>
      <c r="I30" s="39"/>
      <c r="J30" s="39"/>
      <c r="K30" s="39"/>
      <c r="L30" s="39"/>
      <c r="M30" s="34"/>
      <c r="N30" s="40"/>
      <c r="O30" s="19"/>
      <c r="P30" s="20"/>
    </row>
    <row r="31" spans="1:16" s="26" customFormat="1" ht="16.899999999999999" thickBot="1">
      <c r="A31" s="62"/>
      <c r="B31" s="50"/>
      <c r="C31" s="50"/>
      <c r="D31" s="50"/>
      <c r="E31" s="50"/>
      <c r="F31" s="50"/>
      <c r="G31" s="50"/>
      <c r="H31" s="50"/>
      <c r="I31" s="50"/>
      <c r="J31" s="50"/>
      <c r="K31" s="50"/>
      <c r="L31" s="50"/>
      <c r="M31" s="50"/>
      <c r="N31" s="51"/>
      <c r="O31" s="41"/>
      <c r="P31" s="41"/>
    </row>
    <row r="32" spans="1:16" s="26" customFormat="1" ht="16.149999999999999">
      <c r="A32" s="52" t="s">
        <v>55</v>
      </c>
      <c r="B32" s="53"/>
      <c r="C32" s="53"/>
      <c r="D32" s="53"/>
      <c r="E32" s="53"/>
      <c r="F32" s="53"/>
      <c r="G32" s="53"/>
      <c r="H32" s="53"/>
      <c r="I32" s="53"/>
      <c r="J32" s="53"/>
      <c r="K32" s="53"/>
      <c r="L32" s="53"/>
      <c r="M32" s="53"/>
      <c r="N32" s="54"/>
      <c r="O32" s="24"/>
      <c r="P32" s="24"/>
    </row>
    <row r="33" spans="1:16" s="9" customFormat="1" ht="32.450000000000003">
      <c r="A33" s="59" t="s">
        <v>55</v>
      </c>
      <c r="B33" s="28">
        <v>470.00400000000002</v>
      </c>
      <c r="C33" s="60">
        <v>0</v>
      </c>
      <c r="D33" s="60">
        <v>0</v>
      </c>
      <c r="E33" s="60">
        <v>0</v>
      </c>
      <c r="F33" s="60">
        <v>0</v>
      </c>
      <c r="G33" s="29">
        <v>470.00400000000002</v>
      </c>
      <c r="H33" s="28">
        <v>491.00400000000002</v>
      </c>
      <c r="I33" s="28">
        <v>0</v>
      </c>
      <c r="J33" s="28">
        <v>0</v>
      </c>
      <c r="K33" s="28">
        <v>0</v>
      </c>
      <c r="L33" s="28">
        <v>0</v>
      </c>
      <c r="M33" s="29">
        <v>491.00400000000002</v>
      </c>
      <c r="N33" s="30">
        <v>4.468047080450379E-2</v>
      </c>
      <c r="O33" s="57" t="s">
        <v>56</v>
      </c>
      <c r="P33" s="57" t="s">
        <v>57</v>
      </c>
    </row>
    <row r="34" spans="1:16" s="9" customFormat="1" ht="32.450000000000003">
      <c r="A34" s="61" t="s">
        <v>58</v>
      </c>
      <c r="B34" s="28">
        <v>6.2350000000000003</v>
      </c>
      <c r="C34" s="56">
        <v>0</v>
      </c>
      <c r="D34" s="56">
        <v>0</v>
      </c>
      <c r="E34" s="56">
        <v>0</v>
      </c>
      <c r="F34" s="56">
        <v>0</v>
      </c>
      <c r="G34" s="29">
        <v>6.2350000000000003</v>
      </c>
      <c r="H34" s="28">
        <v>6.2350000000000003</v>
      </c>
      <c r="I34" s="28">
        <v>0</v>
      </c>
      <c r="J34" s="28">
        <v>0</v>
      </c>
      <c r="K34" s="28">
        <v>0</v>
      </c>
      <c r="L34" s="28">
        <v>0</v>
      </c>
      <c r="M34" s="29">
        <v>6.2350000000000003</v>
      </c>
      <c r="N34" s="30">
        <v>0</v>
      </c>
      <c r="O34" s="57" t="s">
        <v>59</v>
      </c>
      <c r="P34" s="57" t="s">
        <v>47</v>
      </c>
    </row>
    <row r="35" spans="1:16" s="26" customFormat="1" ht="16.149999999999999">
      <c r="A35" s="33" t="s">
        <v>30</v>
      </c>
      <c r="B35" s="29">
        <v>476.23900000000003</v>
      </c>
      <c r="C35" s="34">
        <v>0</v>
      </c>
      <c r="D35" s="34">
        <v>0</v>
      </c>
      <c r="E35" s="34">
        <v>0</v>
      </c>
      <c r="F35" s="34">
        <v>0</v>
      </c>
      <c r="G35" s="34">
        <v>476.23900000000003</v>
      </c>
      <c r="H35" s="34">
        <v>497.23900000000003</v>
      </c>
      <c r="I35" s="34">
        <v>0</v>
      </c>
      <c r="J35" s="34">
        <v>0</v>
      </c>
      <c r="K35" s="34">
        <v>0</v>
      </c>
      <c r="L35" s="34">
        <v>0</v>
      </c>
      <c r="M35" s="34">
        <v>497.23900000000003</v>
      </c>
      <c r="N35" s="35">
        <v>4.4095506667870543E-2</v>
      </c>
      <c r="O35" s="36"/>
      <c r="P35" s="36" t="s">
        <v>54</v>
      </c>
    </row>
    <row r="36" spans="1:16" s="9" customFormat="1" ht="16.149999999999999">
      <c r="A36" s="15"/>
      <c r="B36" s="38"/>
      <c r="C36" s="38"/>
      <c r="D36" s="38"/>
      <c r="E36" s="38"/>
      <c r="F36" s="38"/>
      <c r="G36" s="39"/>
      <c r="H36" s="39"/>
      <c r="I36" s="39"/>
      <c r="J36" s="39"/>
      <c r="K36" s="39"/>
      <c r="L36" s="39"/>
      <c r="M36" s="39"/>
      <c r="N36" s="40"/>
      <c r="O36" s="19"/>
      <c r="P36" s="20"/>
    </row>
    <row r="37" spans="1:16" s="26" customFormat="1" ht="16.149999999999999">
      <c r="A37" s="58"/>
      <c r="B37" s="43"/>
      <c r="C37" s="43"/>
      <c r="D37" s="43"/>
      <c r="E37" s="43"/>
      <c r="F37" s="43"/>
      <c r="G37" s="43"/>
      <c r="H37" s="43"/>
      <c r="I37" s="43"/>
      <c r="J37" s="43"/>
      <c r="K37" s="43"/>
      <c r="L37" s="43"/>
      <c r="M37" s="43"/>
      <c r="N37" s="44"/>
      <c r="O37" s="41"/>
      <c r="P37" s="41"/>
    </row>
    <row r="38" spans="1:16" s="26" customFormat="1" ht="16.149999999999999">
      <c r="A38" s="21" t="s">
        <v>60</v>
      </c>
      <c r="B38" s="45"/>
      <c r="C38" s="45"/>
      <c r="D38" s="45"/>
      <c r="E38" s="45"/>
      <c r="F38" s="45"/>
      <c r="G38" s="45"/>
      <c r="H38" s="45"/>
      <c r="I38" s="45"/>
      <c r="J38" s="45"/>
      <c r="K38" s="45"/>
      <c r="L38" s="45"/>
      <c r="M38" s="45"/>
      <c r="N38" s="46"/>
      <c r="O38" s="24"/>
      <c r="P38" s="24"/>
    </row>
    <row r="39" spans="1:16" s="9" customFormat="1" ht="81">
      <c r="A39" s="61" t="s">
        <v>60</v>
      </c>
      <c r="B39" s="28">
        <v>121.61199999999999</v>
      </c>
      <c r="C39" s="56">
        <v>0</v>
      </c>
      <c r="D39" s="56">
        <v>0</v>
      </c>
      <c r="E39" s="56">
        <v>0</v>
      </c>
      <c r="F39" s="56">
        <v>0</v>
      </c>
      <c r="G39" s="29">
        <v>121.61199999999999</v>
      </c>
      <c r="H39" s="28">
        <v>130.11199999999999</v>
      </c>
      <c r="I39" s="28">
        <v>0</v>
      </c>
      <c r="J39" s="28">
        <v>0</v>
      </c>
      <c r="K39" s="28">
        <v>0</v>
      </c>
      <c r="L39" s="28">
        <v>0</v>
      </c>
      <c r="M39" s="29">
        <v>130.11199999999999</v>
      </c>
      <c r="N39" s="30">
        <v>6.9894418313982173E-2</v>
      </c>
      <c r="O39" s="57" t="s">
        <v>61</v>
      </c>
      <c r="P39" s="57" t="s">
        <v>62</v>
      </c>
    </row>
    <row r="40" spans="1:16" s="26" customFormat="1" ht="16.149999999999999">
      <c r="A40" s="33" t="s">
        <v>30</v>
      </c>
      <c r="B40" s="29">
        <v>121.61199999999999</v>
      </c>
      <c r="C40" s="29">
        <v>0</v>
      </c>
      <c r="D40" s="29">
        <v>0</v>
      </c>
      <c r="E40" s="29">
        <v>0</v>
      </c>
      <c r="F40" s="29">
        <v>0</v>
      </c>
      <c r="G40" s="29">
        <v>121.61199999999999</v>
      </c>
      <c r="H40" s="29">
        <v>130.11199999999999</v>
      </c>
      <c r="I40" s="29">
        <v>0</v>
      </c>
      <c r="J40" s="29">
        <v>0</v>
      </c>
      <c r="K40" s="29">
        <v>0</v>
      </c>
      <c r="L40" s="29">
        <v>0</v>
      </c>
      <c r="M40" s="29">
        <v>130.11199999999999</v>
      </c>
      <c r="N40" s="35">
        <v>6.9894418313982173E-2</v>
      </c>
      <c r="O40" s="36"/>
      <c r="P40" s="36" t="s">
        <v>54</v>
      </c>
    </row>
    <row r="41" spans="1:16" s="9" customFormat="1" ht="16.149999999999999">
      <c r="A41" s="63"/>
      <c r="B41" s="64"/>
      <c r="C41" s="65"/>
      <c r="D41" s="65"/>
      <c r="E41" s="65"/>
      <c r="F41" s="65"/>
      <c r="G41" s="65"/>
      <c r="H41" s="65"/>
      <c r="I41" s="65"/>
      <c r="J41" s="65"/>
      <c r="K41" s="65"/>
      <c r="L41" s="65"/>
      <c r="M41" s="65"/>
      <c r="N41" s="66"/>
      <c r="O41" s="67"/>
      <c r="P41" s="20"/>
    </row>
    <row r="42" spans="1:16" s="26" customFormat="1" ht="16.899999999999999" thickBot="1">
      <c r="A42" s="62"/>
      <c r="B42" s="50"/>
      <c r="C42" s="50"/>
      <c r="D42" s="50"/>
      <c r="E42" s="50"/>
      <c r="F42" s="50"/>
      <c r="G42" s="50"/>
      <c r="H42" s="50"/>
      <c r="I42" s="50"/>
      <c r="J42" s="50"/>
      <c r="K42" s="50"/>
      <c r="L42" s="50"/>
      <c r="M42" s="50"/>
      <c r="N42" s="51"/>
      <c r="O42" s="41"/>
      <c r="P42" s="41"/>
    </row>
    <row r="43" spans="1:16" s="26" customFormat="1" ht="16.149999999999999">
      <c r="A43" s="52" t="s">
        <v>63</v>
      </c>
      <c r="B43" s="53"/>
      <c r="C43" s="53"/>
      <c r="D43" s="53"/>
      <c r="E43" s="53"/>
      <c r="F43" s="53"/>
      <c r="G43" s="53"/>
      <c r="H43" s="53"/>
      <c r="I43" s="53"/>
      <c r="J43" s="53"/>
      <c r="K43" s="53"/>
      <c r="L43" s="53"/>
      <c r="M43" s="53"/>
      <c r="N43" s="54"/>
      <c r="O43" s="24"/>
      <c r="P43" s="24"/>
    </row>
    <row r="44" spans="1:16" s="9" customFormat="1" ht="81">
      <c r="A44" s="68" t="s">
        <v>63</v>
      </c>
      <c r="B44" s="28">
        <v>163.83000000000001</v>
      </c>
      <c r="C44" s="69">
        <v>0</v>
      </c>
      <c r="D44" s="69">
        <v>0</v>
      </c>
      <c r="E44" s="69">
        <v>0</v>
      </c>
      <c r="F44" s="69">
        <v>0</v>
      </c>
      <c r="G44" s="29">
        <v>163.83000000000001</v>
      </c>
      <c r="H44" s="28">
        <v>163.83000000000001</v>
      </c>
      <c r="I44" s="28">
        <v>0</v>
      </c>
      <c r="J44" s="28">
        <v>0</v>
      </c>
      <c r="K44" s="28">
        <v>0</v>
      </c>
      <c r="L44" s="28">
        <v>0</v>
      </c>
      <c r="M44" s="29">
        <v>163.83000000000001</v>
      </c>
      <c r="N44" s="30">
        <v>0</v>
      </c>
      <c r="O44" s="57" t="s">
        <v>64</v>
      </c>
      <c r="P44" s="70" t="s">
        <v>65</v>
      </c>
    </row>
    <row r="45" spans="1:16" s="9" customFormat="1" ht="129.6">
      <c r="A45" s="68" t="s">
        <v>66</v>
      </c>
      <c r="B45" s="28">
        <v>76.92</v>
      </c>
      <c r="C45" s="69">
        <v>0</v>
      </c>
      <c r="D45" s="69">
        <v>0</v>
      </c>
      <c r="E45" s="69">
        <v>0</v>
      </c>
      <c r="F45" s="69">
        <v>0</v>
      </c>
      <c r="G45" s="29">
        <v>76.92</v>
      </c>
      <c r="H45" s="28">
        <v>76.92</v>
      </c>
      <c r="I45" s="28">
        <v>0</v>
      </c>
      <c r="J45" s="28">
        <v>0</v>
      </c>
      <c r="K45" s="28">
        <v>0</v>
      </c>
      <c r="L45" s="28">
        <v>0</v>
      </c>
      <c r="M45" s="29">
        <v>76.92</v>
      </c>
      <c r="N45" s="30">
        <v>0</v>
      </c>
      <c r="O45" s="57" t="s">
        <v>67</v>
      </c>
      <c r="P45" s="70" t="s">
        <v>65</v>
      </c>
    </row>
    <row r="46" spans="1:16" s="9" customFormat="1" ht="81">
      <c r="A46" s="68" t="s">
        <v>68</v>
      </c>
      <c r="B46" s="28">
        <v>39.4</v>
      </c>
      <c r="C46" s="69">
        <v>0</v>
      </c>
      <c r="D46" s="69">
        <v>0</v>
      </c>
      <c r="E46" s="69">
        <v>0</v>
      </c>
      <c r="F46" s="69">
        <v>0</v>
      </c>
      <c r="G46" s="29">
        <v>39.4</v>
      </c>
      <c r="H46" s="28">
        <v>39.4</v>
      </c>
      <c r="I46" s="28">
        <v>0</v>
      </c>
      <c r="J46" s="28">
        <v>0</v>
      </c>
      <c r="K46" s="28">
        <v>0</v>
      </c>
      <c r="L46" s="28">
        <v>0</v>
      </c>
      <c r="M46" s="29">
        <v>39.4</v>
      </c>
      <c r="N46" s="30">
        <v>0</v>
      </c>
      <c r="O46" s="57" t="s">
        <v>69</v>
      </c>
      <c r="P46" s="70" t="s">
        <v>65</v>
      </c>
    </row>
    <row r="47" spans="1:16" s="9" customFormat="1" ht="16.149999999999999">
      <c r="A47" s="71" t="s">
        <v>51</v>
      </c>
      <c r="B47" s="28">
        <v>10.095000000000001</v>
      </c>
      <c r="C47" s="72">
        <v>0</v>
      </c>
      <c r="D47" s="72">
        <v>0</v>
      </c>
      <c r="E47" s="72">
        <v>0</v>
      </c>
      <c r="F47" s="72">
        <v>0</v>
      </c>
      <c r="G47" s="29">
        <v>10.095000000000001</v>
      </c>
      <c r="H47" s="28">
        <v>10.095000000000001</v>
      </c>
      <c r="I47" s="28">
        <v>0</v>
      </c>
      <c r="J47" s="28">
        <v>0</v>
      </c>
      <c r="K47" s="28">
        <v>0</v>
      </c>
      <c r="L47" s="28">
        <v>0</v>
      </c>
      <c r="M47" s="29">
        <v>10.095000000000001</v>
      </c>
      <c r="N47" s="30">
        <v>0</v>
      </c>
      <c r="O47" s="57" t="s">
        <v>70</v>
      </c>
      <c r="P47" s="57" t="s">
        <v>65</v>
      </c>
    </row>
    <row r="48" spans="1:16" s="26" customFormat="1" ht="16.149999999999999">
      <c r="A48" s="33" t="s">
        <v>30</v>
      </c>
      <c r="B48" s="29">
        <v>290.245</v>
      </c>
      <c r="C48" s="34">
        <v>0</v>
      </c>
      <c r="D48" s="34">
        <v>0</v>
      </c>
      <c r="E48" s="34">
        <v>0</v>
      </c>
      <c r="F48" s="34">
        <v>0</v>
      </c>
      <c r="G48" s="34">
        <v>290.245</v>
      </c>
      <c r="H48" s="34">
        <v>290.245</v>
      </c>
      <c r="I48" s="34">
        <v>0</v>
      </c>
      <c r="J48" s="34">
        <v>0</v>
      </c>
      <c r="K48" s="34">
        <v>0</v>
      </c>
      <c r="L48" s="34">
        <v>0</v>
      </c>
      <c r="M48" s="34">
        <v>290.245</v>
      </c>
      <c r="N48" s="35">
        <v>0</v>
      </c>
      <c r="O48" s="36"/>
      <c r="P48" s="36"/>
    </row>
    <row r="49" spans="1:16" s="9" customFormat="1" ht="16.149999999999999">
      <c r="A49" s="73"/>
      <c r="B49" s="74"/>
      <c r="C49" s="75"/>
      <c r="D49" s="75"/>
      <c r="E49" s="75"/>
      <c r="F49" s="75"/>
      <c r="G49" s="75"/>
      <c r="H49" s="75"/>
      <c r="I49" s="75"/>
      <c r="J49" s="75"/>
      <c r="K49" s="75"/>
      <c r="L49" s="75"/>
      <c r="M49" s="75"/>
      <c r="N49" s="76"/>
      <c r="O49" s="67"/>
      <c r="P49" s="77"/>
    </row>
    <row r="50" spans="1:16" s="26" customFormat="1" ht="16.149999999999999">
      <c r="A50" s="41" t="s">
        <v>71</v>
      </c>
      <c r="B50" s="43"/>
      <c r="C50" s="43"/>
      <c r="D50" s="43"/>
      <c r="E50" s="43"/>
      <c r="F50" s="43"/>
      <c r="G50" s="43"/>
      <c r="H50" s="43"/>
      <c r="I50" s="43"/>
      <c r="J50" s="43"/>
      <c r="K50" s="43"/>
      <c r="L50" s="43"/>
      <c r="M50" s="43"/>
      <c r="N50" s="44"/>
      <c r="O50" s="41"/>
      <c r="P50" s="41"/>
    </row>
    <row r="51" spans="1:16" s="26" customFormat="1" ht="16.149999999999999">
      <c r="A51" s="21" t="s">
        <v>72</v>
      </c>
      <c r="B51" s="45"/>
      <c r="C51" s="45"/>
      <c r="D51" s="45"/>
      <c r="E51" s="45"/>
      <c r="F51" s="45"/>
      <c r="G51" s="45"/>
      <c r="H51" s="45"/>
      <c r="I51" s="45"/>
      <c r="J51" s="45"/>
      <c r="K51" s="45"/>
      <c r="L51" s="45"/>
      <c r="M51" s="45"/>
      <c r="N51" s="46"/>
      <c r="O51" s="24"/>
      <c r="P51" s="24"/>
    </row>
    <row r="52" spans="1:16" s="9" customFormat="1" ht="32.450000000000003">
      <c r="A52" s="61" t="s">
        <v>72</v>
      </c>
      <c r="B52" s="28">
        <v>74.072999999999993</v>
      </c>
      <c r="C52" s="56">
        <v>0</v>
      </c>
      <c r="D52" s="56">
        <v>0</v>
      </c>
      <c r="E52" s="56">
        <v>0</v>
      </c>
      <c r="F52" s="56">
        <v>0</v>
      </c>
      <c r="G52" s="29">
        <v>74.072999999999993</v>
      </c>
      <c r="H52" s="28">
        <v>72.212999999999994</v>
      </c>
      <c r="I52" s="28">
        <v>0</v>
      </c>
      <c r="J52" s="28">
        <v>0</v>
      </c>
      <c r="K52" s="28">
        <v>0</v>
      </c>
      <c r="L52" s="28">
        <v>0</v>
      </c>
      <c r="M52" s="29">
        <v>72.212999999999994</v>
      </c>
      <c r="N52" s="30">
        <v>-2.5110364100279448E-2</v>
      </c>
      <c r="O52" s="48" t="s">
        <v>73</v>
      </c>
      <c r="P52" s="48" t="s">
        <v>74</v>
      </c>
    </row>
    <row r="53" spans="1:16" s="26" customFormat="1" ht="16.149999999999999">
      <c r="A53" s="33" t="s">
        <v>30</v>
      </c>
      <c r="B53" s="29">
        <v>74.072999999999993</v>
      </c>
      <c r="C53" s="34">
        <v>0</v>
      </c>
      <c r="D53" s="34">
        <v>0</v>
      </c>
      <c r="E53" s="34">
        <v>0</v>
      </c>
      <c r="F53" s="34">
        <v>0</v>
      </c>
      <c r="G53" s="34">
        <v>74.072999999999993</v>
      </c>
      <c r="H53" s="34">
        <v>72.212999999999994</v>
      </c>
      <c r="I53" s="34">
        <v>0</v>
      </c>
      <c r="J53" s="34">
        <v>0</v>
      </c>
      <c r="K53" s="34">
        <v>0</v>
      </c>
      <c r="L53" s="34">
        <v>0</v>
      </c>
      <c r="M53" s="34">
        <v>72.212999999999994</v>
      </c>
      <c r="N53" s="35">
        <v>-2.5110364100279448E-2</v>
      </c>
      <c r="O53" s="36"/>
      <c r="P53" s="36"/>
    </row>
    <row r="54" spans="1:16" s="9" customFormat="1" ht="16.149999999999999">
      <c r="A54" s="73"/>
      <c r="B54" s="74"/>
      <c r="C54" s="75"/>
      <c r="D54" s="75"/>
      <c r="E54" s="75"/>
      <c r="F54" s="75"/>
      <c r="G54" s="75"/>
      <c r="H54" s="75"/>
      <c r="I54" s="75"/>
      <c r="J54" s="75"/>
      <c r="K54" s="75"/>
      <c r="L54" s="75"/>
      <c r="M54" s="75"/>
      <c r="N54" s="76"/>
      <c r="O54" s="67"/>
      <c r="P54" s="77"/>
    </row>
    <row r="55" spans="1:16" s="26" customFormat="1" ht="16.149999999999999">
      <c r="A55" s="41"/>
      <c r="B55" s="43"/>
      <c r="C55" s="43"/>
      <c r="D55" s="43"/>
      <c r="E55" s="43"/>
      <c r="F55" s="43"/>
      <c r="G55" s="43"/>
      <c r="H55" s="43"/>
      <c r="I55" s="43"/>
      <c r="J55" s="43"/>
      <c r="K55" s="43"/>
      <c r="L55" s="43"/>
      <c r="M55" s="43"/>
      <c r="N55" s="44"/>
      <c r="O55" s="41"/>
      <c r="P55" s="41"/>
    </row>
    <row r="56" spans="1:16" s="26" customFormat="1" ht="16.149999999999999">
      <c r="A56" s="21" t="s">
        <v>75</v>
      </c>
      <c r="B56" s="45"/>
      <c r="C56" s="45"/>
      <c r="D56" s="45"/>
      <c r="E56" s="45"/>
      <c r="F56" s="45"/>
      <c r="G56" s="45"/>
      <c r="H56" s="45"/>
      <c r="I56" s="45"/>
      <c r="J56" s="45"/>
      <c r="K56" s="45"/>
      <c r="L56" s="45"/>
      <c r="M56" s="45"/>
      <c r="N56" s="46"/>
      <c r="O56" s="24"/>
      <c r="P56" s="24"/>
    </row>
    <row r="57" spans="1:16" s="9" customFormat="1" ht="64.900000000000006">
      <c r="A57" s="61" t="s">
        <v>76</v>
      </c>
      <c r="B57" s="28">
        <v>5.6</v>
      </c>
      <c r="C57" s="56">
        <v>0</v>
      </c>
      <c r="D57" s="56">
        <v>0</v>
      </c>
      <c r="E57" s="56">
        <v>0</v>
      </c>
      <c r="F57" s="56">
        <v>0</v>
      </c>
      <c r="G57" s="29">
        <v>5.6</v>
      </c>
      <c r="H57" s="28">
        <v>5.6</v>
      </c>
      <c r="I57" s="28">
        <v>0</v>
      </c>
      <c r="J57" s="28">
        <v>0</v>
      </c>
      <c r="K57" s="28">
        <v>0</v>
      </c>
      <c r="L57" s="28">
        <v>0</v>
      </c>
      <c r="M57" s="29">
        <v>5.6</v>
      </c>
      <c r="N57" s="30">
        <v>0</v>
      </c>
      <c r="O57" s="48" t="s">
        <v>77</v>
      </c>
      <c r="P57" s="78" t="s">
        <v>47</v>
      </c>
    </row>
    <row r="58" spans="1:16" s="9" customFormat="1" ht="97.15">
      <c r="A58" s="47" t="s">
        <v>78</v>
      </c>
      <c r="B58" s="28">
        <v>9.4649999999999999</v>
      </c>
      <c r="C58" s="28">
        <v>0</v>
      </c>
      <c r="D58" s="28">
        <v>0</v>
      </c>
      <c r="E58" s="28">
        <v>0</v>
      </c>
      <c r="F58" s="28">
        <v>0</v>
      </c>
      <c r="G58" s="29">
        <v>9.4649999999999999</v>
      </c>
      <c r="H58" s="28">
        <v>6.9649999999999999</v>
      </c>
      <c r="I58" s="28">
        <v>0</v>
      </c>
      <c r="J58" s="28">
        <v>0</v>
      </c>
      <c r="K58" s="28">
        <v>0</v>
      </c>
      <c r="L58" s="28">
        <v>0</v>
      </c>
      <c r="M58" s="29">
        <v>6.9649999999999999</v>
      </c>
      <c r="N58" s="30">
        <v>-0.26413100898045433</v>
      </c>
      <c r="O58" s="57" t="s">
        <v>79</v>
      </c>
      <c r="P58" s="70" t="s">
        <v>80</v>
      </c>
    </row>
    <row r="59" spans="1:16" s="9" customFormat="1" ht="48.6">
      <c r="A59" s="47" t="s">
        <v>81</v>
      </c>
      <c r="B59" s="28">
        <v>7.6449999999999996</v>
      </c>
      <c r="C59" s="28">
        <v>0</v>
      </c>
      <c r="D59" s="28">
        <v>0</v>
      </c>
      <c r="E59" s="28">
        <v>0</v>
      </c>
      <c r="F59" s="28">
        <v>0</v>
      </c>
      <c r="G59" s="29">
        <v>7.6449999999999996</v>
      </c>
      <c r="H59" s="28">
        <v>7.6449999999999996</v>
      </c>
      <c r="I59" s="28">
        <v>0</v>
      </c>
      <c r="J59" s="28">
        <v>0</v>
      </c>
      <c r="K59" s="28">
        <v>0</v>
      </c>
      <c r="L59" s="28">
        <v>0</v>
      </c>
      <c r="M59" s="29">
        <v>7.6449999999999996</v>
      </c>
      <c r="N59" s="30">
        <v>0</v>
      </c>
      <c r="O59" s="57" t="s">
        <v>82</v>
      </c>
      <c r="P59" s="57" t="s">
        <v>47</v>
      </c>
    </row>
    <row r="60" spans="1:16" s="9" customFormat="1" ht="48.6">
      <c r="A60" s="47" t="s">
        <v>83</v>
      </c>
      <c r="B60" s="28">
        <v>11</v>
      </c>
      <c r="C60" s="28">
        <v>0</v>
      </c>
      <c r="D60" s="28">
        <v>0</v>
      </c>
      <c r="E60" s="28">
        <v>0</v>
      </c>
      <c r="F60" s="28">
        <v>0</v>
      </c>
      <c r="G60" s="29">
        <v>11</v>
      </c>
      <c r="H60" s="28">
        <v>11.132999999999999</v>
      </c>
      <c r="I60" s="28">
        <v>0</v>
      </c>
      <c r="J60" s="28">
        <v>0</v>
      </c>
      <c r="K60" s="28">
        <v>0</v>
      </c>
      <c r="L60" s="28">
        <v>0</v>
      </c>
      <c r="M60" s="29">
        <v>11.132999999999999</v>
      </c>
      <c r="N60" s="30">
        <v>1.2090909090909012E-2</v>
      </c>
      <c r="O60" s="57" t="s">
        <v>84</v>
      </c>
      <c r="P60" s="57" t="s">
        <v>85</v>
      </c>
    </row>
    <row r="61" spans="1:16" s="9" customFormat="1" ht="97.15">
      <c r="A61" s="55" t="s">
        <v>86</v>
      </c>
      <c r="B61" s="28">
        <v>132.83600000000001</v>
      </c>
      <c r="C61" s="56">
        <v>0</v>
      </c>
      <c r="D61" s="56">
        <v>0</v>
      </c>
      <c r="E61" s="56">
        <v>0</v>
      </c>
      <c r="F61" s="56">
        <v>0</v>
      </c>
      <c r="G61" s="29">
        <v>132.83600000000001</v>
      </c>
      <c r="H61" s="28">
        <v>122.836</v>
      </c>
      <c r="I61" s="28">
        <v>0</v>
      </c>
      <c r="J61" s="28">
        <v>0</v>
      </c>
      <c r="K61" s="28">
        <v>0</v>
      </c>
      <c r="L61" s="28">
        <v>0</v>
      </c>
      <c r="M61" s="29">
        <v>122.836</v>
      </c>
      <c r="N61" s="30">
        <v>-7.5280797374205885E-2</v>
      </c>
      <c r="O61" s="57" t="s">
        <v>87</v>
      </c>
      <c r="P61" s="70" t="s">
        <v>88</v>
      </c>
    </row>
    <row r="62" spans="1:16" s="9" customFormat="1" ht="32.450000000000003">
      <c r="A62" s="55" t="s">
        <v>89</v>
      </c>
      <c r="B62" s="28">
        <v>10</v>
      </c>
      <c r="C62" s="56">
        <v>0</v>
      </c>
      <c r="D62" s="56">
        <v>0</v>
      </c>
      <c r="E62" s="56">
        <v>0</v>
      </c>
      <c r="F62" s="56">
        <v>0</v>
      </c>
      <c r="G62" s="29">
        <v>10</v>
      </c>
      <c r="H62" s="28">
        <v>10</v>
      </c>
      <c r="I62" s="28">
        <v>0</v>
      </c>
      <c r="J62" s="28">
        <v>0</v>
      </c>
      <c r="K62" s="28">
        <v>0</v>
      </c>
      <c r="L62" s="28">
        <v>0</v>
      </c>
      <c r="M62" s="29">
        <v>10</v>
      </c>
      <c r="N62" s="30">
        <v>0</v>
      </c>
      <c r="O62" s="57" t="s">
        <v>90</v>
      </c>
      <c r="P62" s="70" t="s">
        <v>47</v>
      </c>
    </row>
    <row r="63" spans="1:16" s="9" customFormat="1" ht="48.6">
      <c r="A63" s="55" t="s">
        <v>91</v>
      </c>
      <c r="B63" s="28">
        <v>103.44799999999999</v>
      </c>
      <c r="C63" s="56">
        <v>0</v>
      </c>
      <c r="D63" s="56">
        <v>0</v>
      </c>
      <c r="E63" s="56">
        <v>0</v>
      </c>
      <c r="F63" s="56">
        <v>0</v>
      </c>
      <c r="G63" s="29">
        <v>103.44799999999999</v>
      </c>
      <c r="H63" s="28">
        <v>104.94799999999999</v>
      </c>
      <c r="I63" s="28">
        <v>0</v>
      </c>
      <c r="J63" s="28">
        <v>0</v>
      </c>
      <c r="K63" s="28">
        <v>0</v>
      </c>
      <c r="L63" s="28">
        <v>0</v>
      </c>
      <c r="M63" s="29">
        <v>104.94799999999999</v>
      </c>
      <c r="N63" s="30">
        <v>1.450003866676978E-2</v>
      </c>
      <c r="O63" s="57" t="s">
        <v>92</v>
      </c>
      <c r="P63" s="70" t="s">
        <v>88</v>
      </c>
    </row>
    <row r="64" spans="1:16" s="9" customFormat="1" ht="162">
      <c r="A64" s="55" t="s">
        <v>93</v>
      </c>
      <c r="B64" s="28">
        <v>15.814</v>
      </c>
      <c r="C64" s="56">
        <v>0</v>
      </c>
      <c r="D64" s="56">
        <v>0</v>
      </c>
      <c r="E64" s="56">
        <v>0</v>
      </c>
      <c r="F64" s="56">
        <v>0</v>
      </c>
      <c r="G64" s="29">
        <v>15.814</v>
      </c>
      <c r="H64" s="28">
        <v>15.391999999999999</v>
      </c>
      <c r="I64" s="28">
        <v>0</v>
      </c>
      <c r="J64" s="28">
        <v>0</v>
      </c>
      <c r="K64" s="28">
        <v>0</v>
      </c>
      <c r="L64" s="28">
        <v>0</v>
      </c>
      <c r="M64" s="29">
        <v>15.391999999999999</v>
      </c>
      <c r="N64" s="30">
        <v>-2.6685215631718769E-2</v>
      </c>
      <c r="O64" s="57" t="s">
        <v>94</v>
      </c>
      <c r="P64" s="70" t="s">
        <v>95</v>
      </c>
    </row>
    <row r="65" spans="1:16" s="9" customFormat="1" ht="48.6">
      <c r="A65" s="55" t="s">
        <v>96</v>
      </c>
      <c r="B65" s="28">
        <v>38.31</v>
      </c>
      <c r="C65" s="56">
        <v>0</v>
      </c>
      <c r="D65" s="56">
        <v>0</v>
      </c>
      <c r="E65" s="56">
        <v>0</v>
      </c>
      <c r="F65" s="56">
        <v>0</v>
      </c>
      <c r="G65" s="29">
        <v>38.31</v>
      </c>
      <c r="H65" s="28">
        <v>40.29</v>
      </c>
      <c r="I65" s="28">
        <v>0</v>
      </c>
      <c r="J65" s="28">
        <v>0</v>
      </c>
      <c r="K65" s="28">
        <v>0</v>
      </c>
      <c r="L65" s="28">
        <v>0</v>
      </c>
      <c r="M65" s="29">
        <v>40.29</v>
      </c>
      <c r="N65" s="30">
        <v>5.1683633516053165E-2</v>
      </c>
      <c r="O65" s="57" t="s">
        <v>97</v>
      </c>
      <c r="P65" s="70" t="s">
        <v>98</v>
      </c>
    </row>
    <row r="66" spans="1:16" s="9" customFormat="1" ht="97.15">
      <c r="A66" s="55" t="s">
        <v>99</v>
      </c>
      <c r="B66" s="28">
        <v>38.654000000000003</v>
      </c>
      <c r="C66" s="56">
        <v>0</v>
      </c>
      <c r="D66" s="56">
        <v>0</v>
      </c>
      <c r="E66" s="56">
        <v>0</v>
      </c>
      <c r="F66" s="56">
        <v>0</v>
      </c>
      <c r="G66" s="29">
        <v>38.654000000000003</v>
      </c>
      <c r="H66" s="28">
        <v>60.654000000000003</v>
      </c>
      <c r="I66" s="28">
        <v>0</v>
      </c>
      <c r="J66" s="28">
        <v>0</v>
      </c>
      <c r="K66" s="28">
        <v>0</v>
      </c>
      <c r="L66" s="28">
        <v>0</v>
      </c>
      <c r="M66" s="29">
        <v>60.654000000000003</v>
      </c>
      <c r="N66" s="30">
        <v>0.56915196357427433</v>
      </c>
      <c r="O66" s="57" t="s">
        <v>100</v>
      </c>
      <c r="P66" s="70" t="s">
        <v>101</v>
      </c>
    </row>
    <row r="67" spans="1:16" s="9" customFormat="1" ht="145.9">
      <c r="A67" s="55" t="s">
        <v>102</v>
      </c>
      <c r="B67" s="28">
        <v>4.8739999999999997</v>
      </c>
      <c r="C67" s="56">
        <v>0</v>
      </c>
      <c r="D67" s="56">
        <v>0</v>
      </c>
      <c r="E67" s="56">
        <v>0</v>
      </c>
      <c r="F67" s="56">
        <v>0</v>
      </c>
      <c r="G67" s="29">
        <v>4.8739999999999997</v>
      </c>
      <c r="H67" s="28">
        <v>4.274</v>
      </c>
      <c r="I67" s="28">
        <v>0</v>
      </c>
      <c r="J67" s="28">
        <v>0</v>
      </c>
      <c r="K67" s="28">
        <v>0</v>
      </c>
      <c r="L67" s="28">
        <v>0</v>
      </c>
      <c r="M67" s="29">
        <v>4.274</v>
      </c>
      <c r="N67" s="30">
        <v>-0.12310217480508816</v>
      </c>
      <c r="O67" s="57" t="s">
        <v>103</v>
      </c>
      <c r="P67" s="70" t="s">
        <v>104</v>
      </c>
    </row>
    <row r="68" spans="1:16" s="9" customFormat="1" ht="48.6">
      <c r="A68" s="55" t="s">
        <v>105</v>
      </c>
      <c r="B68" s="28">
        <v>2.2360000000000002</v>
      </c>
      <c r="C68" s="56">
        <v>0</v>
      </c>
      <c r="D68" s="56">
        <v>0</v>
      </c>
      <c r="E68" s="56">
        <v>0</v>
      </c>
      <c r="F68" s="56">
        <v>0</v>
      </c>
      <c r="G68" s="29">
        <v>2.2360000000000002</v>
      </c>
      <c r="H68" s="28">
        <v>2.2360000000000002</v>
      </c>
      <c r="I68" s="28">
        <v>0</v>
      </c>
      <c r="J68" s="28">
        <v>0</v>
      </c>
      <c r="K68" s="28">
        <v>0</v>
      </c>
      <c r="L68" s="28">
        <v>0</v>
      </c>
      <c r="M68" s="29">
        <v>2.2360000000000002</v>
      </c>
      <c r="N68" s="30">
        <v>0</v>
      </c>
      <c r="O68" s="57" t="s">
        <v>106</v>
      </c>
      <c r="P68" s="57" t="s">
        <v>47</v>
      </c>
    </row>
    <row r="69" spans="1:16" s="9" customFormat="1" ht="129.6">
      <c r="A69" s="55" t="s">
        <v>51</v>
      </c>
      <c r="B69" s="28">
        <v>27.18</v>
      </c>
      <c r="C69" s="56">
        <v>0</v>
      </c>
      <c r="D69" s="56">
        <v>0</v>
      </c>
      <c r="E69" s="56">
        <v>0</v>
      </c>
      <c r="F69" s="56">
        <v>0</v>
      </c>
      <c r="G69" s="29">
        <v>27.18</v>
      </c>
      <c r="H69" s="28">
        <v>24.474</v>
      </c>
      <c r="I69" s="28">
        <v>0</v>
      </c>
      <c r="J69" s="28">
        <v>0</v>
      </c>
      <c r="K69" s="28">
        <v>0</v>
      </c>
      <c r="L69" s="28">
        <v>0</v>
      </c>
      <c r="M69" s="29">
        <v>24.474</v>
      </c>
      <c r="N69" s="30">
        <v>-9.9558498896247224E-2</v>
      </c>
      <c r="O69" s="37" t="s">
        <v>107</v>
      </c>
      <c r="P69" s="57" t="s">
        <v>108</v>
      </c>
    </row>
    <row r="70" spans="1:16" s="26" customFormat="1" ht="16.149999999999999">
      <c r="A70" s="33" t="s">
        <v>30</v>
      </c>
      <c r="B70" s="29">
        <v>407.06200000000007</v>
      </c>
      <c r="C70" s="34">
        <v>0</v>
      </c>
      <c r="D70" s="34">
        <v>0</v>
      </c>
      <c r="E70" s="34">
        <v>0</v>
      </c>
      <c r="F70" s="34">
        <v>0</v>
      </c>
      <c r="G70" s="34">
        <v>407.06200000000007</v>
      </c>
      <c r="H70" s="34">
        <v>416.447</v>
      </c>
      <c r="I70" s="34">
        <v>0</v>
      </c>
      <c r="J70" s="34">
        <v>0</v>
      </c>
      <c r="K70" s="34">
        <v>0</v>
      </c>
      <c r="L70" s="34">
        <v>0</v>
      </c>
      <c r="M70" s="34">
        <v>416.447</v>
      </c>
      <c r="N70" s="35">
        <v>2.3055455925632785E-2</v>
      </c>
      <c r="O70" s="36"/>
      <c r="P70" s="36"/>
    </row>
    <row r="71" spans="1:16" s="9" customFormat="1" ht="16.149999999999999">
      <c r="A71" s="15"/>
      <c r="B71" s="38"/>
      <c r="C71" s="38"/>
      <c r="D71" s="38"/>
      <c r="E71" s="38"/>
      <c r="F71" s="38"/>
      <c r="G71" s="39"/>
      <c r="H71" s="39"/>
      <c r="I71" s="39"/>
      <c r="J71" s="39"/>
      <c r="K71" s="39"/>
      <c r="L71" s="39"/>
      <c r="M71" s="39"/>
      <c r="N71" s="40"/>
      <c r="O71" s="19"/>
      <c r="P71" s="20"/>
    </row>
    <row r="72" spans="1:16" s="26" customFormat="1" ht="16.899999999999999" thickBot="1">
      <c r="A72" s="62"/>
      <c r="B72" s="50"/>
      <c r="C72" s="50"/>
      <c r="D72" s="50"/>
      <c r="E72" s="50"/>
      <c r="F72" s="50"/>
      <c r="G72" s="50"/>
      <c r="H72" s="50"/>
      <c r="I72" s="50"/>
      <c r="J72" s="50"/>
      <c r="K72" s="50"/>
      <c r="L72" s="50"/>
      <c r="M72" s="50"/>
      <c r="N72" s="51"/>
      <c r="O72" s="41"/>
      <c r="P72" s="41"/>
    </row>
    <row r="73" spans="1:16" s="26" customFormat="1" ht="32.450000000000003">
      <c r="A73" s="52" t="s">
        <v>109</v>
      </c>
      <c r="B73" s="53"/>
      <c r="C73" s="53"/>
      <c r="D73" s="53"/>
      <c r="E73" s="53"/>
      <c r="F73" s="53"/>
      <c r="G73" s="53"/>
      <c r="H73" s="53"/>
      <c r="I73" s="53"/>
      <c r="J73" s="53"/>
      <c r="K73" s="53"/>
      <c r="L73" s="53"/>
      <c r="M73" s="53"/>
      <c r="N73" s="54"/>
      <c r="O73" s="79"/>
      <c r="P73" s="79"/>
    </row>
    <row r="74" spans="1:16" s="9" customFormat="1" ht="38.25" customHeight="1">
      <c r="A74" s="55" t="s">
        <v>110</v>
      </c>
      <c r="B74" s="28">
        <v>25</v>
      </c>
      <c r="C74" s="56">
        <v>0</v>
      </c>
      <c r="D74" s="56">
        <v>0</v>
      </c>
      <c r="E74" s="56">
        <v>0</v>
      </c>
      <c r="F74" s="56">
        <v>0</v>
      </c>
      <c r="G74" s="29">
        <v>25</v>
      </c>
      <c r="H74" s="28">
        <v>38.868000000000002</v>
      </c>
      <c r="I74" s="28">
        <v>0</v>
      </c>
      <c r="J74" s="28">
        <v>0</v>
      </c>
      <c r="K74" s="28">
        <v>0</v>
      </c>
      <c r="L74" s="28">
        <v>0</v>
      </c>
      <c r="M74" s="29">
        <v>38.868000000000002</v>
      </c>
      <c r="N74" s="30">
        <v>0.5547200000000001</v>
      </c>
      <c r="O74" s="80" t="s">
        <v>111</v>
      </c>
      <c r="P74" s="80" t="s">
        <v>112</v>
      </c>
    </row>
    <row r="75" spans="1:16" s="9" customFormat="1" ht="32.450000000000003">
      <c r="A75" s="81" t="s">
        <v>113</v>
      </c>
      <c r="B75" s="28">
        <v>10.57</v>
      </c>
      <c r="C75" s="82">
        <v>0</v>
      </c>
      <c r="D75" s="82">
        <v>0</v>
      </c>
      <c r="E75" s="82">
        <v>0</v>
      </c>
      <c r="F75" s="82">
        <v>0</v>
      </c>
      <c r="G75" s="29">
        <v>10.57</v>
      </c>
      <c r="H75" s="28">
        <v>10.57</v>
      </c>
      <c r="I75" s="28">
        <v>0</v>
      </c>
      <c r="J75" s="28">
        <v>0</v>
      </c>
      <c r="K75" s="28">
        <v>0</v>
      </c>
      <c r="L75" s="28">
        <v>0</v>
      </c>
      <c r="M75" s="29">
        <v>10.57</v>
      </c>
      <c r="N75" s="30">
        <v>0</v>
      </c>
      <c r="O75" s="57" t="s">
        <v>114</v>
      </c>
      <c r="P75" s="83" t="s">
        <v>47</v>
      </c>
    </row>
    <row r="76" spans="1:16" s="9" customFormat="1" ht="64.900000000000006">
      <c r="A76" s="61" t="s">
        <v>115</v>
      </c>
      <c r="B76" s="28">
        <v>9.282</v>
      </c>
      <c r="C76" s="56">
        <v>0</v>
      </c>
      <c r="D76" s="56">
        <v>0</v>
      </c>
      <c r="E76" s="56">
        <v>0</v>
      </c>
      <c r="F76" s="56">
        <v>0</v>
      </c>
      <c r="G76" s="29">
        <v>9.282</v>
      </c>
      <c r="H76" s="28">
        <v>9.282</v>
      </c>
      <c r="I76" s="28">
        <v>0</v>
      </c>
      <c r="J76" s="28">
        <v>0</v>
      </c>
      <c r="K76" s="28">
        <v>0</v>
      </c>
      <c r="L76" s="28">
        <v>0</v>
      </c>
      <c r="M76" s="29">
        <v>9.282</v>
      </c>
      <c r="N76" s="30">
        <v>0</v>
      </c>
      <c r="O76" s="57" t="s">
        <v>116</v>
      </c>
      <c r="P76" s="83" t="s">
        <v>47</v>
      </c>
    </row>
    <row r="77" spans="1:16" s="9" customFormat="1" ht="48.6">
      <c r="A77" s="61" t="s">
        <v>117</v>
      </c>
      <c r="B77" s="28">
        <v>3.1</v>
      </c>
      <c r="C77" s="56">
        <v>0</v>
      </c>
      <c r="D77" s="56">
        <v>0</v>
      </c>
      <c r="E77" s="56">
        <v>0</v>
      </c>
      <c r="F77" s="56">
        <v>0</v>
      </c>
      <c r="G77" s="29">
        <v>3.1</v>
      </c>
      <c r="H77" s="28">
        <v>3.1</v>
      </c>
      <c r="I77" s="28">
        <v>0</v>
      </c>
      <c r="J77" s="28">
        <v>0</v>
      </c>
      <c r="K77" s="28">
        <v>0</v>
      </c>
      <c r="L77" s="28">
        <v>0</v>
      </c>
      <c r="M77" s="29">
        <v>3.1</v>
      </c>
      <c r="N77" s="30">
        <v>0</v>
      </c>
      <c r="O77" s="57" t="s">
        <v>118</v>
      </c>
      <c r="P77" s="83" t="s">
        <v>47</v>
      </c>
    </row>
    <row r="78" spans="1:16" s="9" customFormat="1" ht="81">
      <c r="A78" s="61" t="s">
        <v>119</v>
      </c>
      <c r="B78" s="28">
        <v>2</v>
      </c>
      <c r="C78" s="56">
        <v>0</v>
      </c>
      <c r="D78" s="56">
        <v>0</v>
      </c>
      <c r="E78" s="56">
        <v>0</v>
      </c>
      <c r="F78" s="56">
        <v>0</v>
      </c>
      <c r="G78" s="29">
        <v>2</v>
      </c>
      <c r="H78" s="28">
        <v>2</v>
      </c>
      <c r="I78" s="28">
        <v>0</v>
      </c>
      <c r="J78" s="28">
        <v>0</v>
      </c>
      <c r="K78" s="28">
        <v>0</v>
      </c>
      <c r="L78" s="28">
        <v>0</v>
      </c>
      <c r="M78" s="29">
        <v>2</v>
      </c>
      <c r="N78" s="30">
        <v>0</v>
      </c>
      <c r="O78" s="57" t="s">
        <v>120</v>
      </c>
      <c r="P78" s="83" t="s">
        <v>47</v>
      </c>
    </row>
    <row r="79" spans="1:16" s="9" customFormat="1" ht="32.450000000000003">
      <c r="A79" s="61" t="s">
        <v>121</v>
      </c>
      <c r="B79" s="28">
        <v>2.9340000000000002</v>
      </c>
      <c r="C79" s="56">
        <v>0</v>
      </c>
      <c r="D79" s="56">
        <v>0</v>
      </c>
      <c r="E79" s="56">
        <v>0</v>
      </c>
      <c r="F79" s="56">
        <v>0</v>
      </c>
      <c r="G79" s="29">
        <v>2.9340000000000002</v>
      </c>
      <c r="H79" s="28">
        <v>2.9340000000000002</v>
      </c>
      <c r="I79" s="28">
        <v>0</v>
      </c>
      <c r="J79" s="28">
        <v>0</v>
      </c>
      <c r="K79" s="28">
        <v>0</v>
      </c>
      <c r="L79" s="28">
        <v>0</v>
      </c>
      <c r="M79" s="29">
        <v>2.9340000000000002</v>
      </c>
      <c r="N79" s="30">
        <v>0</v>
      </c>
      <c r="O79" s="57" t="s">
        <v>122</v>
      </c>
      <c r="P79" s="83" t="s">
        <v>47</v>
      </c>
    </row>
    <row r="80" spans="1:16" s="9" customFormat="1" ht="81">
      <c r="A80" s="61" t="s">
        <v>123</v>
      </c>
      <c r="B80" s="28">
        <v>3.3</v>
      </c>
      <c r="C80" s="56">
        <v>0</v>
      </c>
      <c r="D80" s="56">
        <v>0</v>
      </c>
      <c r="E80" s="56">
        <v>0</v>
      </c>
      <c r="F80" s="56">
        <v>0</v>
      </c>
      <c r="G80" s="29">
        <v>3.3</v>
      </c>
      <c r="H80" s="28">
        <v>3.3</v>
      </c>
      <c r="I80" s="28">
        <v>0</v>
      </c>
      <c r="J80" s="28">
        <v>0</v>
      </c>
      <c r="K80" s="28">
        <v>0</v>
      </c>
      <c r="L80" s="28">
        <v>0</v>
      </c>
      <c r="M80" s="29">
        <v>3.3</v>
      </c>
      <c r="N80" s="30">
        <v>0</v>
      </c>
      <c r="O80" s="57" t="s">
        <v>124</v>
      </c>
      <c r="P80" s="83" t="s">
        <v>47</v>
      </c>
    </row>
    <row r="81" spans="1:16" s="9" customFormat="1" ht="64.900000000000006">
      <c r="A81" s="61" t="s">
        <v>45</v>
      </c>
      <c r="B81" s="28">
        <v>30.962</v>
      </c>
      <c r="C81" s="56">
        <v>0</v>
      </c>
      <c r="D81" s="56">
        <v>0</v>
      </c>
      <c r="E81" s="56">
        <v>0</v>
      </c>
      <c r="F81" s="56">
        <v>0</v>
      </c>
      <c r="G81" s="29">
        <v>30.962</v>
      </c>
      <c r="H81" s="28">
        <v>31.934999999999999</v>
      </c>
      <c r="I81" s="28">
        <v>0</v>
      </c>
      <c r="J81" s="28">
        <v>0</v>
      </c>
      <c r="K81" s="28">
        <v>0</v>
      </c>
      <c r="L81" s="28">
        <v>0</v>
      </c>
      <c r="M81" s="29">
        <v>31.934999999999999</v>
      </c>
      <c r="N81" s="30">
        <v>3.1425618500096862E-2</v>
      </c>
      <c r="O81" s="57" t="s">
        <v>125</v>
      </c>
      <c r="P81" s="83" t="s">
        <v>126</v>
      </c>
    </row>
    <row r="82" spans="1:16" s="26" customFormat="1" ht="16.149999999999999">
      <c r="A82" s="33" t="s">
        <v>30</v>
      </c>
      <c r="B82" s="29">
        <v>87.147999999999996</v>
      </c>
      <c r="C82" s="34">
        <v>0</v>
      </c>
      <c r="D82" s="34">
        <v>0</v>
      </c>
      <c r="E82" s="34">
        <v>0</v>
      </c>
      <c r="F82" s="34">
        <v>0</v>
      </c>
      <c r="G82" s="34">
        <v>87.147999999999996</v>
      </c>
      <c r="H82" s="34">
        <v>101.989</v>
      </c>
      <c r="I82" s="34">
        <v>0</v>
      </c>
      <c r="J82" s="34">
        <v>0</v>
      </c>
      <c r="K82" s="34">
        <v>0</v>
      </c>
      <c r="L82" s="34">
        <v>0</v>
      </c>
      <c r="M82" s="34">
        <v>101.989</v>
      </c>
      <c r="N82" s="35">
        <v>0.17029650709138489</v>
      </c>
      <c r="O82" s="36"/>
      <c r="P82" s="36"/>
    </row>
    <row r="83" spans="1:16" s="9" customFormat="1" ht="16.149999999999999">
      <c r="A83" s="73"/>
      <c r="B83" s="74"/>
      <c r="C83" s="75"/>
      <c r="D83" s="75"/>
      <c r="E83" s="75"/>
      <c r="F83" s="75"/>
      <c r="G83" s="75"/>
      <c r="H83" s="75"/>
      <c r="I83" s="75"/>
      <c r="J83" s="75"/>
      <c r="K83" s="75"/>
      <c r="L83" s="75"/>
      <c r="M83" s="75"/>
      <c r="N83" s="76"/>
      <c r="O83" s="67"/>
      <c r="P83" s="77"/>
    </row>
    <row r="84" spans="1:16" s="26" customFormat="1" ht="16.899999999999999" thickBot="1">
      <c r="A84" s="62"/>
      <c r="B84" s="50"/>
      <c r="C84" s="50"/>
      <c r="D84" s="50"/>
      <c r="E84" s="50"/>
      <c r="F84" s="50"/>
      <c r="G84" s="50"/>
      <c r="H84" s="50"/>
      <c r="I84" s="50"/>
      <c r="J84" s="50"/>
      <c r="K84" s="50"/>
      <c r="L84" s="50"/>
      <c r="M84" s="50"/>
      <c r="N84" s="51"/>
      <c r="O84" s="41"/>
      <c r="P84" s="41"/>
    </row>
    <row r="85" spans="1:16" s="26" customFormat="1" ht="16.149999999999999">
      <c r="A85" s="52" t="s">
        <v>127</v>
      </c>
      <c r="B85" s="53"/>
      <c r="C85" s="53"/>
      <c r="D85" s="53"/>
      <c r="E85" s="53"/>
      <c r="F85" s="53"/>
      <c r="G85" s="53"/>
      <c r="H85" s="53"/>
      <c r="I85" s="53"/>
      <c r="J85" s="53"/>
      <c r="K85" s="53"/>
      <c r="L85" s="53"/>
      <c r="M85" s="53"/>
      <c r="N85" s="54"/>
      <c r="O85" s="79"/>
      <c r="P85" s="79"/>
    </row>
    <row r="86" spans="1:16" s="9" customFormat="1" ht="113.45">
      <c r="A86" s="61" t="s">
        <v>128</v>
      </c>
      <c r="B86" s="28">
        <v>62</v>
      </c>
      <c r="C86" s="56">
        <v>0</v>
      </c>
      <c r="D86" s="56">
        <v>0</v>
      </c>
      <c r="E86" s="56">
        <v>0</v>
      </c>
      <c r="F86" s="56">
        <v>0</v>
      </c>
      <c r="G86" s="29">
        <v>62</v>
      </c>
      <c r="H86" s="28">
        <v>62</v>
      </c>
      <c r="I86" s="28">
        <v>0</v>
      </c>
      <c r="J86" s="28">
        <v>0</v>
      </c>
      <c r="K86" s="28">
        <v>0</v>
      </c>
      <c r="L86" s="28">
        <v>0</v>
      </c>
      <c r="M86" s="29">
        <v>62</v>
      </c>
      <c r="N86" s="30">
        <v>0</v>
      </c>
      <c r="O86" s="48" t="s">
        <v>129</v>
      </c>
      <c r="P86" s="48" t="s">
        <v>47</v>
      </c>
    </row>
    <row r="87" spans="1:16" s="9" customFormat="1" ht="64.900000000000006">
      <c r="A87" s="61" t="s">
        <v>130</v>
      </c>
      <c r="B87" s="28">
        <v>36.994999999999997</v>
      </c>
      <c r="C87" s="56">
        <v>0</v>
      </c>
      <c r="D87" s="56">
        <v>0</v>
      </c>
      <c r="E87" s="56">
        <v>0</v>
      </c>
      <c r="F87" s="56">
        <v>0</v>
      </c>
      <c r="G87" s="29">
        <v>36.994999999999997</v>
      </c>
      <c r="H87" s="28">
        <v>37.082999999999998</v>
      </c>
      <c r="I87" s="28">
        <v>0</v>
      </c>
      <c r="J87" s="28">
        <v>0</v>
      </c>
      <c r="K87" s="28">
        <v>0</v>
      </c>
      <c r="L87" s="28">
        <v>0</v>
      </c>
      <c r="M87" s="29">
        <v>37.082999999999998</v>
      </c>
      <c r="N87" s="30">
        <v>2.3786998243006076E-3</v>
      </c>
      <c r="O87" s="48" t="s">
        <v>131</v>
      </c>
      <c r="P87" s="48" t="s">
        <v>132</v>
      </c>
    </row>
    <row r="88" spans="1:16" s="26" customFormat="1" ht="16.149999999999999">
      <c r="A88" s="33" t="s">
        <v>30</v>
      </c>
      <c r="B88" s="29">
        <v>98.995000000000005</v>
      </c>
      <c r="C88" s="29">
        <v>0</v>
      </c>
      <c r="D88" s="29">
        <v>0</v>
      </c>
      <c r="E88" s="29">
        <v>0</v>
      </c>
      <c r="F88" s="29">
        <v>0</v>
      </c>
      <c r="G88" s="29">
        <v>98.995000000000005</v>
      </c>
      <c r="H88" s="29">
        <v>99.082999999999998</v>
      </c>
      <c r="I88" s="29">
        <v>0</v>
      </c>
      <c r="J88" s="29">
        <v>0</v>
      </c>
      <c r="K88" s="29">
        <v>0</v>
      </c>
      <c r="L88" s="29">
        <v>0</v>
      </c>
      <c r="M88" s="29">
        <v>99.082999999999998</v>
      </c>
      <c r="N88" s="35">
        <v>8.8893378453451044E-4</v>
      </c>
      <c r="O88" s="36"/>
      <c r="P88" s="36"/>
    </row>
    <row r="89" spans="1:16" s="9" customFormat="1" ht="16.149999999999999">
      <c r="A89" s="73"/>
      <c r="B89" s="74"/>
      <c r="C89" s="75"/>
      <c r="D89" s="75"/>
      <c r="E89" s="75"/>
      <c r="F89" s="75"/>
      <c r="G89" s="75"/>
      <c r="H89" s="75"/>
      <c r="I89" s="75"/>
      <c r="J89" s="75"/>
      <c r="K89" s="75"/>
      <c r="L89" s="75"/>
      <c r="M89" s="75"/>
      <c r="N89" s="76"/>
      <c r="O89" s="67"/>
      <c r="P89" s="77"/>
    </row>
    <row r="90" spans="1:16" s="26" customFormat="1" ht="16.899999999999999" thickBot="1">
      <c r="A90" s="62"/>
      <c r="B90" s="50"/>
      <c r="C90" s="50"/>
      <c r="D90" s="50"/>
      <c r="E90" s="50"/>
      <c r="F90" s="50"/>
      <c r="G90" s="50"/>
      <c r="H90" s="50"/>
      <c r="I90" s="50"/>
      <c r="J90" s="50"/>
      <c r="K90" s="50"/>
      <c r="L90" s="50"/>
      <c r="M90" s="50"/>
      <c r="N90" s="51"/>
      <c r="O90" s="41"/>
      <c r="P90" s="41"/>
    </row>
    <row r="91" spans="1:16" s="26" customFormat="1" ht="16.149999999999999">
      <c r="A91" s="52" t="s">
        <v>133</v>
      </c>
      <c r="B91" s="53"/>
      <c r="C91" s="53"/>
      <c r="D91" s="53"/>
      <c r="E91" s="53"/>
      <c r="F91" s="53"/>
      <c r="G91" s="53"/>
      <c r="H91" s="53"/>
      <c r="I91" s="53"/>
      <c r="J91" s="53"/>
      <c r="K91" s="53"/>
      <c r="L91" s="53"/>
      <c r="M91" s="53"/>
      <c r="N91" s="54"/>
      <c r="O91" s="79"/>
      <c r="P91" s="79"/>
    </row>
    <row r="92" spans="1:16" s="9" customFormat="1" ht="64.900000000000006">
      <c r="A92" s="61" t="s">
        <v>133</v>
      </c>
      <c r="B92" s="28">
        <v>32.933</v>
      </c>
      <c r="C92" s="56">
        <v>1.7170000000000001</v>
      </c>
      <c r="D92" s="56">
        <v>0</v>
      </c>
      <c r="E92" s="56">
        <v>0</v>
      </c>
      <c r="F92" s="56">
        <v>0</v>
      </c>
      <c r="G92" s="29">
        <v>34.65</v>
      </c>
      <c r="H92" s="28">
        <v>33.046999999999997</v>
      </c>
      <c r="I92" s="28">
        <v>1.6020000000000001</v>
      </c>
      <c r="J92" s="28">
        <v>0</v>
      </c>
      <c r="K92" s="28">
        <v>0</v>
      </c>
      <c r="L92" s="28">
        <v>0</v>
      </c>
      <c r="M92" s="29">
        <v>34.648999999999994</v>
      </c>
      <c r="N92" s="30">
        <v>-2.8860028860166662E-5</v>
      </c>
      <c r="O92" s="48" t="s">
        <v>134</v>
      </c>
      <c r="P92" s="48" t="s">
        <v>47</v>
      </c>
    </row>
    <row r="93" spans="1:16" s="26" customFormat="1" ht="16.149999999999999">
      <c r="A93" s="33" t="s">
        <v>30</v>
      </c>
      <c r="B93" s="29">
        <v>32.933</v>
      </c>
      <c r="C93" s="34">
        <v>1.7170000000000001</v>
      </c>
      <c r="D93" s="34">
        <v>0</v>
      </c>
      <c r="E93" s="34">
        <v>0</v>
      </c>
      <c r="F93" s="34">
        <v>0</v>
      </c>
      <c r="G93" s="34">
        <v>34.65</v>
      </c>
      <c r="H93" s="34">
        <v>33.046999999999997</v>
      </c>
      <c r="I93" s="34">
        <v>1.6020000000000001</v>
      </c>
      <c r="J93" s="34">
        <v>0</v>
      </c>
      <c r="K93" s="34">
        <v>0</v>
      </c>
      <c r="L93" s="34">
        <v>0</v>
      </c>
      <c r="M93" s="34">
        <v>34.648999999999994</v>
      </c>
      <c r="N93" s="35">
        <v>-2.8860028860166662E-5</v>
      </c>
      <c r="O93" s="36"/>
      <c r="P93" s="36"/>
    </row>
    <row r="94" spans="1:16" s="9" customFormat="1" ht="16.149999999999999">
      <c r="A94" s="73"/>
      <c r="B94" s="74"/>
      <c r="C94" s="75"/>
      <c r="D94" s="75"/>
      <c r="E94" s="75"/>
      <c r="F94" s="75"/>
      <c r="G94" s="75"/>
      <c r="H94" s="75"/>
      <c r="I94" s="75"/>
      <c r="J94" s="75"/>
      <c r="K94" s="75"/>
      <c r="L94" s="75"/>
      <c r="M94" s="75"/>
      <c r="N94" s="84"/>
      <c r="O94" s="85"/>
      <c r="P94" s="85"/>
    </row>
    <row r="95" spans="1:16" s="26" customFormat="1" ht="16.899999999999999" thickBot="1">
      <c r="A95" s="62"/>
      <c r="B95" s="50"/>
      <c r="C95" s="50"/>
      <c r="D95" s="50"/>
      <c r="E95" s="50"/>
      <c r="F95" s="50"/>
      <c r="G95" s="50"/>
      <c r="H95" s="50"/>
      <c r="I95" s="50"/>
      <c r="J95" s="50"/>
      <c r="K95" s="50"/>
      <c r="L95" s="50"/>
      <c r="M95" s="50"/>
      <c r="N95" s="51"/>
      <c r="O95" s="41"/>
      <c r="P95" s="41"/>
    </row>
    <row r="96" spans="1:16" s="26" customFormat="1" ht="16.149999999999999">
      <c r="A96" s="52" t="s">
        <v>135</v>
      </c>
      <c r="B96" s="53"/>
      <c r="C96" s="53"/>
      <c r="D96" s="53"/>
      <c r="E96" s="53"/>
      <c r="F96" s="53"/>
      <c r="G96" s="53"/>
      <c r="H96" s="53"/>
      <c r="I96" s="53"/>
      <c r="J96" s="53"/>
      <c r="K96" s="53"/>
      <c r="L96" s="53"/>
      <c r="M96" s="53"/>
      <c r="N96" s="54"/>
      <c r="O96" s="79"/>
      <c r="P96" s="79"/>
    </row>
    <row r="97" spans="1:16" s="9" customFormat="1" ht="81">
      <c r="A97" s="61" t="s">
        <v>135</v>
      </c>
      <c r="B97" s="28">
        <v>16.530999999999999</v>
      </c>
      <c r="C97" s="56">
        <v>0</v>
      </c>
      <c r="D97" s="56">
        <v>0</v>
      </c>
      <c r="E97" s="56">
        <v>0</v>
      </c>
      <c r="F97" s="56">
        <v>0</v>
      </c>
      <c r="G97" s="29">
        <v>16.530999999999999</v>
      </c>
      <c r="H97" s="28">
        <v>15.590999999999999</v>
      </c>
      <c r="I97" s="28">
        <v>0</v>
      </c>
      <c r="J97" s="28">
        <v>0</v>
      </c>
      <c r="K97" s="28">
        <v>0</v>
      </c>
      <c r="L97" s="28">
        <v>0</v>
      </c>
      <c r="M97" s="29">
        <v>15.590999999999999</v>
      </c>
      <c r="N97" s="30">
        <v>-5.686286371060429E-2</v>
      </c>
      <c r="O97" s="48" t="s">
        <v>136</v>
      </c>
      <c r="P97" s="48" t="s">
        <v>137</v>
      </c>
    </row>
    <row r="98" spans="1:16" s="26" customFormat="1" ht="16.149999999999999">
      <c r="A98" s="33" t="s">
        <v>30</v>
      </c>
      <c r="B98" s="29">
        <v>16.530999999999999</v>
      </c>
      <c r="C98" s="34">
        <v>0</v>
      </c>
      <c r="D98" s="34">
        <v>0</v>
      </c>
      <c r="E98" s="34">
        <v>0</v>
      </c>
      <c r="F98" s="34">
        <v>0</v>
      </c>
      <c r="G98" s="34">
        <v>16.530999999999999</v>
      </c>
      <c r="H98" s="34">
        <v>15.590999999999999</v>
      </c>
      <c r="I98" s="34">
        <v>0</v>
      </c>
      <c r="J98" s="34">
        <v>0</v>
      </c>
      <c r="K98" s="34">
        <v>0</v>
      </c>
      <c r="L98" s="34">
        <v>0</v>
      </c>
      <c r="M98" s="34">
        <v>15.590999999999999</v>
      </c>
      <c r="N98" s="35">
        <v>-5.686286371060429E-2</v>
      </c>
      <c r="O98" s="36"/>
      <c r="P98" s="36"/>
    </row>
    <row r="99" spans="1:16" s="9" customFormat="1" ht="16.149999999999999">
      <c r="A99" s="15"/>
      <c r="B99" s="38"/>
      <c r="C99" s="38"/>
      <c r="D99" s="38"/>
      <c r="E99" s="38"/>
      <c r="F99" s="38"/>
      <c r="G99" s="39"/>
      <c r="H99" s="39"/>
      <c r="I99" s="39"/>
      <c r="J99" s="39"/>
      <c r="K99" s="39"/>
      <c r="L99" s="39"/>
      <c r="M99" s="39"/>
      <c r="N99" s="40"/>
      <c r="O99" s="19"/>
      <c r="P99" s="20"/>
    </row>
    <row r="100" spans="1:16" s="26" customFormat="1" ht="16.149999999999999">
      <c r="A100" s="41" t="s">
        <v>54</v>
      </c>
      <c r="B100" s="43"/>
      <c r="C100" s="43"/>
      <c r="D100" s="43"/>
      <c r="E100" s="43"/>
      <c r="F100" s="43"/>
      <c r="G100" s="43"/>
      <c r="H100" s="43"/>
      <c r="I100" s="43"/>
      <c r="J100" s="43"/>
      <c r="K100" s="43"/>
      <c r="L100" s="43"/>
      <c r="M100" s="43"/>
      <c r="N100" s="44"/>
      <c r="O100" s="41"/>
      <c r="P100" s="41"/>
    </row>
    <row r="101" spans="1:16" s="26" customFormat="1" ht="32.450000000000003">
      <c r="A101" s="21" t="s">
        <v>138</v>
      </c>
      <c r="B101" s="45"/>
      <c r="C101" s="45"/>
      <c r="D101" s="45"/>
      <c r="E101" s="45"/>
      <c r="F101" s="45"/>
      <c r="G101" s="45"/>
      <c r="H101" s="45"/>
      <c r="I101" s="45"/>
      <c r="J101" s="45"/>
      <c r="K101" s="45"/>
      <c r="L101" s="45"/>
      <c r="M101" s="45"/>
      <c r="N101" s="46"/>
      <c r="O101" s="24"/>
      <c r="P101" s="24"/>
    </row>
    <row r="102" spans="1:16" s="9" customFormat="1" ht="145.9">
      <c r="A102" s="61" t="s">
        <v>139</v>
      </c>
      <c r="B102" s="28">
        <v>701.32</v>
      </c>
      <c r="C102" s="56">
        <v>0</v>
      </c>
      <c r="D102" s="56">
        <v>0</v>
      </c>
      <c r="E102" s="56">
        <v>0</v>
      </c>
      <c r="F102" s="56">
        <v>0</v>
      </c>
      <c r="G102" s="29">
        <v>701.32</v>
      </c>
      <c r="H102" s="28">
        <v>905.28800000000001</v>
      </c>
      <c r="I102" s="28">
        <v>0</v>
      </c>
      <c r="J102" s="28">
        <v>0</v>
      </c>
      <c r="K102" s="28">
        <v>0</v>
      </c>
      <c r="L102" s="28">
        <v>0</v>
      </c>
      <c r="M102" s="29">
        <v>905.28800000000001</v>
      </c>
      <c r="N102" s="30">
        <v>0.29083442651000962</v>
      </c>
      <c r="O102" s="48" t="s">
        <v>140</v>
      </c>
      <c r="P102" s="48" t="s">
        <v>141</v>
      </c>
    </row>
    <row r="103" spans="1:16" s="9" customFormat="1" ht="32.450000000000003">
      <c r="A103" s="55" t="s">
        <v>142</v>
      </c>
      <c r="B103" s="28">
        <v>53.241</v>
      </c>
      <c r="C103" s="56">
        <v>0.159</v>
      </c>
      <c r="D103" s="56">
        <v>0</v>
      </c>
      <c r="E103" s="56">
        <v>0</v>
      </c>
      <c r="F103" s="56">
        <v>0</v>
      </c>
      <c r="G103" s="29">
        <v>53.4</v>
      </c>
      <c r="H103" s="28">
        <v>62.241</v>
      </c>
      <c r="I103" s="28">
        <v>0.156</v>
      </c>
      <c r="J103" s="28">
        <v>0</v>
      </c>
      <c r="K103" s="28">
        <v>0</v>
      </c>
      <c r="L103" s="28">
        <v>0</v>
      </c>
      <c r="M103" s="29">
        <v>62.396999999999998</v>
      </c>
      <c r="N103" s="30">
        <v>0.16848314606741574</v>
      </c>
      <c r="O103" s="86" t="s">
        <v>143</v>
      </c>
      <c r="P103" s="48" t="s">
        <v>144</v>
      </c>
    </row>
    <row r="104" spans="1:16" s="9" customFormat="1" ht="48.6">
      <c r="A104" s="87" t="s">
        <v>145</v>
      </c>
      <c r="B104" s="28">
        <v>26.626000000000001</v>
      </c>
      <c r="C104" s="56">
        <v>0.89500000000000002</v>
      </c>
      <c r="D104" s="56">
        <v>3.9409999999999998</v>
      </c>
      <c r="E104" s="56">
        <v>0</v>
      </c>
      <c r="F104" s="56">
        <v>0.27600000000000002</v>
      </c>
      <c r="G104" s="29">
        <v>31.738</v>
      </c>
      <c r="H104" s="28">
        <v>31.48</v>
      </c>
      <c r="I104" s="28">
        <v>0.80400000000000005</v>
      </c>
      <c r="J104" s="28">
        <v>1.7999999999999999E-2</v>
      </c>
      <c r="K104" s="28">
        <v>0</v>
      </c>
      <c r="L104" s="28">
        <v>0</v>
      </c>
      <c r="M104" s="29">
        <v>32.302</v>
      </c>
      <c r="N104" s="30">
        <v>1.7770495935471677E-2</v>
      </c>
      <c r="O104" s="57" t="s">
        <v>146</v>
      </c>
      <c r="P104" s="57" t="s">
        <v>147</v>
      </c>
    </row>
    <row r="105" spans="1:16" s="9" customFormat="1" ht="113.45">
      <c r="A105" s="88" t="s">
        <v>148</v>
      </c>
      <c r="B105" s="28">
        <v>14</v>
      </c>
      <c r="C105" s="56">
        <v>0</v>
      </c>
      <c r="D105" s="56">
        <v>0</v>
      </c>
      <c r="E105" s="56">
        <v>0</v>
      </c>
      <c r="F105" s="56">
        <v>0</v>
      </c>
      <c r="G105" s="29">
        <v>14</v>
      </c>
      <c r="H105" s="28">
        <v>14</v>
      </c>
      <c r="I105" s="28">
        <v>0</v>
      </c>
      <c r="J105" s="28">
        <v>0</v>
      </c>
      <c r="K105" s="28">
        <v>0</v>
      </c>
      <c r="L105" s="28">
        <v>0</v>
      </c>
      <c r="M105" s="29">
        <v>14</v>
      </c>
      <c r="N105" s="30">
        <v>0</v>
      </c>
      <c r="O105" s="57" t="s">
        <v>149</v>
      </c>
      <c r="P105" s="57" t="s">
        <v>47</v>
      </c>
    </row>
    <row r="106" spans="1:16" s="9" customFormat="1" ht="48.6">
      <c r="A106" s="55" t="s">
        <v>150</v>
      </c>
      <c r="B106" s="28">
        <v>8</v>
      </c>
      <c r="C106" s="56">
        <v>0</v>
      </c>
      <c r="D106" s="56">
        <v>0</v>
      </c>
      <c r="E106" s="56">
        <v>0</v>
      </c>
      <c r="F106" s="56">
        <v>0</v>
      </c>
      <c r="G106" s="29">
        <v>8</v>
      </c>
      <c r="H106" s="28">
        <v>8</v>
      </c>
      <c r="I106" s="28">
        <v>0</v>
      </c>
      <c r="J106" s="28">
        <v>0</v>
      </c>
      <c r="K106" s="28">
        <v>0</v>
      </c>
      <c r="L106" s="28">
        <v>0</v>
      </c>
      <c r="M106" s="29">
        <v>8</v>
      </c>
      <c r="N106" s="30">
        <v>0</v>
      </c>
      <c r="O106" s="31" t="s">
        <v>151</v>
      </c>
      <c r="P106" s="57" t="s">
        <v>47</v>
      </c>
    </row>
    <row r="107" spans="1:16" s="9" customFormat="1" ht="48.6">
      <c r="A107" s="68" t="s">
        <v>152</v>
      </c>
      <c r="B107" s="28">
        <v>3.6</v>
      </c>
      <c r="C107" s="69">
        <v>0</v>
      </c>
      <c r="D107" s="69">
        <v>0</v>
      </c>
      <c r="E107" s="69">
        <v>0</v>
      </c>
      <c r="F107" s="69">
        <v>0</v>
      </c>
      <c r="G107" s="29">
        <v>3.6</v>
      </c>
      <c r="H107" s="28">
        <v>3.6</v>
      </c>
      <c r="I107" s="28">
        <v>0</v>
      </c>
      <c r="J107" s="28">
        <v>0</v>
      </c>
      <c r="K107" s="28">
        <v>0</v>
      </c>
      <c r="L107" s="28">
        <v>0</v>
      </c>
      <c r="M107" s="29">
        <v>3.6</v>
      </c>
      <c r="N107" s="30">
        <v>0</v>
      </c>
      <c r="O107" s="57" t="s">
        <v>153</v>
      </c>
      <c r="P107" s="57" t="s">
        <v>47</v>
      </c>
    </row>
    <row r="108" spans="1:16" s="9" customFormat="1" ht="97.15">
      <c r="A108" s="89" t="s">
        <v>154</v>
      </c>
      <c r="B108" s="28">
        <v>2.3119999999999998</v>
      </c>
      <c r="C108" s="56">
        <v>0</v>
      </c>
      <c r="D108" s="56">
        <v>0</v>
      </c>
      <c r="E108" s="56">
        <v>0</v>
      </c>
      <c r="F108" s="56">
        <v>0</v>
      </c>
      <c r="G108" s="29">
        <v>2.3119999999999998</v>
      </c>
      <c r="H108" s="28">
        <v>2.3119999999999998</v>
      </c>
      <c r="I108" s="28">
        <v>0</v>
      </c>
      <c r="J108" s="28">
        <v>0</v>
      </c>
      <c r="K108" s="28">
        <v>0</v>
      </c>
      <c r="L108" s="28">
        <v>0</v>
      </c>
      <c r="M108" s="29">
        <v>2.3119999999999998</v>
      </c>
      <c r="N108" s="30">
        <v>0</v>
      </c>
      <c r="O108" s="57" t="s">
        <v>155</v>
      </c>
      <c r="P108" s="57" t="s">
        <v>47</v>
      </c>
    </row>
    <row r="109" spans="1:16" s="9" customFormat="1" ht="97.15">
      <c r="A109" s="68" t="s">
        <v>51</v>
      </c>
      <c r="B109" s="28">
        <v>12.622</v>
      </c>
      <c r="C109" s="56">
        <v>0</v>
      </c>
      <c r="D109" s="56">
        <v>0</v>
      </c>
      <c r="E109" s="56">
        <v>0</v>
      </c>
      <c r="F109" s="56">
        <v>0</v>
      </c>
      <c r="G109" s="29">
        <v>12.622</v>
      </c>
      <c r="H109" s="28">
        <v>12.276</v>
      </c>
      <c r="I109" s="28">
        <v>0</v>
      </c>
      <c r="J109" s="28">
        <v>0</v>
      </c>
      <c r="K109" s="28">
        <v>0</v>
      </c>
      <c r="L109" s="28">
        <v>0</v>
      </c>
      <c r="M109" s="29">
        <v>12.276</v>
      </c>
      <c r="N109" s="30">
        <v>-2.741245444462051E-2</v>
      </c>
      <c r="O109" s="31" t="s">
        <v>156</v>
      </c>
      <c r="P109" s="57" t="s">
        <v>157</v>
      </c>
    </row>
    <row r="110" spans="1:16" s="26" customFormat="1" ht="16.149999999999999">
      <c r="A110" s="33" t="s">
        <v>30</v>
      </c>
      <c r="B110" s="29">
        <v>821.721</v>
      </c>
      <c r="C110" s="34">
        <v>1.054</v>
      </c>
      <c r="D110" s="34">
        <v>3.9409999999999998</v>
      </c>
      <c r="E110" s="34">
        <v>0</v>
      </c>
      <c r="F110" s="34">
        <v>0.27600000000000002</v>
      </c>
      <c r="G110" s="34">
        <v>826.99200000000008</v>
      </c>
      <c r="H110" s="34">
        <v>1039.1969999999999</v>
      </c>
      <c r="I110" s="34">
        <v>0.96000000000000008</v>
      </c>
      <c r="J110" s="34">
        <v>1.7999999999999999E-2</v>
      </c>
      <c r="K110" s="34">
        <v>0</v>
      </c>
      <c r="L110" s="34">
        <v>0</v>
      </c>
      <c r="M110" s="34">
        <v>1040.175</v>
      </c>
      <c r="N110" s="35">
        <v>0.2577812119101513</v>
      </c>
      <c r="O110" s="36"/>
      <c r="P110" s="36"/>
    </row>
    <row r="111" spans="1:16" s="9" customFormat="1" ht="16.149999999999999">
      <c r="A111" s="73"/>
      <c r="B111" s="74"/>
      <c r="C111" s="75"/>
      <c r="D111" s="75"/>
      <c r="E111" s="75"/>
      <c r="F111" s="75"/>
      <c r="G111" s="75"/>
      <c r="H111" s="75"/>
      <c r="I111" s="75"/>
      <c r="J111" s="75"/>
      <c r="K111" s="75"/>
      <c r="L111" s="75"/>
      <c r="M111" s="75"/>
      <c r="N111" s="76"/>
      <c r="O111" s="67"/>
      <c r="P111" s="77"/>
    </row>
    <row r="112" spans="1:16" s="26" customFormat="1" ht="16.149999999999999">
      <c r="A112" s="58"/>
      <c r="B112" s="43"/>
      <c r="C112" s="43"/>
      <c r="D112" s="43"/>
      <c r="E112" s="43"/>
      <c r="F112" s="43"/>
      <c r="G112" s="43"/>
      <c r="H112" s="43"/>
      <c r="I112" s="43"/>
      <c r="J112" s="43"/>
      <c r="K112" s="43"/>
      <c r="L112" s="43"/>
      <c r="M112" s="43"/>
      <c r="N112" s="44"/>
      <c r="O112" s="41"/>
      <c r="P112" s="41"/>
    </row>
    <row r="113" spans="1:16" s="26" customFormat="1" ht="16.149999999999999">
      <c r="A113" s="21" t="s">
        <v>158</v>
      </c>
      <c r="B113" s="45"/>
      <c r="C113" s="45"/>
      <c r="D113" s="45"/>
      <c r="E113" s="45"/>
      <c r="F113" s="45"/>
      <c r="G113" s="45"/>
      <c r="H113" s="45"/>
      <c r="I113" s="45"/>
      <c r="J113" s="45"/>
      <c r="K113" s="45"/>
      <c r="L113" s="45"/>
      <c r="M113" s="45"/>
      <c r="N113" s="46"/>
      <c r="O113" s="24"/>
      <c r="P113" s="24"/>
    </row>
    <row r="114" spans="1:16" s="9" customFormat="1" ht="48.6">
      <c r="A114" s="55" t="s">
        <v>158</v>
      </c>
      <c r="B114" s="28">
        <v>108.729</v>
      </c>
      <c r="C114" s="56">
        <v>0</v>
      </c>
      <c r="D114" s="56">
        <v>0</v>
      </c>
      <c r="E114" s="56">
        <v>0</v>
      </c>
      <c r="F114" s="56">
        <v>0</v>
      </c>
      <c r="G114" s="29">
        <v>108.729</v>
      </c>
      <c r="H114" s="28">
        <v>109.32899999999999</v>
      </c>
      <c r="I114" s="28">
        <v>0</v>
      </c>
      <c r="J114" s="28">
        <v>0</v>
      </c>
      <c r="K114" s="28">
        <v>0</v>
      </c>
      <c r="L114" s="28">
        <v>0</v>
      </c>
      <c r="M114" s="29">
        <v>109.32899999999999</v>
      </c>
      <c r="N114" s="30">
        <v>5.5183069834174349E-3</v>
      </c>
      <c r="O114" s="57" t="s">
        <v>159</v>
      </c>
      <c r="P114" s="57" t="s">
        <v>132</v>
      </c>
    </row>
    <row r="115" spans="1:16" s="9" customFormat="1" ht="24.75" customHeight="1">
      <c r="A115" s="55" t="s">
        <v>51</v>
      </c>
      <c r="B115" s="28">
        <v>4.1779999999999999</v>
      </c>
      <c r="C115" s="56">
        <v>0</v>
      </c>
      <c r="D115" s="56">
        <v>0</v>
      </c>
      <c r="E115" s="56">
        <v>0</v>
      </c>
      <c r="F115" s="56">
        <v>0</v>
      </c>
      <c r="G115" s="29">
        <v>4.1779999999999999</v>
      </c>
      <c r="H115" s="28">
        <v>4.1779999999999999</v>
      </c>
      <c r="I115" s="28">
        <v>0</v>
      </c>
      <c r="J115" s="28">
        <v>0</v>
      </c>
      <c r="K115" s="28">
        <v>0</v>
      </c>
      <c r="L115" s="28">
        <v>0</v>
      </c>
      <c r="M115" s="29">
        <v>4.1779999999999999</v>
      </c>
      <c r="N115" s="30">
        <v>0</v>
      </c>
      <c r="O115" s="57" t="s">
        <v>160</v>
      </c>
      <c r="P115" s="57" t="s">
        <v>47</v>
      </c>
    </row>
    <row r="116" spans="1:16" s="26" customFormat="1" ht="16.149999999999999">
      <c r="A116" s="33" t="s">
        <v>30</v>
      </c>
      <c r="B116" s="29">
        <v>112.907</v>
      </c>
      <c r="C116" s="34">
        <v>0</v>
      </c>
      <c r="D116" s="34">
        <v>0</v>
      </c>
      <c r="E116" s="34">
        <v>0</v>
      </c>
      <c r="F116" s="34">
        <v>0</v>
      </c>
      <c r="G116" s="34">
        <v>112.907</v>
      </c>
      <c r="H116" s="34">
        <v>113.50699999999999</v>
      </c>
      <c r="I116" s="34">
        <v>0</v>
      </c>
      <c r="J116" s="34">
        <v>0</v>
      </c>
      <c r="K116" s="34">
        <v>0</v>
      </c>
      <c r="L116" s="34">
        <v>0</v>
      </c>
      <c r="M116" s="34">
        <v>113.50699999999999</v>
      </c>
      <c r="N116" s="35">
        <v>5.314108071244425E-3</v>
      </c>
      <c r="O116" s="36" t="s">
        <v>54</v>
      </c>
      <c r="P116" s="36" t="s">
        <v>54</v>
      </c>
    </row>
    <row r="117" spans="1:16" s="9" customFormat="1" ht="16.149999999999999">
      <c r="A117" s="73"/>
      <c r="B117" s="74"/>
      <c r="C117" s="75"/>
      <c r="D117" s="75"/>
      <c r="E117" s="75"/>
      <c r="F117" s="75"/>
      <c r="G117" s="75"/>
      <c r="H117" s="75"/>
      <c r="I117" s="75"/>
      <c r="J117" s="75"/>
      <c r="K117" s="75"/>
      <c r="L117" s="75"/>
      <c r="M117" s="75"/>
      <c r="N117" s="76"/>
      <c r="O117" s="67"/>
      <c r="P117" s="77"/>
    </row>
    <row r="118" spans="1:16" s="26" customFormat="1" ht="16.149999999999999">
      <c r="A118" s="58"/>
      <c r="B118" s="43"/>
      <c r="C118" s="43"/>
      <c r="D118" s="43"/>
      <c r="E118" s="43"/>
      <c r="F118" s="43"/>
      <c r="G118" s="43"/>
      <c r="H118" s="43"/>
      <c r="I118" s="43"/>
      <c r="J118" s="43"/>
      <c r="K118" s="43"/>
      <c r="L118" s="43"/>
      <c r="M118" s="43"/>
      <c r="N118" s="44"/>
      <c r="O118" s="41"/>
      <c r="P118" s="41"/>
    </row>
    <row r="119" spans="1:16" s="26" customFormat="1" ht="16.149999999999999">
      <c r="A119" s="21" t="s">
        <v>161</v>
      </c>
      <c r="B119" s="45"/>
      <c r="C119" s="45"/>
      <c r="D119" s="45"/>
      <c r="E119" s="45"/>
      <c r="F119" s="45"/>
      <c r="G119" s="45"/>
      <c r="H119" s="45"/>
      <c r="I119" s="45"/>
      <c r="J119" s="45"/>
      <c r="K119" s="45"/>
      <c r="L119" s="45"/>
      <c r="M119" s="45"/>
      <c r="N119" s="46"/>
      <c r="O119" s="24"/>
      <c r="P119" s="24"/>
    </row>
    <row r="120" spans="1:16" s="9" customFormat="1" ht="81">
      <c r="A120" s="55" t="s">
        <v>162</v>
      </c>
      <c r="B120" s="28">
        <v>17.5</v>
      </c>
      <c r="C120" s="56">
        <v>0</v>
      </c>
      <c r="D120" s="56">
        <v>0</v>
      </c>
      <c r="E120" s="56">
        <v>0</v>
      </c>
      <c r="F120" s="56">
        <v>0</v>
      </c>
      <c r="G120" s="29">
        <v>17.5</v>
      </c>
      <c r="H120" s="28">
        <v>17.5</v>
      </c>
      <c r="I120" s="28">
        <v>0</v>
      </c>
      <c r="J120" s="28">
        <v>0</v>
      </c>
      <c r="K120" s="28">
        <v>0</v>
      </c>
      <c r="L120" s="28">
        <v>0</v>
      </c>
      <c r="M120" s="29">
        <v>17.5</v>
      </c>
      <c r="N120" s="30">
        <v>0</v>
      </c>
      <c r="O120" s="57" t="s">
        <v>163</v>
      </c>
      <c r="P120" s="57" t="s">
        <v>47</v>
      </c>
    </row>
    <row r="121" spans="1:16" s="9" customFormat="1" ht="48.6">
      <c r="A121" s="55" t="s">
        <v>164</v>
      </c>
      <c r="B121" s="28">
        <v>12.5</v>
      </c>
      <c r="C121" s="56">
        <v>0</v>
      </c>
      <c r="D121" s="56">
        <v>0</v>
      </c>
      <c r="E121" s="56">
        <v>0</v>
      </c>
      <c r="F121" s="56">
        <v>0</v>
      </c>
      <c r="G121" s="29">
        <v>12.5</v>
      </c>
      <c r="H121" s="28">
        <v>12.5</v>
      </c>
      <c r="I121" s="28">
        <v>0</v>
      </c>
      <c r="J121" s="28">
        <v>0</v>
      </c>
      <c r="K121" s="28">
        <v>0</v>
      </c>
      <c r="L121" s="28">
        <v>0</v>
      </c>
      <c r="M121" s="29">
        <v>12.5</v>
      </c>
      <c r="N121" s="30">
        <v>0</v>
      </c>
      <c r="O121" s="57" t="s">
        <v>165</v>
      </c>
      <c r="P121" s="90" t="s">
        <v>47</v>
      </c>
    </row>
    <row r="122" spans="1:16" s="9" customFormat="1" ht="32.450000000000003">
      <c r="A122" s="55" t="s">
        <v>166</v>
      </c>
      <c r="B122" s="28">
        <v>4.5</v>
      </c>
      <c r="C122" s="56">
        <v>0</v>
      </c>
      <c r="D122" s="56">
        <v>0</v>
      </c>
      <c r="E122" s="56">
        <v>0</v>
      </c>
      <c r="F122" s="56">
        <v>0</v>
      </c>
      <c r="G122" s="29">
        <v>4.5</v>
      </c>
      <c r="H122" s="28">
        <v>4.5</v>
      </c>
      <c r="I122" s="28">
        <v>0</v>
      </c>
      <c r="J122" s="28">
        <v>0</v>
      </c>
      <c r="K122" s="28">
        <v>0</v>
      </c>
      <c r="L122" s="28">
        <v>0</v>
      </c>
      <c r="M122" s="29">
        <v>4.5</v>
      </c>
      <c r="N122" s="30">
        <v>0</v>
      </c>
      <c r="O122" s="57" t="s">
        <v>167</v>
      </c>
      <c r="P122" s="57" t="s">
        <v>47</v>
      </c>
    </row>
    <row r="123" spans="1:16" s="9" customFormat="1" ht="48.6">
      <c r="A123" s="55" t="s">
        <v>168</v>
      </c>
      <c r="B123" s="28">
        <v>3.5</v>
      </c>
      <c r="C123" s="56">
        <v>0</v>
      </c>
      <c r="D123" s="56">
        <v>0</v>
      </c>
      <c r="E123" s="56">
        <v>0</v>
      </c>
      <c r="F123" s="56">
        <v>0</v>
      </c>
      <c r="G123" s="29">
        <v>3.5</v>
      </c>
      <c r="H123" s="28">
        <v>3.5</v>
      </c>
      <c r="I123" s="28">
        <v>0</v>
      </c>
      <c r="J123" s="28">
        <v>0</v>
      </c>
      <c r="K123" s="28">
        <v>0</v>
      </c>
      <c r="L123" s="28">
        <v>0</v>
      </c>
      <c r="M123" s="29">
        <v>3.5</v>
      </c>
      <c r="N123" s="30">
        <v>0</v>
      </c>
      <c r="O123" s="57" t="s">
        <v>169</v>
      </c>
      <c r="P123" s="57" t="s">
        <v>47</v>
      </c>
    </row>
    <row r="124" spans="1:16" s="9" customFormat="1" ht="64.900000000000006">
      <c r="A124" s="55" t="s">
        <v>170</v>
      </c>
      <c r="B124" s="28">
        <v>4</v>
      </c>
      <c r="C124" s="56">
        <v>0</v>
      </c>
      <c r="D124" s="56">
        <v>0</v>
      </c>
      <c r="E124" s="56">
        <v>0</v>
      </c>
      <c r="F124" s="56">
        <v>0</v>
      </c>
      <c r="G124" s="29">
        <v>4</v>
      </c>
      <c r="H124" s="28">
        <v>4</v>
      </c>
      <c r="I124" s="28">
        <v>0</v>
      </c>
      <c r="J124" s="28">
        <v>0</v>
      </c>
      <c r="K124" s="28">
        <v>0</v>
      </c>
      <c r="L124" s="28">
        <v>0</v>
      </c>
      <c r="M124" s="29">
        <v>4</v>
      </c>
      <c r="N124" s="30">
        <v>0</v>
      </c>
      <c r="O124" s="57" t="s">
        <v>171</v>
      </c>
      <c r="P124" s="57" t="s">
        <v>47</v>
      </c>
    </row>
    <row r="125" spans="1:16" s="9" customFormat="1" ht="48.6">
      <c r="A125" s="55" t="s">
        <v>172</v>
      </c>
      <c r="B125" s="28">
        <v>2</v>
      </c>
      <c r="C125" s="56">
        <v>0</v>
      </c>
      <c r="D125" s="56">
        <v>0</v>
      </c>
      <c r="E125" s="56">
        <v>0</v>
      </c>
      <c r="F125" s="56">
        <v>0</v>
      </c>
      <c r="G125" s="29">
        <v>2</v>
      </c>
      <c r="H125" s="28">
        <v>2</v>
      </c>
      <c r="I125" s="28">
        <v>0</v>
      </c>
      <c r="J125" s="28">
        <v>0</v>
      </c>
      <c r="K125" s="28">
        <v>0</v>
      </c>
      <c r="L125" s="28">
        <v>0</v>
      </c>
      <c r="M125" s="29">
        <v>2</v>
      </c>
      <c r="N125" s="30">
        <v>0</v>
      </c>
      <c r="O125" s="57" t="s">
        <v>173</v>
      </c>
      <c r="P125" s="57" t="s">
        <v>47</v>
      </c>
    </row>
    <row r="126" spans="1:16" s="9" customFormat="1" ht="48.6">
      <c r="A126" s="55" t="s">
        <v>51</v>
      </c>
      <c r="B126" s="28">
        <v>5.9029999999999996</v>
      </c>
      <c r="C126" s="56">
        <v>0</v>
      </c>
      <c r="D126" s="56">
        <v>0</v>
      </c>
      <c r="E126" s="56">
        <v>0</v>
      </c>
      <c r="F126" s="56">
        <v>0</v>
      </c>
      <c r="G126" s="29">
        <v>5.9029999999999996</v>
      </c>
      <c r="H126" s="28">
        <v>5.0590000000000002</v>
      </c>
      <c r="I126" s="28">
        <v>0</v>
      </c>
      <c r="J126" s="28">
        <v>0</v>
      </c>
      <c r="K126" s="28">
        <v>0</v>
      </c>
      <c r="L126" s="28">
        <v>0</v>
      </c>
      <c r="M126" s="29">
        <v>5.0590000000000002</v>
      </c>
      <c r="N126" s="30">
        <v>-0.14297814670506515</v>
      </c>
      <c r="O126" s="57" t="s">
        <v>174</v>
      </c>
      <c r="P126" s="57" t="s">
        <v>175</v>
      </c>
    </row>
    <row r="127" spans="1:16" s="26" customFormat="1" ht="16.149999999999999">
      <c r="A127" s="33" t="s">
        <v>30</v>
      </c>
      <c r="B127" s="29">
        <v>49.902999999999999</v>
      </c>
      <c r="C127" s="34">
        <v>0</v>
      </c>
      <c r="D127" s="34">
        <v>0</v>
      </c>
      <c r="E127" s="34">
        <v>0</v>
      </c>
      <c r="F127" s="34">
        <v>0</v>
      </c>
      <c r="G127" s="34">
        <v>49.902999999999999</v>
      </c>
      <c r="H127" s="34">
        <v>49.058999999999997</v>
      </c>
      <c r="I127" s="34">
        <v>0</v>
      </c>
      <c r="J127" s="34">
        <v>0</v>
      </c>
      <c r="K127" s="34">
        <v>0</v>
      </c>
      <c r="L127" s="34">
        <v>0</v>
      </c>
      <c r="M127" s="34">
        <v>49.058999999999997</v>
      </c>
      <c r="N127" s="35">
        <v>-1.691281085305495E-2</v>
      </c>
      <c r="O127" s="36"/>
      <c r="P127" s="36"/>
    </row>
    <row r="128" spans="1:16" s="9" customFormat="1" ht="16.149999999999999">
      <c r="A128" s="73"/>
      <c r="B128" s="74"/>
      <c r="C128" s="75"/>
      <c r="D128" s="75"/>
      <c r="E128" s="75"/>
      <c r="F128" s="75"/>
      <c r="G128" s="75"/>
      <c r="H128" s="75"/>
      <c r="I128" s="75"/>
      <c r="J128" s="75"/>
      <c r="K128" s="75"/>
      <c r="L128" s="75"/>
      <c r="M128" s="75"/>
      <c r="N128" s="76"/>
      <c r="O128" s="67"/>
      <c r="P128" s="77"/>
    </row>
    <row r="129" spans="1:16" s="26" customFormat="1" ht="16.899999999999999" thickBot="1">
      <c r="A129" s="62"/>
      <c r="B129" s="50"/>
      <c r="C129" s="50"/>
      <c r="D129" s="50"/>
      <c r="E129" s="50"/>
      <c r="F129" s="50"/>
      <c r="G129" s="50"/>
      <c r="H129" s="50"/>
      <c r="I129" s="50"/>
      <c r="J129" s="50"/>
      <c r="K129" s="50"/>
      <c r="L129" s="50"/>
      <c r="M129" s="50"/>
      <c r="N129" s="51"/>
      <c r="O129" s="91"/>
      <c r="P129" s="91"/>
    </row>
    <row r="130" spans="1:16" s="26" customFormat="1" ht="16.149999999999999">
      <c r="A130" s="52" t="s">
        <v>176</v>
      </c>
      <c r="B130" s="53"/>
      <c r="C130" s="53"/>
      <c r="D130" s="53"/>
      <c r="E130" s="53"/>
      <c r="F130" s="53"/>
      <c r="G130" s="53"/>
      <c r="H130" s="53"/>
      <c r="I130" s="53"/>
      <c r="J130" s="53"/>
      <c r="K130" s="53"/>
      <c r="L130" s="53"/>
      <c r="M130" s="53"/>
      <c r="N130" s="54"/>
      <c r="O130" s="24"/>
      <c r="P130" s="24"/>
    </row>
    <row r="131" spans="1:16" s="9" customFormat="1" ht="48.6">
      <c r="A131" s="92" t="s">
        <v>177</v>
      </c>
      <c r="B131" s="28">
        <v>3.8719999999999999</v>
      </c>
      <c r="C131" s="60">
        <v>0</v>
      </c>
      <c r="D131" s="60">
        <v>0</v>
      </c>
      <c r="E131" s="60">
        <v>0</v>
      </c>
      <c r="F131" s="60">
        <v>0</v>
      </c>
      <c r="G131" s="29">
        <v>3.8719999999999999</v>
      </c>
      <c r="H131" s="28">
        <v>3.8719999999999999</v>
      </c>
      <c r="I131" s="28">
        <v>0</v>
      </c>
      <c r="J131" s="28">
        <v>0</v>
      </c>
      <c r="K131" s="28">
        <v>0</v>
      </c>
      <c r="L131" s="28">
        <v>0</v>
      </c>
      <c r="M131" s="29">
        <v>3.8719999999999999</v>
      </c>
      <c r="N131" s="30">
        <v>0</v>
      </c>
      <c r="O131" s="48" t="s">
        <v>178</v>
      </c>
      <c r="P131" s="48" t="s">
        <v>47</v>
      </c>
    </row>
    <row r="132" spans="1:16" s="9" customFormat="1" ht="35.25" customHeight="1">
      <c r="A132" s="81" t="s">
        <v>179</v>
      </c>
      <c r="B132" s="28">
        <v>12.5</v>
      </c>
      <c r="C132" s="82">
        <v>0</v>
      </c>
      <c r="D132" s="82">
        <v>0</v>
      </c>
      <c r="E132" s="82">
        <v>0</v>
      </c>
      <c r="F132" s="82">
        <v>0</v>
      </c>
      <c r="G132" s="29">
        <v>12.5</v>
      </c>
      <c r="H132" s="28">
        <v>17.5</v>
      </c>
      <c r="I132" s="28">
        <v>0</v>
      </c>
      <c r="J132" s="28">
        <v>0</v>
      </c>
      <c r="K132" s="28">
        <v>0</v>
      </c>
      <c r="L132" s="28">
        <v>0</v>
      </c>
      <c r="M132" s="29">
        <v>17.5</v>
      </c>
      <c r="N132" s="30">
        <v>0.4</v>
      </c>
      <c r="O132" s="93" t="s">
        <v>180</v>
      </c>
      <c r="P132" s="57" t="s">
        <v>181</v>
      </c>
    </row>
    <row r="133" spans="1:16" s="9" customFormat="1" ht="81">
      <c r="A133" s="81" t="s">
        <v>182</v>
      </c>
      <c r="B133" s="28">
        <v>5</v>
      </c>
      <c r="C133" s="82">
        <v>0</v>
      </c>
      <c r="D133" s="82">
        <v>0</v>
      </c>
      <c r="E133" s="82">
        <v>0</v>
      </c>
      <c r="F133" s="82">
        <v>0</v>
      </c>
      <c r="G133" s="29">
        <v>5</v>
      </c>
      <c r="H133" s="28">
        <v>2.5249999999999999</v>
      </c>
      <c r="I133" s="28">
        <v>0</v>
      </c>
      <c r="J133" s="28">
        <v>0</v>
      </c>
      <c r="K133" s="28">
        <v>0</v>
      </c>
      <c r="L133" s="28">
        <v>0</v>
      </c>
      <c r="M133" s="29">
        <v>2.5249999999999999</v>
      </c>
      <c r="N133" s="30">
        <v>-0.495</v>
      </c>
      <c r="O133" s="94" t="s">
        <v>183</v>
      </c>
      <c r="P133" s="57" t="s">
        <v>184</v>
      </c>
    </row>
    <row r="134" spans="1:16" s="9" customFormat="1" ht="64.900000000000006">
      <c r="A134" s="81" t="s">
        <v>185</v>
      </c>
      <c r="B134" s="28">
        <v>3</v>
      </c>
      <c r="C134" s="82">
        <v>0</v>
      </c>
      <c r="D134" s="82">
        <v>0</v>
      </c>
      <c r="E134" s="82">
        <v>0</v>
      </c>
      <c r="F134" s="82">
        <v>0</v>
      </c>
      <c r="G134" s="29">
        <v>3</v>
      </c>
      <c r="H134" s="28">
        <v>3</v>
      </c>
      <c r="I134" s="28">
        <v>0</v>
      </c>
      <c r="J134" s="28">
        <v>0</v>
      </c>
      <c r="K134" s="28">
        <v>0</v>
      </c>
      <c r="L134" s="28">
        <v>0</v>
      </c>
      <c r="M134" s="29">
        <v>3</v>
      </c>
      <c r="N134" s="30">
        <v>0</v>
      </c>
      <c r="O134" s="94" t="s">
        <v>186</v>
      </c>
      <c r="P134" s="57" t="s">
        <v>47</v>
      </c>
    </row>
    <row r="135" spans="1:16" s="9" customFormat="1" ht="32.450000000000003">
      <c r="A135" s="92" t="s">
        <v>187</v>
      </c>
      <c r="B135" s="28">
        <v>14.5</v>
      </c>
      <c r="C135" s="82">
        <v>0</v>
      </c>
      <c r="D135" s="82">
        <v>0</v>
      </c>
      <c r="E135" s="82">
        <v>0</v>
      </c>
      <c r="F135" s="82">
        <v>0</v>
      </c>
      <c r="G135" s="29">
        <v>14.5</v>
      </c>
      <c r="H135" s="28">
        <v>0</v>
      </c>
      <c r="I135" s="28">
        <v>0</v>
      </c>
      <c r="J135" s="28">
        <v>0</v>
      </c>
      <c r="K135" s="28">
        <v>0</v>
      </c>
      <c r="L135" s="28">
        <v>0</v>
      </c>
      <c r="M135" s="29">
        <v>0</v>
      </c>
      <c r="N135" s="30">
        <v>-1</v>
      </c>
      <c r="O135" s="94" t="s">
        <v>188</v>
      </c>
      <c r="P135" s="57" t="s">
        <v>189</v>
      </c>
    </row>
    <row r="136" spans="1:16" s="9" customFormat="1" ht="64.900000000000006">
      <c r="A136" s="55" t="s">
        <v>51</v>
      </c>
      <c r="B136" s="28">
        <v>22.163</v>
      </c>
      <c r="C136" s="56">
        <v>0</v>
      </c>
      <c r="D136" s="56">
        <v>0</v>
      </c>
      <c r="E136" s="56">
        <v>0</v>
      </c>
      <c r="F136" s="56">
        <v>0</v>
      </c>
      <c r="G136" s="29">
        <v>22.163</v>
      </c>
      <c r="H136" s="28">
        <v>20.056999999999999</v>
      </c>
      <c r="I136" s="28">
        <v>0</v>
      </c>
      <c r="J136" s="28">
        <v>0</v>
      </c>
      <c r="K136" s="28">
        <v>0</v>
      </c>
      <c r="L136" s="28">
        <v>0</v>
      </c>
      <c r="M136" s="29">
        <v>20.056999999999999</v>
      </c>
      <c r="N136" s="30">
        <v>-9.5023236926408947E-2</v>
      </c>
      <c r="O136" s="57" t="s">
        <v>190</v>
      </c>
      <c r="P136" s="57" t="s">
        <v>191</v>
      </c>
    </row>
    <row r="137" spans="1:16" s="26" customFormat="1" ht="16.149999999999999">
      <c r="A137" s="33" t="s">
        <v>30</v>
      </c>
      <c r="B137" s="29">
        <v>61.034999999999997</v>
      </c>
      <c r="C137" s="34">
        <v>0</v>
      </c>
      <c r="D137" s="34">
        <v>0</v>
      </c>
      <c r="E137" s="34">
        <v>0</v>
      </c>
      <c r="F137" s="34">
        <v>0</v>
      </c>
      <c r="G137" s="34">
        <v>61.034999999999997</v>
      </c>
      <c r="H137" s="34">
        <v>46.953999999999994</v>
      </c>
      <c r="I137" s="34">
        <v>0</v>
      </c>
      <c r="J137" s="34">
        <v>0</v>
      </c>
      <c r="K137" s="34">
        <v>0</v>
      </c>
      <c r="L137" s="34">
        <v>0</v>
      </c>
      <c r="M137" s="34">
        <v>46.953999999999994</v>
      </c>
      <c r="N137" s="35">
        <v>-0.23070369460145823</v>
      </c>
      <c r="O137" s="36"/>
      <c r="P137" s="36"/>
    </row>
    <row r="138" spans="1:16" s="9" customFormat="1" ht="16.149999999999999">
      <c r="A138" s="95" t="s">
        <v>54</v>
      </c>
      <c r="B138" s="96"/>
      <c r="C138" s="97"/>
      <c r="D138" s="97"/>
      <c r="E138" s="97"/>
      <c r="F138" s="97"/>
      <c r="G138" s="97"/>
      <c r="H138" s="97"/>
      <c r="I138" s="97"/>
      <c r="J138" s="97"/>
      <c r="K138" s="97"/>
      <c r="L138" s="97"/>
      <c r="M138" s="97"/>
      <c r="N138" s="98"/>
      <c r="O138" s="99"/>
      <c r="P138" s="100"/>
    </row>
    <row r="139" spans="1:16" s="26" customFormat="1" ht="16.149999999999999">
      <c r="A139" s="58"/>
      <c r="B139" s="43"/>
      <c r="C139" s="43"/>
      <c r="D139" s="43"/>
      <c r="E139" s="43"/>
      <c r="F139" s="43"/>
      <c r="G139" s="43"/>
      <c r="H139" s="43"/>
      <c r="I139" s="43"/>
      <c r="J139" s="43"/>
      <c r="K139" s="43"/>
      <c r="L139" s="43"/>
      <c r="M139" s="43"/>
      <c r="N139" s="44"/>
      <c r="O139" s="41"/>
      <c r="P139" s="41"/>
    </row>
    <row r="140" spans="1:16" s="26" customFormat="1" ht="32.450000000000003">
      <c r="A140" s="21" t="s">
        <v>192</v>
      </c>
      <c r="B140" s="45"/>
      <c r="C140" s="45"/>
      <c r="D140" s="45"/>
      <c r="E140" s="45"/>
      <c r="F140" s="45"/>
      <c r="G140" s="45"/>
      <c r="H140" s="45"/>
      <c r="I140" s="45"/>
      <c r="J140" s="45"/>
      <c r="K140" s="45"/>
      <c r="L140" s="45"/>
      <c r="M140" s="45"/>
      <c r="N140" s="46"/>
      <c r="O140" s="24"/>
      <c r="P140" s="24"/>
    </row>
    <row r="141" spans="1:16" s="9" customFormat="1" ht="110.25" customHeight="1">
      <c r="A141" s="55" t="s">
        <v>193</v>
      </c>
      <c r="B141" s="28">
        <v>42.529000000000003</v>
      </c>
      <c r="C141" s="60">
        <v>0</v>
      </c>
      <c r="D141" s="60">
        <v>0</v>
      </c>
      <c r="E141" s="60">
        <v>0</v>
      </c>
      <c r="F141" s="60">
        <v>0</v>
      </c>
      <c r="G141" s="29">
        <v>42.529000000000003</v>
      </c>
      <c r="H141" s="28">
        <v>48.332999999999998</v>
      </c>
      <c r="I141" s="28">
        <v>0</v>
      </c>
      <c r="J141" s="28">
        <v>0</v>
      </c>
      <c r="K141" s="28">
        <v>0</v>
      </c>
      <c r="L141" s="28">
        <v>0</v>
      </c>
      <c r="M141" s="29">
        <v>48.332999999999998</v>
      </c>
      <c r="N141" s="30">
        <v>0.13647158409555821</v>
      </c>
      <c r="O141" s="101" t="s">
        <v>194</v>
      </c>
      <c r="P141" s="48" t="s">
        <v>195</v>
      </c>
    </row>
    <row r="142" spans="1:16" s="9" customFormat="1" ht="64.900000000000006">
      <c r="A142" s="55" t="s">
        <v>196</v>
      </c>
      <c r="B142" s="28">
        <v>4.0599999999999996</v>
      </c>
      <c r="C142" s="82">
        <v>0</v>
      </c>
      <c r="D142" s="82">
        <v>0</v>
      </c>
      <c r="E142" s="82">
        <v>0</v>
      </c>
      <c r="F142" s="82">
        <v>0</v>
      </c>
      <c r="G142" s="29">
        <v>4.0599999999999996</v>
      </c>
      <c r="H142" s="28">
        <v>4.0599999999999996</v>
      </c>
      <c r="I142" s="28">
        <v>0</v>
      </c>
      <c r="J142" s="28">
        <v>0</v>
      </c>
      <c r="K142" s="28">
        <v>0</v>
      </c>
      <c r="L142" s="28">
        <v>0</v>
      </c>
      <c r="M142" s="29">
        <v>4.0599999999999996</v>
      </c>
      <c r="N142" s="30">
        <v>0</v>
      </c>
      <c r="O142" s="102" t="s">
        <v>197</v>
      </c>
      <c r="P142" s="57" t="s">
        <v>65</v>
      </c>
    </row>
    <row r="143" spans="1:16" s="9" customFormat="1" ht="120.75" customHeight="1">
      <c r="A143" s="59" t="s">
        <v>198</v>
      </c>
      <c r="B143" s="28">
        <v>3.35</v>
      </c>
      <c r="C143" s="82">
        <v>0</v>
      </c>
      <c r="D143" s="82">
        <v>0</v>
      </c>
      <c r="E143" s="82">
        <v>0</v>
      </c>
      <c r="F143" s="82">
        <v>0</v>
      </c>
      <c r="G143" s="29">
        <v>3.35</v>
      </c>
      <c r="H143" s="28">
        <v>2.4500000000000002</v>
      </c>
      <c r="I143" s="28">
        <v>0</v>
      </c>
      <c r="J143" s="28">
        <v>0</v>
      </c>
      <c r="K143" s="28">
        <v>0</v>
      </c>
      <c r="L143" s="28">
        <v>0</v>
      </c>
      <c r="M143" s="29">
        <v>2.4500000000000002</v>
      </c>
      <c r="N143" s="30">
        <v>-0.26865671641791039</v>
      </c>
      <c r="O143" s="102" t="s">
        <v>199</v>
      </c>
      <c r="P143" s="57" t="s">
        <v>200</v>
      </c>
    </row>
    <row r="144" spans="1:16" s="9" customFormat="1" ht="32.450000000000003">
      <c r="A144" s="55" t="s">
        <v>201</v>
      </c>
      <c r="B144" s="28">
        <v>3.492</v>
      </c>
      <c r="C144" s="82">
        <v>0</v>
      </c>
      <c r="D144" s="82">
        <v>0</v>
      </c>
      <c r="E144" s="82">
        <v>0</v>
      </c>
      <c r="F144" s="82">
        <v>0</v>
      </c>
      <c r="G144" s="29">
        <v>3.492</v>
      </c>
      <c r="H144" s="28">
        <v>3.492</v>
      </c>
      <c r="I144" s="28">
        <v>0</v>
      </c>
      <c r="J144" s="28">
        <v>0</v>
      </c>
      <c r="K144" s="28">
        <v>0</v>
      </c>
      <c r="L144" s="28">
        <v>0</v>
      </c>
      <c r="M144" s="29">
        <v>3.492</v>
      </c>
      <c r="N144" s="30">
        <v>0</v>
      </c>
      <c r="O144" s="57" t="s">
        <v>202</v>
      </c>
      <c r="P144" s="57" t="s">
        <v>65</v>
      </c>
    </row>
    <row r="145" spans="1:16" s="104" customFormat="1" ht="32.450000000000003">
      <c r="A145" s="103" t="s">
        <v>203</v>
      </c>
      <c r="B145" s="28">
        <v>0</v>
      </c>
      <c r="C145" s="82">
        <v>0</v>
      </c>
      <c r="D145" s="82">
        <v>0</v>
      </c>
      <c r="E145" s="82">
        <v>0</v>
      </c>
      <c r="F145" s="82">
        <v>0</v>
      </c>
      <c r="G145" s="29">
        <v>0</v>
      </c>
      <c r="H145" s="28">
        <v>2.5</v>
      </c>
      <c r="I145" s="28">
        <v>0</v>
      </c>
      <c r="J145" s="28">
        <v>0</v>
      </c>
      <c r="K145" s="28">
        <v>0</v>
      </c>
      <c r="L145" s="28">
        <v>0</v>
      </c>
      <c r="M145" s="29">
        <v>2.5</v>
      </c>
      <c r="N145" s="30" t="s">
        <v>204</v>
      </c>
      <c r="O145" s="102" t="s">
        <v>205</v>
      </c>
      <c r="P145" s="57" t="s">
        <v>206</v>
      </c>
    </row>
    <row r="146" spans="1:16" s="9" customFormat="1" ht="48.6">
      <c r="A146" s="105" t="s">
        <v>207</v>
      </c>
      <c r="B146" s="28">
        <v>1.8</v>
      </c>
      <c r="C146" s="82">
        <v>0</v>
      </c>
      <c r="D146" s="82">
        <v>0</v>
      </c>
      <c r="E146" s="82">
        <v>0</v>
      </c>
      <c r="F146" s="82">
        <v>0</v>
      </c>
      <c r="G146" s="29">
        <v>1.8</v>
      </c>
      <c r="H146" s="28">
        <v>2.2000000000000002</v>
      </c>
      <c r="I146" s="28">
        <v>0</v>
      </c>
      <c r="J146" s="28">
        <v>0</v>
      </c>
      <c r="K146" s="28">
        <v>0</v>
      </c>
      <c r="L146" s="28">
        <v>0</v>
      </c>
      <c r="M146" s="29">
        <v>2.2000000000000002</v>
      </c>
      <c r="N146" s="30">
        <v>0.22222222222222229</v>
      </c>
      <c r="O146" s="57" t="s">
        <v>208</v>
      </c>
      <c r="P146" s="57" t="s">
        <v>209</v>
      </c>
    </row>
    <row r="147" spans="1:16" s="9" customFormat="1" ht="38.25" customHeight="1">
      <c r="A147" s="105" t="s">
        <v>210</v>
      </c>
      <c r="B147" s="28">
        <v>12.177</v>
      </c>
      <c r="C147" s="82">
        <v>0</v>
      </c>
      <c r="D147" s="82">
        <v>0</v>
      </c>
      <c r="E147" s="82">
        <v>0</v>
      </c>
      <c r="F147" s="82">
        <v>0</v>
      </c>
      <c r="G147" s="29">
        <v>12.177</v>
      </c>
      <c r="H147" s="28">
        <v>12.177</v>
      </c>
      <c r="I147" s="28">
        <v>0</v>
      </c>
      <c r="J147" s="28">
        <v>0</v>
      </c>
      <c r="K147" s="28">
        <v>0</v>
      </c>
      <c r="L147" s="28">
        <v>0</v>
      </c>
      <c r="M147" s="29">
        <v>12.177</v>
      </c>
      <c r="N147" s="30">
        <v>0</v>
      </c>
      <c r="O147" s="57" t="s">
        <v>211</v>
      </c>
      <c r="P147" s="57" t="s">
        <v>65</v>
      </c>
    </row>
    <row r="148" spans="1:16" s="9" customFormat="1" ht="42" customHeight="1">
      <c r="A148" s="47" t="s">
        <v>212</v>
      </c>
      <c r="B148" s="28">
        <v>12.411</v>
      </c>
      <c r="C148" s="82">
        <v>0</v>
      </c>
      <c r="D148" s="82">
        <v>0</v>
      </c>
      <c r="E148" s="82">
        <v>0</v>
      </c>
      <c r="F148" s="82">
        <v>0</v>
      </c>
      <c r="G148" s="29">
        <v>12.411</v>
      </c>
      <c r="H148" s="28">
        <v>11.586</v>
      </c>
      <c r="I148" s="28">
        <v>0</v>
      </c>
      <c r="J148" s="28">
        <v>0</v>
      </c>
      <c r="K148" s="28">
        <v>0</v>
      </c>
      <c r="L148" s="28">
        <v>0</v>
      </c>
      <c r="M148" s="29">
        <v>11.586</v>
      </c>
      <c r="N148" s="30">
        <v>-6.6473289823543572E-2</v>
      </c>
      <c r="O148" s="57" t="s">
        <v>213</v>
      </c>
      <c r="P148" s="57" t="s">
        <v>214</v>
      </c>
    </row>
    <row r="149" spans="1:16" s="9" customFormat="1" ht="48.75" customHeight="1">
      <c r="A149" s="55" t="s">
        <v>215</v>
      </c>
      <c r="B149" s="28">
        <v>60.470999999999997</v>
      </c>
      <c r="C149" s="82">
        <v>93.278000000000006</v>
      </c>
      <c r="D149" s="82">
        <v>3.1280000000000001</v>
      </c>
      <c r="E149" s="82">
        <v>0</v>
      </c>
      <c r="F149" s="82">
        <v>0</v>
      </c>
      <c r="G149" s="29">
        <v>156.87700000000001</v>
      </c>
      <c r="H149" s="28">
        <v>-333.892</v>
      </c>
      <c r="I149" s="28">
        <v>120.282</v>
      </c>
      <c r="J149" s="28">
        <v>0</v>
      </c>
      <c r="K149" s="28">
        <v>0</v>
      </c>
      <c r="L149" s="28">
        <v>0</v>
      </c>
      <c r="M149" s="29">
        <v>-213.61</v>
      </c>
      <c r="N149" s="30">
        <v>-2.3616400109640034</v>
      </c>
      <c r="O149" s="57" t="s">
        <v>216</v>
      </c>
      <c r="P149" s="57" t="s">
        <v>217</v>
      </c>
    </row>
    <row r="150" spans="1:16" s="26" customFormat="1" ht="16.149999999999999">
      <c r="A150" s="33" t="s">
        <v>30</v>
      </c>
      <c r="B150" s="29">
        <v>140.29</v>
      </c>
      <c r="C150" s="34">
        <v>93.278000000000006</v>
      </c>
      <c r="D150" s="34">
        <v>3.1280000000000001</v>
      </c>
      <c r="E150" s="34">
        <v>0</v>
      </c>
      <c r="F150" s="34">
        <v>0</v>
      </c>
      <c r="G150" s="34">
        <v>236.69600000000003</v>
      </c>
      <c r="H150" s="34">
        <v>-247.09399999999999</v>
      </c>
      <c r="I150" s="34">
        <v>120.282</v>
      </c>
      <c r="J150" s="34">
        <v>0</v>
      </c>
      <c r="K150" s="34">
        <v>0</v>
      </c>
      <c r="L150" s="34">
        <v>0</v>
      </c>
      <c r="M150" s="34">
        <v>-126.81200000000001</v>
      </c>
      <c r="N150" s="35">
        <v>-1.5357589481867036</v>
      </c>
      <c r="O150" s="106"/>
      <c r="P150" s="106"/>
    </row>
    <row r="151" spans="1:16" s="9" customFormat="1" ht="16.149999999999999">
      <c r="A151" s="15"/>
      <c r="B151" s="38"/>
      <c r="C151" s="38"/>
      <c r="D151" s="38"/>
      <c r="E151" s="38"/>
      <c r="F151" s="38"/>
      <c r="G151" s="39"/>
      <c r="H151" s="39"/>
      <c r="I151" s="39"/>
      <c r="J151" s="39"/>
      <c r="K151" s="39"/>
      <c r="L151" s="39"/>
      <c r="M151" s="39"/>
      <c r="N151" s="40"/>
      <c r="O151" s="19"/>
      <c r="P151" s="20"/>
    </row>
    <row r="152" spans="1:16" s="9" customFormat="1" ht="16.149999999999999">
      <c r="A152" s="73"/>
      <c r="B152" s="74"/>
      <c r="C152" s="75"/>
      <c r="D152" s="75"/>
      <c r="E152" s="75"/>
      <c r="F152" s="75"/>
      <c r="G152" s="75"/>
      <c r="H152" s="75"/>
      <c r="I152" s="75"/>
      <c r="J152" s="75"/>
      <c r="K152" s="75"/>
      <c r="L152" s="75"/>
      <c r="M152" s="75"/>
      <c r="N152" s="76"/>
      <c r="O152" s="107"/>
      <c r="P152" s="108"/>
    </row>
    <row r="153" spans="1:16" s="26" customFormat="1" ht="32.450000000000003">
      <c r="A153" s="21" t="s">
        <v>218</v>
      </c>
      <c r="B153" s="45"/>
      <c r="C153" s="45"/>
      <c r="D153" s="45"/>
      <c r="E153" s="45"/>
      <c r="F153" s="45"/>
      <c r="G153" s="45"/>
      <c r="H153" s="45"/>
      <c r="I153" s="45"/>
      <c r="J153" s="45"/>
      <c r="K153" s="45"/>
      <c r="L153" s="45"/>
      <c r="M153" s="45"/>
      <c r="N153" s="46"/>
      <c r="O153" s="24"/>
      <c r="P153" s="24"/>
    </row>
    <row r="154" spans="1:16" s="9" customFormat="1" ht="32.450000000000003">
      <c r="A154" s="109" t="s">
        <v>218</v>
      </c>
      <c r="B154" s="28">
        <v>75</v>
      </c>
      <c r="C154" s="110">
        <v>0</v>
      </c>
      <c r="D154" s="110">
        <v>0</v>
      </c>
      <c r="E154" s="110">
        <v>0</v>
      </c>
      <c r="F154" s="110">
        <v>0</v>
      </c>
      <c r="G154" s="29">
        <v>75</v>
      </c>
      <c r="H154" s="28">
        <v>75</v>
      </c>
      <c r="I154" s="28">
        <v>0</v>
      </c>
      <c r="J154" s="28">
        <v>0</v>
      </c>
      <c r="K154" s="28">
        <v>0</v>
      </c>
      <c r="L154" s="28">
        <v>0</v>
      </c>
      <c r="M154" s="29">
        <v>75</v>
      </c>
      <c r="N154" s="30">
        <v>0</v>
      </c>
      <c r="O154" s="48" t="s">
        <v>219</v>
      </c>
      <c r="P154" s="48" t="s">
        <v>47</v>
      </c>
    </row>
    <row r="155" spans="1:16" s="26" customFormat="1" ht="16.149999999999999">
      <c r="A155" s="33" t="s">
        <v>30</v>
      </c>
      <c r="B155" s="29">
        <v>75</v>
      </c>
      <c r="C155" s="34">
        <v>0</v>
      </c>
      <c r="D155" s="34">
        <v>0</v>
      </c>
      <c r="E155" s="34">
        <v>0</v>
      </c>
      <c r="F155" s="34">
        <v>0</v>
      </c>
      <c r="G155" s="34">
        <v>75</v>
      </c>
      <c r="H155" s="34">
        <v>75</v>
      </c>
      <c r="I155" s="34">
        <v>0</v>
      </c>
      <c r="J155" s="34">
        <v>0</v>
      </c>
      <c r="K155" s="34">
        <v>0</v>
      </c>
      <c r="L155" s="34">
        <v>0</v>
      </c>
      <c r="M155" s="34">
        <v>75</v>
      </c>
      <c r="N155" s="35">
        <v>0</v>
      </c>
      <c r="O155" s="36"/>
      <c r="P155" s="36"/>
    </row>
    <row r="156" spans="1:16" s="9" customFormat="1" ht="16.899999999999999" thickBot="1">
      <c r="A156" s="73"/>
      <c r="B156" s="74"/>
      <c r="C156" s="75"/>
      <c r="D156" s="75"/>
      <c r="E156" s="75"/>
      <c r="F156" s="75"/>
      <c r="G156" s="75"/>
      <c r="H156" s="75"/>
      <c r="I156" s="75"/>
      <c r="J156" s="75"/>
      <c r="K156" s="75"/>
      <c r="L156" s="75"/>
      <c r="M156" s="75"/>
      <c r="N156" s="76"/>
      <c r="O156" s="111"/>
      <c r="P156" s="112"/>
    </row>
    <row r="157" spans="1:16" s="26" customFormat="1" ht="16.149999999999999">
      <c r="A157" s="52" t="s">
        <v>220</v>
      </c>
      <c r="B157" s="53"/>
      <c r="C157" s="53"/>
      <c r="D157" s="53"/>
      <c r="E157" s="53"/>
      <c r="F157" s="53"/>
      <c r="G157" s="53"/>
      <c r="H157" s="53"/>
      <c r="I157" s="53"/>
      <c r="J157" s="53"/>
      <c r="K157" s="53"/>
      <c r="L157" s="53"/>
      <c r="M157" s="53"/>
      <c r="N157" s="54"/>
      <c r="O157" s="24"/>
      <c r="P157" s="24"/>
    </row>
    <row r="158" spans="1:16" s="26" customFormat="1" ht="145.9">
      <c r="A158" s="113" t="s">
        <v>220</v>
      </c>
      <c r="B158" s="28">
        <v>0</v>
      </c>
      <c r="C158" s="28">
        <v>0</v>
      </c>
      <c r="D158" s="28">
        <v>0</v>
      </c>
      <c r="E158" s="28">
        <v>0</v>
      </c>
      <c r="F158" s="28">
        <v>104.687</v>
      </c>
      <c r="G158" s="29">
        <v>104.687</v>
      </c>
      <c r="H158" s="28">
        <v>0</v>
      </c>
      <c r="I158" s="28">
        <v>0</v>
      </c>
      <c r="J158" s="28">
        <v>0</v>
      </c>
      <c r="K158" s="28">
        <v>0</v>
      </c>
      <c r="L158" s="28">
        <v>103.67</v>
      </c>
      <c r="M158" s="29">
        <v>103.67</v>
      </c>
      <c r="N158" s="30">
        <v>-9.7146732641110733E-3</v>
      </c>
      <c r="O158" s="48" t="s">
        <v>221</v>
      </c>
      <c r="P158" s="48" t="s">
        <v>222</v>
      </c>
    </row>
    <row r="159" spans="1:16" s="26" customFormat="1" ht="16.149999999999999">
      <c r="A159" s="33" t="s">
        <v>30</v>
      </c>
      <c r="B159" s="29">
        <v>0</v>
      </c>
      <c r="C159" s="34">
        <v>0</v>
      </c>
      <c r="D159" s="34">
        <v>0</v>
      </c>
      <c r="E159" s="34">
        <v>0</v>
      </c>
      <c r="F159" s="34">
        <v>104.687</v>
      </c>
      <c r="G159" s="34">
        <v>104.687</v>
      </c>
      <c r="H159" s="34">
        <v>0</v>
      </c>
      <c r="I159" s="34">
        <v>0</v>
      </c>
      <c r="J159" s="34">
        <v>0</v>
      </c>
      <c r="K159" s="34">
        <v>0</v>
      </c>
      <c r="L159" s="34">
        <v>103.67</v>
      </c>
      <c r="M159" s="34">
        <v>103.67</v>
      </c>
      <c r="N159" s="35">
        <v>-9.7146732641110733E-3</v>
      </c>
      <c r="O159" s="36"/>
      <c r="P159" s="36"/>
    </row>
    <row r="160" spans="1:16" s="9" customFormat="1" ht="16.149999999999999">
      <c r="A160" s="15"/>
      <c r="B160" s="38"/>
      <c r="C160" s="38"/>
      <c r="D160" s="38"/>
      <c r="E160" s="38"/>
      <c r="F160" s="38"/>
      <c r="G160" s="39"/>
      <c r="H160" s="39"/>
      <c r="I160" s="39"/>
      <c r="J160" s="39"/>
      <c r="K160" s="39"/>
      <c r="L160" s="39"/>
      <c r="M160" s="39"/>
      <c r="N160" s="40"/>
      <c r="O160" s="19"/>
      <c r="P160" s="20"/>
    </row>
    <row r="161" spans="1:16" s="26" customFormat="1" ht="16.149999999999999">
      <c r="A161" s="58"/>
      <c r="B161" s="43"/>
      <c r="C161" s="43"/>
      <c r="D161" s="43"/>
      <c r="E161" s="43"/>
      <c r="F161" s="43"/>
      <c r="G161" s="43"/>
      <c r="H161" s="43"/>
      <c r="I161" s="43"/>
      <c r="J161" s="43"/>
      <c r="K161" s="43"/>
      <c r="L161" s="43"/>
      <c r="M161" s="43"/>
      <c r="N161" s="44"/>
      <c r="O161" s="41"/>
      <c r="P161" s="41"/>
    </row>
    <row r="162" spans="1:16" s="26" customFormat="1" ht="16.149999999999999">
      <c r="A162" s="21" t="s">
        <v>223</v>
      </c>
      <c r="B162" s="45"/>
      <c r="C162" s="45"/>
      <c r="D162" s="45"/>
      <c r="E162" s="45"/>
      <c r="F162" s="45"/>
      <c r="G162" s="45"/>
      <c r="H162" s="45"/>
      <c r="I162" s="45"/>
      <c r="J162" s="45"/>
      <c r="K162" s="45"/>
      <c r="L162" s="45"/>
      <c r="M162" s="45"/>
      <c r="N162" s="46"/>
      <c r="O162" s="24"/>
      <c r="P162" s="24"/>
    </row>
    <row r="163" spans="1:16" s="9" customFormat="1" ht="45" customHeight="1">
      <c r="A163" s="114" t="s">
        <v>224</v>
      </c>
      <c r="B163" s="28">
        <v>0</v>
      </c>
      <c r="C163" s="28">
        <v>0</v>
      </c>
      <c r="D163" s="28">
        <v>0</v>
      </c>
      <c r="E163" s="28">
        <v>5</v>
      </c>
      <c r="F163" s="28">
        <v>0</v>
      </c>
      <c r="G163" s="29">
        <v>5</v>
      </c>
      <c r="H163" s="28">
        <v>0</v>
      </c>
      <c r="I163" s="28">
        <v>0</v>
      </c>
      <c r="J163" s="28">
        <v>0</v>
      </c>
      <c r="K163" s="28">
        <v>0</v>
      </c>
      <c r="L163" s="28">
        <v>0</v>
      </c>
      <c r="M163" s="29">
        <v>0</v>
      </c>
      <c r="N163" s="30">
        <v>-1</v>
      </c>
      <c r="O163" s="48" t="s">
        <v>225</v>
      </c>
      <c r="P163" s="48" t="s">
        <v>226</v>
      </c>
    </row>
    <row r="164" spans="1:16" s="26" customFormat="1" ht="16.149999999999999">
      <c r="A164" s="33" t="s">
        <v>30</v>
      </c>
      <c r="B164" s="29">
        <v>0</v>
      </c>
      <c r="C164" s="29">
        <v>0</v>
      </c>
      <c r="D164" s="29">
        <v>0</v>
      </c>
      <c r="E164" s="29">
        <v>5</v>
      </c>
      <c r="F164" s="29">
        <v>0</v>
      </c>
      <c r="G164" s="29">
        <v>5</v>
      </c>
      <c r="H164" s="29">
        <v>0</v>
      </c>
      <c r="I164" s="29">
        <v>0</v>
      </c>
      <c r="J164" s="29">
        <v>0</v>
      </c>
      <c r="K164" s="29">
        <v>0</v>
      </c>
      <c r="L164" s="29">
        <v>0</v>
      </c>
      <c r="M164" s="29">
        <v>0</v>
      </c>
      <c r="N164" s="35">
        <v>-1</v>
      </c>
      <c r="O164" s="36"/>
      <c r="P164" s="36"/>
    </row>
    <row r="165" spans="1:16" s="9" customFormat="1" ht="16.149999999999999">
      <c r="A165" s="115"/>
      <c r="B165" s="116"/>
      <c r="C165" s="117"/>
      <c r="D165" s="117"/>
      <c r="E165" s="117"/>
      <c r="F165" s="117"/>
      <c r="G165" s="117"/>
      <c r="H165" s="117"/>
      <c r="I165" s="117"/>
      <c r="J165" s="117"/>
      <c r="K165" s="117"/>
      <c r="L165" s="117"/>
      <c r="M165" s="117"/>
      <c r="N165" s="118"/>
      <c r="O165" s="119"/>
      <c r="P165" s="120"/>
    </row>
    <row r="166" spans="1:16" s="26" customFormat="1" ht="16.149999999999999">
      <c r="A166" s="58"/>
      <c r="B166" s="43"/>
      <c r="C166" s="43"/>
      <c r="D166" s="43"/>
      <c r="E166" s="43"/>
      <c r="F166" s="43"/>
      <c r="G166" s="43"/>
      <c r="H166" s="43"/>
      <c r="I166" s="43"/>
      <c r="J166" s="43"/>
      <c r="K166" s="43"/>
      <c r="L166" s="43"/>
      <c r="M166" s="43"/>
      <c r="N166" s="44"/>
      <c r="O166" s="41"/>
      <c r="P166" s="41"/>
    </row>
    <row r="167" spans="1:16" s="26" customFormat="1" ht="16.149999999999999">
      <c r="A167" s="21" t="s">
        <v>227</v>
      </c>
      <c r="B167" s="45"/>
      <c r="C167" s="45"/>
      <c r="D167" s="45"/>
      <c r="E167" s="45"/>
      <c r="F167" s="45"/>
      <c r="G167" s="45"/>
      <c r="H167" s="45"/>
      <c r="I167" s="45"/>
      <c r="J167" s="45"/>
      <c r="K167" s="45"/>
      <c r="L167" s="45"/>
      <c r="M167" s="45"/>
      <c r="N167" s="46"/>
      <c r="O167" s="24"/>
      <c r="P167" s="24"/>
    </row>
    <row r="168" spans="1:16" s="9" customFormat="1" ht="32.450000000000003">
      <c r="A168" s="47" t="s">
        <v>228</v>
      </c>
      <c r="B168" s="28">
        <v>0</v>
      </c>
      <c r="C168" s="28">
        <v>0</v>
      </c>
      <c r="D168" s="28">
        <v>-20</v>
      </c>
      <c r="E168" s="28">
        <v>0</v>
      </c>
      <c r="F168" s="28">
        <v>0</v>
      </c>
      <c r="G168" s="29">
        <v>-20</v>
      </c>
      <c r="H168" s="28">
        <v>0</v>
      </c>
      <c r="I168" s="28">
        <v>0</v>
      </c>
      <c r="J168" s="28">
        <v>-20</v>
      </c>
      <c r="K168" s="28">
        <v>0</v>
      </c>
      <c r="L168" s="28">
        <v>0</v>
      </c>
      <c r="M168" s="29">
        <v>-20</v>
      </c>
      <c r="N168" s="30">
        <v>0</v>
      </c>
      <c r="O168" s="48" t="s">
        <v>229</v>
      </c>
      <c r="P168" s="48" t="s">
        <v>47</v>
      </c>
    </row>
    <row r="169" spans="1:16" s="26" customFormat="1" ht="16.149999999999999">
      <c r="A169" s="33" t="s">
        <v>30</v>
      </c>
      <c r="B169" s="29">
        <v>0</v>
      </c>
      <c r="C169" s="34">
        <v>0</v>
      </c>
      <c r="D169" s="34">
        <v>-20</v>
      </c>
      <c r="E169" s="34">
        <v>0</v>
      </c>
      <c r="F169" s="34">
        <v>0</v>
      </c>
      <c r="G169" s="34">
        <v>-20</v>
      </c>
      <c r="H169" s="34">
        <v>0</v>
      </c>
      <c r="I169" s="34">
        <v>0</v>
      </c>
      <c r="J169" s="34">
        <v>-20</v>
      </c>
      <c r="K169" s="34">
        <v>0</v>
      </c>
      <c r="L169" s="34">
        <v>0</v>
      </c>
      <c r="M169" s="34">
        <v>-20</v>
      </c>
      <c r="N169" s="35">
        <v>0</v>
      </c>
      <c r="O169" s="36"/>
      <c r="P169" s="36"/>
    </row>
    <row r="170" spans="1:16" s="9" customFormat="1" ht="16.149999999999999">
      <c r="A170" s="73"/>
      <c r="B170" s="74"/>
      <c r="C170" s="75"/>
      <c r="D170" s="75"/>
      <c r="E170" s="75"/>
      <c r="F170" s="75"/>
      <c r="G170" s="75"/>
      <c r="H170" s="75"/>
      <c r="I170" s="75"/>
      <c r="J170" s="75"/>
      <c r="K170" s="75"/>
      <c r="L170" s="75"/>
      <c r="M170" s="75"/>
      <c r="N170" s="76"/>
      <c r="O170" s="111"/>
      <c r="P170" s="112"/>
    </row>
    <row r="171" spans="1:16" s="9" customFormat="1" ht="16.149999999999999">
      <c r="A171" s="15"/>
      <c r="B171" s="38"/>
      <c r="C171" s="38"/>
      <c r="D171" s="38"/>
      <c r="E171" s="38"/>
      <c r="F171" s="38"/>
      <c r="G171" s="39"/>
      <c r="H171" s="39"/>
      <c r="I171" s="39"/>
      <c r="J171" s="39"/>
      <c r="K171" s="39"/>
      <c r="L171" s="39"/>
      <c r="M171" s="39"/>
      <c r="N171" s="40"/>
      <c r="O171" s="19"/>
      <c r="P171" s="20"/>
    </row>
    <row r="172" spans="1:16" s="26" customFormat="1" ht="16.149999999999999">
      <c r="A172" s="121" t="s">
        <v>230</v>
      </c>
      <c r="B172" s="122">
        <v>17684.272999999997</v>
      </c>
      <c r="C172" s="122">
        <v>367.04899999999998</v>
      </c>
      <c r="D172" s="122">
        <v>739.17399999999998</v>
      </c>
      <c r="E172" s="122">
        <v>5</v>
      </c>
      <c r="F172" s="122">
        <v>104.96299999999999</v>
      </c>
      <c r="G172" s="122">
        <v>18900.458999999999</v>
      </c>
      <c r="H172" s="122">
        <v>18220.992999999999</v>
      </c>
      <c r="I172" s="122">
        <v>393.84399999999999</v>
      </c>
      <c r="J172" s="122">
        <v>820.33299999999997</v>
      </c>
      <c r="K172" s="122">
        <v>0</v>
      </c>
      <c r="L172" s="122">
        <v>103.67</v>
      </c>
      <c r="M172" s="122">
        <v>19538.839999999997</v>
      </c>
      <c r="N172" s="123">
        <v>3.3775952213647174E-2</v>
      </c>
      <c r="O172" s="124"/>
      <c r="P172" s="125"/>
    </row>
    <row r="173" spans="1:16" s="9" customFormat="1" ht="16.149999999999999">
      <c r="A173" s="15"/>
      <c r="B173" s="38"/>
      <c r="C173" s="38"/>
      <c r="D173" s="38"/>
      <c r="E173" s="38"/>
      <c r="F173" s="38"/>
      <c r="G173" s="39"/>
      <c r="H173" s="39"/>
      <c r="I173" s="39"/>
      <c r="J173" s="39"/>
      <c r="K173" s="39"/>
      <c r="L173" s="39"/>
      <c r="M173" s="39"/>
      <c r="N173" s="40"/>
      <c r="O173" s="19"/>
      <c r="P173" s="20"/>
    </row>
    <row r="174" spans="1:16" s="26" customFormat="1" ht="16.149999999999999">
      <c r="A174" s="21" t="s">
        <v>231</v>
      </c>
      <c r="B174" s="45"/>
      <c r="C174" s="45"/>
      <c r="D174" s="45"/>
      <c r="E174" s="45"/>
      <c r="F174" s="45"/>
      <c r="G174" s="45"/>
      <c r="H174" s="45"/>
      <c r="I174" s="45"/>
      <c r="J174" s="45"/>
      <c r="K174" s="45"/>
      <c r="L174" s="45"/>
      <c r="M174" s="45"/>
      <c r="N174" s="46"/>
      <c r="O174" s="24"/>
      <c r="P174" s="24"/>
    </row>
    <row r="175" spans="1:16" s="9" customFormat="1" ht="48.6">
      <c r="A175" s="126" t="s">
        <v>30</v>
      </c>
      <c r="B175" s="127">
        <v>22.004999999999999</v>
      </c>
      <c r="C175" s="127">
        <v>0.61299999999999999</v>
      </c>
      <c r="D175" s="127">
        <v>0</v>
      </c>
      <c r="E175" s="127">
        <v>0</v>
      </c>
      <c r="F175" s="127">
        <v>0.35</v>
      </c>
      <c r="G175" s="29">
        <v>22.968</v>
      </c>
      <c r="H175" s="28">
        <v>21.97</v>
      </c>
      <c r="I175" s="28">
        <v>0.61299999999999999</v>
      </c>
      <c r="J175" s="28">
        <v>0</v>
      </c>
      <c r="K175" s="28">
        <v>0</v>
      </c>
      <c r="L175" s="28">
        <v>0.35</v>
      </c>
      <c r="M175" s="29">
        <v>22.933</v>
      </c>
      <c r="N175" s="30">
        <v>-1.5238592824799782E-3</v>
      </c>
      <c r="O175" s="128" t="s">
        <v>232</v>
      </c>
      <c r="P175" s="48" t="s">
        <v>233</v>
      </c>
    </row>
    <row r="176" spans="1:16" s="9" customFormat="1" ht="16.149999999999999">
      <c r="A176" s="129"/>
      <c r="G176" s="26"/>
      <c r="H176" s="26"/>
      <c r="I176" s="26"/>
      <c r="J176" s="26"/>
      <c r="K176" s="26"/>
      <c r="L176" s="26"/>
      <c r="M176" s="26"/>
      <c r="N176" s="130"/>
      <c r="O176" s="131"/>
      <c r="P176" s="132"/>
    </row>
    <row r="177" spans="1:16" s="9" customFormat="1" ht="16.149999999999999">
      <c r="A177" s="121" t="s">
        <v>234</v>
      </c>
      <c r="B177" s="122">
        <v>17706.277999999998</v>
      </c>
      <c r="C177" s="122">
        <v>367.66199999999998</v>
      </c>
      <c r="D177" s="122">
        <v>739.17399999999998</v>
      </c>
      <c r="E177" s="122">
        <v>5</v>
      </c>
      <c r="F177" s="122">
        <v>105.31299999999999</v>
      </c>
      <c r="G177" s="122">
        <v>18923.427</v>
      </c>
      <c r="H177" s="122">
        <v>18242.963</v>
      </c>
      <c r="I177" s="122">
        <v>394.45699999999999</v>
      </c>
      <c r="J177" s="122">
        <v>820.33299999999997</v>
      </c>
      <c r="K177" s="122">
        <v>0</v>
      </c>
      <c r="L177" s="122">
        <v>104.02</v>
      </c>
      <c r="M177" s="122">
        <v>19561.772999999997</v>
      </c>
      <c r="N177" s="123">
        <v>3.3733107644825525E-2</v>
      </c>
      <c r="O177" s="131"/>
      <c r="P177" s="132"/>
    </row>
    <row r="178" spans="1:16" s="9" customFormat="1" ht="16.149999999999999">
      <c r="A178"/>
      <c r="B178"/>
      <c r="C178"/>
      <c r="D178"/>
      <c r="E178"/>
      <c r="F178"/>
      <c r="G178"/>
      <c r="H178"/>
      <c r="I178"/>
      <c r="J178"/>
      <c r="K178"/>
      <c r="L178"/>
      <c r="M178"/>
      <c r="N178"/>
      <c r="O178" s="131"/>
      <c r="P178" s="132"/>
    </row>
    <row r="179" spans="1:16" s="9" customFormat="1" ht="15.75">
      <c r="A179" s="3"/>
      <c r="B179"/>
      <c r="C179"/>
      <c r="D179"/>
      <c r="E179"/>
      <c r="F179"/>
      <c r="G179"/>
      <c r="H179"/>
      <c r="I179"/>
      <c r="J179"/>
      <c r="K179"/>
      <c r="L179"/>
      <c r="M179"/>
      <c r="N179"/>
      <c r="O179"/>
      <c r="P179"/>
    </row>
    <row r="180" spans="1:16" s="9" customFormat="1" ht="16.149999999999999">
      <c r="A180" s="3"/>
      <c r="B180"/>
      <c r="C180"/>
      <c r="D180"/>
      <c r="E180"/>
      <c r="F180"/>
      <c r="G180"/>
      <c r="H180"/>
      <c r="I180"/>
      <c r="J180"/>
      <c r="K180"/>
      <c r="L180"/>
      <c r="M180"/>
      <c r="N180"/>
      <c r="O180"/>
      <c r="P18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B60B-C7B0-43BC-8DFD-0BCB875DE4A9}">
  <sheetPr>
    <tabColor theme="8" tint="-0.499984740745262"/>
  </sheetPr>
  <dimension ref="A1:P257"/>
  <sheetViews>
    <sheetView showGridLines="0" zoomScale="50" zoomScaleNormal="50" workbookViewId="0">
      <pane xSplit="1" ySplit="4" topLeftCell="H102" activePane="bottomRight" state="frozen"/>
      <selection pane="bottomRight" activeCell="O103" sqref="O103"/>
      <selection pane="bottomLeft" activeCell="L36" sqref="L36"/>
      <selection pane="topRight" activeCell="L36" sqref="L36"/>
    </sheetView>
  </sheetViews>
  <sheetFormatPr defaultColWidth="9.28515625" defaultRowHeight="14.45" outlineLevelCol="1"/>
  <cols>
    <col min="1" max="1" width="42.28515625" style="3" customWidth="1"/>
    <col min="2" max="14" width="17.7109375" customWidth="1" outlineLevel="1"/>
    <col min="15" max="16" width="75.7109375" customWidth="1" outlineLevel="1"/>
    <col min="17" max="84" width="14" customWidth="1"/>
  </cols>
  <sheetData>
    <row r="1" spans="1:16" ht="23.65" customHeight="1" thickBot="1"/>
    <row r="2" spans="1:16" ht="23.65" customHeight="1">
      <c r="A2" s="574"/>
      <c r="B2" s="576"/>
      <c r="C2" s="577"/>
      <c r="D2" s="577"/>
      <c r="E2" s="577"/>
      <c r="F2" s="577"/>
      <c r="G2" s="575"/>
      <c r="H2" s="576"/>
      <c r="I2" s="577"/>
      <c r="J2" s="577"/>
      <c r="K2" s="577"/>
      <c r="L2" s="577"/>
      <c r="M2" s="575"/>
      <c r="N2" s="578"/>
      <c r="O2" s="579"/>
      <c r="P2" s="580"/>
    </row>
    <row r="3" spans="1:16" ht="100.15" customHeight="1">
      <c r="A3" s="685" t="s">
        <v>3</v>
      </c>
      <c r="B3" s="11" t="s">
        <v>11</v>
      </c>
      <c r="C3" s="11" t="s">
        <v>12</v>
      </c>
      <c r="D3" s="11" t="s">
        <v>13</v>
      </c>
      <c r="E3" s="11" t="s">
        <v>14</v>
      </c>
      <c r="F3" s="11" t="s">
        <v>15</v>
      </c>
      <c r="G3" s="11" t="s">
        <v>16</v>
      </c>
      <c r="H3" s="11" t="s">
        <v>17</v>
      </c>
      <c r="I3" s="11" t="s">
        <v>18</v>
      </c>
      <c r="J3" s="11" t="s">
        <v>19</v>
      </c>
      <c r="K3" s="11" t="s">
        <v>20</v>
      </c>
      <c r="L3" s="11" t="s">
        <v>21</v>
      </c>
      <c r="M3" s="11" t="s">
        <v>22</v>
      </c>
      <c r="N3" s="12" t="s">
        <v>23</v>
      </c>
      <c r="O3" s="13" t="s">
        <v>24</v>
      </c>
      <c r="P3" s="276" t="s">
        <v>25</v>
      </c>
    </row>
    <row r="4" spans="1:16" ht="22.9" thickBot="1">
      <c r="A4" s="273"/>
      <c r="B4" s="272"/>
      <c r="C4" s="272"/>
      <c r="D4" s="272"/>
      <c r="E4" s="272"/>
      <c r="F4" s="272"/>
      <c r="G4" s="272"/>
      <c r="H4" s="272"/>
      <c r="I4" s="272"/>
      <c r="J4" s="272"/>
      <c r="K4" s="272"/>
      <c r="L4" s="272"/>
      <c r="M4" s="272"/>
      <c r="N4" s="581"/>
      <c r="O4" s="270"/>
      <c r="P4" s="270"/>
    </row>
    <row r="5" spans="1:16" ht="16.149999999999999">
      <c r="A5" s="936"/>
      <c r="B5" s="937"/>
      <c r="C5" s="937"/>
      <c r="D5" s="937"/>
      <c r="E5" s="937"/>
      <c r="F5" s="937"/>
      <c r="G5" s="937"/>
      <c r="H5" s="937"/>
      <c r="I5" s="937"/>
      <c r="J5" s="937"/>
      <c r="K5" s="937"/>
      <c r="L5" s="937"/>
      <c r="M5" s="937"/>
      <c r="N5" s="937"/>
      <c r="O5" s="937"/>
      <c r="P5" s="937"/>
    </row>
    <row r="6" spans="1:16" ht="16.149999999999999">
      <c r="A6" s="193" t="s">
        <v>235</v>
      </c>
      <c r="B6" s="213"/>
      <c r="C6" s="213"/>
      <c r="D6" s="213"/>
      <c r="E6" s="213"/>
      <c r="F6" s="213"/>
      <c r="G6" s="213"/>
      <c r="H6" s="213"/>
      <c r="I6" s="213"/>
      <c r="J6" s="213"/>
      <c r="K6" s="213"/>
      <c r="L6" s="213"/>
      <c r="M6" s="213"/>
      <c r="N6" s="213"/>
      <c r="O6" s="981"/>
      <c r="P6" s="981"/>
    </row>
    <row r="7" spans="1:16" ht="48.6">
      <c r="A7" s="146" t="s">
        <v>236</v>
      </c>
      <c r="B7" s="149">
        <v>3.07</v>
      </c>
      <c r="C7" s="149">
        <v>0</v>
      </c>
      <c r="D7" s="149">
        <v>0</v>
      </c>
      <c r="E7" s="149">
        <v>0</v>
      </c>
      <c r="F7" s="149">
        <v>0</v>
      </c>
      <c r="G7" s="222">
        <v>3.07</v>
      </c>
      <c r="H7" s="149">
        <v>5.0469999999999997</v>
      </c>
      <c r="I7" s="149">
        <v>0</v>
      </c>
      <c r="J7" s="149">
        <v>0</v>
      </c>
      <c r="K7" s="149">
        <v>0</v>
      </c>
      <c r="L7" s="149">
        <v>0</v>
      </c>
      <c r="M7" s="222">
        <v>5.0469999999999997</v>
      </c>
      <c r="N7" s="982">
        <v>0.64397394136807817</v>
      </c>
      <c r="O7" s="146" t="s">
        <v>237</v>
      </c>
      <c r="P7" s="145" t="s">
        <v>238</v>
      </c>
    </row>
    <row r="8" spans="1:16" ht="48.6">
      <c r="A8" s="146" t="s">
        <v>239</v>
      </c>
      <c r="B8" s="149">
        <v>1.25</v>
      </c>
      <c r="C8" s="149">
        <v>0</v>
      </c>
      <c r="D8" s="149">
        <v>0</v>
      </c>
      <c r="E8" s="149">
        <v>0</v>
      </c>
      <c r="F8" s="149">
        <v>0</v>
      </c>
      <c r="G8" s="222">
        <v>1.25</v>
      </c>
      <c r="H8" s="149">
        <v>0</v>
      </c>
      <c r="I8" s="149">
        <v>0</v>
      </c>
      <c r="J8" s="149">
        <v>0</v>
      </c>
      <c r="K8" s="149">
        <v>0</v>
      </c>
      <c r="L8" s="149">
        <v>0</v>
      </c>
      <c r="M8" s="222">
        <v>0</v>
      </c>
      <c r="N8" s="982">
        <v>-1</v>
      </c>
      <c r="O8" s="146" t="s">
        <v>240</v>
      </c>
      <c r="P8" s="145" t="s">
        <v>238</v>
      </c>
    </row>
    <row r="9" spans="1:16" ht="16.149999999999999">
      <c r="A9" s="177" t="s">
        <v>241</v>
      </c>
      <c r="B9" s="176">
        <v>4.32</v>
      </c>
      <c r="C9" s="176">
        <v>0</v>
      </c>
      <c r="D9" s="176">
        <v>0</v>
      </c>
      <c r="E9" s="176">
        <v>0</v>
      </c>
      <c r="F9" s="176">
        <v>0</v>
      </c>
      <c r="G9" s="176">
        <v>4.32</v>
      </c>
      <c r="H9" s="176">
        <v>5.0469999999999997</v>
      </c>
      <c r="I9" s="176">
        <v>0</v>
      </c>
      <c r="J9" s="176">
        <v>0</v>
      </c>
      <c r="K9" s="176">
        <v>0</v>
      </c>
      <c r="L9" s="176">
        <v>0</v>
      </c>
      <c r="M9" s="176">
        <v>5.0469999999999997</v>
      </c>
      <c r="N9" s="983">
        <v>0.1682870370370369</v>
      </c>
      <c r="O9" s="176"/>
      <c r="P9" s="984"/>
    </row>
    <row r="10" spans="1:16" s="285" customFormat="1" ht="16.899999999999999" thickBot="1">
      <c r="A10" s="302"/>
      <c r="B10" s="303"/>
      <c r="C10" s="303"/>
      <c r="D10" s="303"/>
      <c r="E10" s="303"/>
      <c r="F10" s="303"/>
      <c r="G10" s="303"/>
      <c r="H10" s="303"/>
      <c r="I10" s="303"/>
      <c r="J10" s="303"/>
      <c r="K10" s="303"/>
      <c r="L10" s="303"/>
      <c r="M10" s="303"/>
      <c r="N10" s="304"/>
      <c r="O10" s="305"/>
      <c r="P10" s="305"/>
    </row>
    <row r="11" spans="1:16" ht="32.450000000000003">
      <c r="A11" s="985" t="s">
        <v>242</v>
      </c>
      <c r="B11" s="986"/>
      <c r="C11" s="986"/>
      <c r="D11" s="986"/>
      <c r="E11" s="986"/>
      <c r="F11" s="986"/>
      <c r="G11" s="986"/>
      <c r="H11" s="986"/>
      <c r="I11" s="986"/>
      <c r="J11" s="986"/>
      <c r="K11" s="986"/>
      <c r="L11" s="986"/>
      <c r="M11" s="986"/>
      <c r="N11" s="986"/>
      <c r="O11" s="986"/>
      <c r="P11" s="986"/>
    </row>
    <row r="12" spans="1:16" ht="48.6">
      <c r="A12" s="942" t="s">
        <v>243</v>
      </c>
      <c r="B12" s="259">
        <v>0.75</v>
      </c>
      <c r="C12" s="150">
        <v>0</v>
      </c>
      <c r="D12" s="150">
        <v>0</v>
      </c>
      <c r="E12" s="150">
        <v>0</v>
      </c>
      <c r="F12" s="259">
        <v>0</v>
      </c>
      <c r="G12" s="783">
        <v>0.75</v>
      </c>
      <c r="H12" s="149">
        <v>0.75</v>
      </c>
      <c r="I12" s="149">
        <v>0</v>
      </c>
      <c r="J12" s="149">
        <v>0</v>
      </c>
      <c r="K12" s="149">
        <v>0</v>
      </c>
      <c r="L12" s="149">
        <v>0</v>
      </c>
      <c r="M12" s="783">
        <v>0.75</v>
      </c>
      <c r="N12" s="982">
        <v>0</v>
      </c>
      <c r="O12" s="146" t="s">
        <v>244</v>
      </c>
      <c r="P12" s="145" t="s">
        <v>245</v>
      </c>
    </row>
    <row r="13" spans="1:16" ht="48.6">
      <c r="A13" s="942" t="s">
        <v>246</v>
      </c>
      <c r="B13" s="259">
        <v>0.437</v>
      </c>
      <c r="C13" s="150">
        <v>0</v>
      </c>
      <c r="D13" s="150">
        <v>0</v>
      </c>
      <c r="E13" s="150">
        <v>0</v>
      </c>
      <c r="F13" s="259">
        <v>0</v>
      </c>
      <c r="G13" s="783">
        <v>0.437</v>
      </c>
      <c r="H13" s="149">
        <v>0.39400000000000002</v>
      </c>
      <c r="I13" s="149">
        <v>0</v>
      </c>
      <c r="J13" s="149">
        <v>0</v>
      </c>
      <c r="K13" s="149">
        <v>0</v>
      </c>
      <c r="L13" s="149">
        <v>0</v>
      </c>
      <c r="M13" s="783">
        <v>0.39400000000000002</v>
      </c>
      <c r="N13" s="982">
        <v>-9.83981693363844E-2</v>
      </c>
      <c r="O13" s="146" t="s">
        <v>247</v>
      </c>
      <c r="P13" s="145" t="s">
        <v>204</v>
      </c>
    </row>
    <row r="14" spans="1:16" ht="32.450000000000003">
      <c r="A14" s="942" t="s">
        <v>248</v>
      </c>
      <c r="B14" s="259">
        <v>0.13</v>
      </c>
      <c r="C14" s="150">
        <v>0</v>
      </c>
      <c r="D14" s="150">
        <v>0</v>
      </c>
      <c r="E14" s="150">
        <v>0</v>
      </c>
      <c r="F14" s="259">
        <v>0</v>
      </c>
      <c r="G14" s="783">
        <v>0.13</v>
      </c>
      <c r="H14" s="149">
        <v>0.13</v>
      </c>
      <c r="I14" s="149">
        <v>0</v>
      </c>
      <c r="J14" s="149">
        <v>0</v>
      </c>
      <c r="K14" s="149">
        <v>0</v>
      </c>
      <c r="L14" s="149">
        <v>0</v>
      </c>
      <c r="M14" s="783">
        <v>0.13</v>
      </c>
      <c r="N14" s="982">
        <v>0</v>
      </c>
      <c r="O14" s="943" t="s">
        <v>249</v>
      </c>
      <c r="P14" s="944" t="s">
        <v>204</v>
      </c>
    </row>
    <row r="15" spans="1:16" ht="32.450000000000003">
      <c r="A15" s="942" t="s">
        <v>250</v>
      </c>
      <c r="B15" s="259">
        <v>0.03</v>
      </c>
      <c r="C15" s="150">
        <v>0</v>
      </c>
      <c r="D15" s="150">
        <v>0</v>
      </c>
      <c r="E15" s="150">
        <v>0</v>
      </c>
      <c r="F15" s="259">
        <v>0</v>
      </c>
      <c r="G15" s="783">
        <v>0.03</v>
      </c>
      <c r="H15" s="149">
        <v>0.03</v>
      </c>
      <c r="I15" s="149">
        <v>0</v>
      </c>
      <c r="J15" s="149">
        <v>0</v>
      </c>
      <c r="K15" s="149">
        <v>0</v>
      </c>
      <c r="L15" s="149">
        <v>0</v>
      </c>
      <c r="M15" s="783">
        <v>0.03</v>
      </c>
      <c r="N15" s="982">
        <v>0</v>
      </c>
      <c r="O15" s="943" t="s">
        <v>251</v>
      </c>
      <c r="P15" s="944" t="s">
        <v>204</v>
      </c>
    </row>
    <row r="16" spans="1:16" ht="48.6">
      <c r="A16" s="987" t="s">
        <v>252</v>
      </c>
      <c r="B16" s="259">
        <v>9.8219999999999992</v>
      </c>
      <c r="C16" s="150">
        <v>0</v>
      </c>
      <c r="D16" s="150">
        <v>0</v>
      </c>
      <c r="E16" s="150">
        <v>0</v>
      </c>
      <c r="F16" s="259">
        <v>0</v>
      </c>
      <c r="G16" s="783">
        <v>9.8219999999999992</v>
      </c>
      <c r="H16" s="149">
        <v>5.8100000000000005</v>
      </c>
      <c r="I16" s="149">
        <v>0</v>
      </c>
      <c r="J16" s="149">
        <v>0</v>
      </c>
      <c r="K16" s="149">
        <v>0</v>
      </c>
      <c r="L16" s="149">
        <v>0</v>
      </c>
      <c r="M16" s="783">
        <v>5.8100000000000005</v>
      </c>
      <c r="N16" s="982">
        <v>-0.40847077988189767</v>
      </c>
      <c r="O16" s="943" t="s">
        <v>253</v>
      </c>
      <c r="P16" s="944" t="s">
        <v>254</v>
      </c>
    </row>
    <row r="17" spans="1:16" ht="32.450000000000003">
      <c r="A17" s="988" t="s">
        <v>255</v>
      </c>
      <c r="B17" s="989">
        <v>11.168999999999999</v>
      </c>
      <c r="C17" s="989">
        <v>0</v>
      </c>
      <c r="D17" s="989">
        <v>0</v>
      </c>
      <c r="E17" s="989">
        <v>0</v>
      </c>
      <c r="F17" s="989">
        <v>0</v>
      </c>
      <c r="G17" s="989">
        <v>11.168999999999999</v>
      </c>
      <c r="H17" s="989">
        <v>7.1140000000000008</v>
      </c>
      <c r="I17" s="989">
        <v>0</v>
      </c>
      <c r="J17" s="989">
        <v>0</v>
      </c>
      <c r="K17" s="989">
        <v>0</v>
      </c>
      <c r="L17" s="989">
        <v>0</v>
      </c>
      <c r="M17" s="989">
        <v>7.1140000000000008</v>
      </c>
      <c r="N17" s="983">
        <v>-0.36305846539529041</v>
      </c>
      <c r="O17" s="978"/>
      <c r="P17" s="793"/>
    </row>
    <row r="18" spans="1:16" s="285" customFormat="1" ht="16.149999999999999">
      <c r="A18" s="990"/>
      <c r="B18" s="991"/>
      <c r="C18" s="991"/>
      <c r="D18" s="991"/>
      <c r="E18" s="991"/>
      <c r="F18" s="991"/>
      <c r="G18" s="992"/>
      <c r="H18" s="993"/>
      <c r="I18" s="993"/>
      <c r="J18" s="993"/>
      <c r="K18" s="993"/>
      <c r="L18" s="993"/>
      <c r="M18" s="992"/>
      <c r="N18" s="994"/>
      <c r="O18" s="995"/>
      <c r="P18" s="995"/>
    </row>
    <row r="19" spans="1:16" ht="16.149999999999999">
      <c r="A19" s="193" t="s">
        <v>256</v>
      </c>
      <c r="B19" s="213"/>
      <c r="C19" s="213"/>
      <c r="D19" s="213"/>
      <c r="E19" s="213"/>
      <c r="F19" s="213"/>
      <c r="G19" s="213"/>
      <c r="H19" s="213"/>
      <c r="I19" s="213"/>
      <c r="J19" s="213"/>
      <c r="K19" s="213"/>
      <c r="L19" s="213"/>
      <c r="M19" s="213"/>
      <c r="N19" s="213"/>
      <c r="O19" s="981"/>
      <c r="P19" s="981"/>
    </row>
    <row r="20" spans="1:16" ht="31.9" customHeight="1">
      <c r="A20" s="146" t="s">
        <v>256</v>
      </c>
      <c r="B20" s="149">
        <v>2.181</v>
      </c>
      <c r="C20" s="149">
        <v>0.38900000000000001</v>
      </c>
      <c r="D20" s="149">
        <v>2.82</v>
      </c>
      <c r="E20" s="149">
        <v>0</v>
      </c>
      <c r="F20" s="149">
        <v>0.16800000000000001</v>
      </c>
      <c r="G20" s="222">
        <v>5.5580000000000007</v>
      </c>
      <c r="H20" s="149">
        <v>3.33</v>
      </c>
      <c r="I20" s="149">
        <v>0.41700000000000004</v>
      </c>
      <c r="J20" s="149">
        <v>0</v>
      </c>
      <c r="K20" s="149">
        <v>0</v>
      </c>
      <c r="L20" s="149">
        <v>0</v>
      </c>
      <c r="M20" s="222">
        <v>3.7469999999999999</v>
      </c>
      <c r="N20" s="982">
        <v>-0.32583663188197204</v>
      </c>
      <c r="O20" s="146" t="s">
        <v>257</v>
      </c>
      <c r="P20" s="145" t="s">
        <v>238</v>
      </c>
    </row>
    <row r="21" spans="1:16" ht="129.6">
      <c r="A21" s="942" t="s">
        <v>258</v>
      </c>
      <c r="B21" s="259">
        <v>0.78500000000000003</v>
      </c>
      <c r="C21" s="150">
        <v>0</v>
      </c>
      <c r="D21" s="150">
        <v>0</v>
      </c>
      <c r="E21" s="150">
        <v>0</v>
      </c>
      <c r="F21" s="259">
        <v>0</v>
      </c>
      <c r="G21" s="783">
        <v>0.78500000000000003</v>
      </c>
      <c r="H21" s="149">
        <v>0.76500000000000001</v>
      </c>
      <c r="I21" s="149">
        <v>0</v>
      </c>
      <c r="J21" s="149">
        <v>0</v>
      </c>
      <c r="K21" s="149">
        <v>0</v>
      </c>
      <c r="L21" s="149">
        <v>0</v>
      </c>
      <c r="M21" s="783">
        <v>0.76500000000000001</v>
      </c>
      <c r="N21" s="982">
        <v>-2.5477707006369449E-2</v>
      </c>
      <c r="O21" s="146" t="s">
        <v>259</v>
      </c>
      <c r="P21" s="145" t="s">
        <v>238</v>
      </c>
    </row>
    <row r="22" spans="1:16" ht="77.650000000000006" customHeight="1">
      <c r="A22" s="711" t="s">
        <v>260</v>
      </c>
      <c r="B22" s="150">
        <v>4.63</v>
      </c>
      <c r="C22" s="712">
        <v>0</v>
      </c>
      <c r="D22" s="712">
        <v>0</v>
      </c>
      <c r="E22" s="712">
        <v>0</v>
      </c>
      <c r="F22" s="712">
        <v>0</v>
      </c>
      <c r="G22" s="695">
        <v>4.63</v>
      </c>
      <c r="H22" s="149">
        <v>4.66</v>
      </c>
      <c r="I22" s="149">
        <v>0</v>
      </c>
      <c r="J22" s="149">
        <v>0</v>
      </c>
      <c r="K22" s="149">
        <v>0</v>
      </c>
      <c r="L22" s="149">
        <v>0</v>
      </c>
      <c r="M22" s="695">
        <v>4.66</v>
      </c>
      <c r="N22" s="982">
        <v>6.4794816414687362E-3</v>
      </c>
      <c r="O22" s="146" t="s">
        <v>261</v>
      </c>
      <c r="P22" s="145" t="s">
        <v>238</v>
      </c>
    </row>
    <row r="23" spans="1:16" ht="48.6">
      <c r="A23" s="146" t="s">
        <v>262</v>
      </c>
      <c r="B23" s="149">
        <v>16.486000000000001</v>
      </c>
      <c r="C23" s="149">
        <v>0</v>
      </c>
      <c r="D23" s="149">
        <v>0</v>
      </c>
      <c r="E23" s="149">
        <v>0</v>
      </c>
      <c r="F23" s="149">
        <v>0</v>
      </c>
      <c r="G23" s="222">
        <v>16.486000000000001</v>
      </c>
      <c r="H23" s="149">
        <v>23.489000000000001</v>
      </c>
      <c r="I23" s="149">
        <v>0</v>
      </c>
      <c r="J23" s="149">
        <v>0</v>
      </c>
      <c r="K23" s="149">
        <v>0</v>
      </c>
      <c r="L23" s="149">
        <v>0</v>
      </c>
      <c r="M23" s="222">
        <v>23.489000000000001</v>
      </c>
      <c r="N23" s="982">
        <v>0.4247846657770229</v>
      </c>
      <c r="O23" s="146" t="s">
        <v>263</v>
      </c>
      <c r="P23" s="145" t="s">
        <v>238</v>
      </c>
    </row>
    <row r="24" spans="1:16" ht="48.6">
      <c r="A24" s="612" t="s">
        <v>264</v>
      </c>
      <c r="B24" s="150">
        <v>24.224</v>
      </c>
      <c r="C24" s="150">
        <v>0</v>
      </c>
      <c r="D24" s="150">
        <v>0</v>
      </c>
      <c r="E24" s="150">
        <v>0</v>
      </c>
      <c r="F24" s="150">
        <v>0</v>
      </c>
      <c r="G24" s="260">
        <v>24.224</v>
      </c>
      <c r="H24" s="259">
        <v>4.7249999999999996</v>
      </c>
      <c r="I24" s="259">
        <v>0</v>
      </c>
      <c r="J24" s="259">
        <v>0</v>
      </c>
      <c r="K24" s="259">
        <v>0</v>
      </c>
      <c r="L24" s="259">
        <v>0</v>
      </c>
      <c r="M24" s="258">
        <v>4.7249999999999996</v>
      </c>
      <c r="N24" s="257">
        <v>-0.8049455085865258</v>
      </c>
      <c r="O24" s="256" t="s">
        <v>238</v>
      </c>
      <c r="P24" s="255" t="s">
        <v>265</v>
      </c>
    </row>
    <row r="25" spans="1:16" ht="16.149999999999999">
      <c r="A25" s="177" t="s">
        <v>266</v>
      </c>
      <c r="B25" s="176">
        <v>48.305999999999997</v>
      </c>
      <c r="C25" s="176">
        <v>0.38900000000000001</v>
      </c>
      <c r="D25" s="176">
        <v>2.82</v>
      </c>
      <c r="E25" s="176">
        <v>0</v>
      </c>
      <c r="F25" s="176">
        <v>0.16800000000000001</v>
      </c>
      <c r="G25" s="176">
        <v>51.683000000000007</v>
      </c>
      <c r="H25" s="176">
        <v>36.969000000000001</v>
      </c>
      <c r="I25" s="176">
        <v>0.41700000000000004</v>
      </c>
      <c r="J25" s="176">
        <v>0</v>
      </c>
      <c r="K25" s="176">
        <v>0</v>
      </c>
      <c r="L25" s="176">
        <v>0</v>
      </c>
      <c r="M25" s="176">
        <v>37.386000000000003</v>
      </c>
      <c r="N25" s="983">
        <v>-0.27662867867577351</v>
      </c>
      <c r="O25" s="176"/>
      <c r="P25" s="984"/>
    </row>
    <row r="26" spans="1:16" ht="16.149999999999999">
      <c r="A26" s="186"/>
      <c r="B26" s="187"/>
      <c r="C26" s="187"/>
      <c r="D26" s="187"/>
      <c r="E26" s="187"/>
      <c r="F26" s="187"/>
      <c r="G26" s="187"/>
      <c r="H26" s="187"/>
      <c r="I26" s="187"/>
      <c r="J26" s="187"/>
      <c r="K26" s="187"/>
      <c r="L26" s="187"/>
      <c r="M26" s="187"/>
      <c r="N26" s="187"/>
      <c r="O26" s="187"/>
      <c r="P26" s="187"/>
    </row>
    <row r="27" spans="1:16" ht="16.149999999999999">
      <c r="A27" s="193" t="s">
        <v>267</v>
      </c>
      <c r="B27" s="213"/>
      <c r="C27" s="213"/>
      <c r="D27" s="213"/>
      <c r="E27" s="213"/>
      <c r="F27" s="213"/>
      <c r="G27" s="213"/>
      <c r="H27" s="213"/>
      <c r="I27" s="213"/>
      <c r="J27" s="213"/>
      <c r="K27" s="213"/>
      <c r="L27" s="213"/>
      <c r="M27" s="213"/>
      <c r="N27" s="212"/>
      <c r="O27" s="981"/>
      <c r="P27" s="981"/>
    </row>
    <row r="28" spans="1:16" ht="113.45">
      <c r="A28" s="189" t="s">
        <v>268</v>
      </c>
      <c r="B28" s="149">
        <v>8084.7629999999999</v>
      </c>
      <c r="C28" s="149">
        <v>0</v>
      </c>
      <c r="D28" s="149">
        <v>0</v>
      </c>
      <c r="E28" s="149">
        <v>0</v>
      </c>
      <c r="F28" s="149">
        <v>0</v>
      </c>
      <c r="G28" s="222">
        <v>8084.7629999999999</v>
      </c>
      <c r="H28" s="149">
        <v>8403.9</v>
      </c>
      <c r="I28" s="149">
        <v>0</v>
      </c>
      <c r="J28" s="149">
        <v>0</v>
      </c>
      <c r="K28" s="149">
        <v>0</v>
      </c>
      <c r="L28" s="149">
        <v>0</v>
      </c>
      <c r="M28" s="222">
        <v>8403.9</v>
      </c>
      <c r="N28" s="982">
        <v>3.9473884392158397E-2</v>
      </c>
      <c r="O28" s="146" t="s">
        <v>269</v>
      </c>
      <c r="P28" s="145" t="s">
        <v>270</v>
      </c>
    </row>
    <row r="29" spans="1:16" ht="16.149999999999999">
      <c r="A29" s="146" t="s">
        <v>271</v>
      </c>
      <c r="B29" s="149">
        <v>0</v>
      </c>
      <c r="C29" s="149">
        <v>0</v>
      </c>
      <c r="D29" s="149">
        <v>0</v>
      </c>
      <c r="E29" s="149">
        <v>0</v>
      </c>
      <c r="F29" s="149">
        <v>3047</v>
      </c>
      <c r="G29" s="222">
        <v>3047</v>
      </c>
      <c r="H29" s="149">
        <v>0</v>
      </c>
      <c r="I29" s="149">
        <v>0</v>
      </c>
      <c r="J29" s="149">
        <v>0</v>
      </c>
      <c r="K29" s="149">
        <v>0</v>
      </c>
      <c r="L29" s="149">
        <v>3068</v>
      </c>
      <c r="M29" s="222">
        <v>3068</v>
      </c>
      <c r="N29" s="982">
        <v>6.892024942566459E-3</v>
      </c>
      <c r="O29" s="146" t="s">
        <v>272</v>
      </c>
      <c r="P29" s="145" t="s">
        <v>238</v>
      </c>
    </row>
    <row r="30" spans="1:16" ht="48" customHeight="1">
      <c r="A30" s="146" t="s">
        <v>273</v>
      </c>
      <c r="B30" s="149">
        <v>0</v>
      </c>
      <c r="C30" s="149">
        <v>0</v>
      </c>
      <c r="D30" s="149">
        <v>0</v>
      </c>
      <c r="E30" s="149">
        <v>0</v>
      </c>
      <c r="F30" s="149">
        <v>0</v>
      </c>
      <c r="G30" s="222">
        <v>0</v>
      </c>
      <c r="H30" s="149">
        <v>144</v>
      </c>
      <c r="I30" s="149">
        <v>0</v>
      </c>
      <c r="J30" s="149">
        <v>0</v>
      </c>
      <c r="K30" s="149">
        <v>0</v>
      </c>
      <c r="L30" s="149">
        <v>0</v>
      </c>
      <c r="M30" s="222">
        <v>144</v>
      </c>
      <c r="N30" s="982" t="s">
        <v>204</v>
      </c>
      <c r="O30" s="146" t="s">
        <v>238</v>
      </c>
      <c r="P30" s="145" t="s">
        <v>238</v>
      </c>
    </row>
    <row r="31" spans="1:16" ht="48.6">
      <c r="A31" s="146" t="s">
        <v>274</v>
      </c>
      <c r="B31" s="149">
        <v>0</v>
      </c>
      <c r="C31" s="149">
        <v>0</v>
      </c>
      <c r="D31" s="149">
        <v>607.6</v>
      </c>
      <c r="E31" s="149">
        <v>0</v>
      </c>
      <c r="F31" s="149">
        <v>0</v>
      </c>
      <c r="G31" s="222">
        <v>607.6</v>
      </c>
      <c r="H31" s="149">
        <v>0</v>
      </c>
      <c r="I31" s="149">
        <v>0</v>
      </c>
      <c r="J31" s="149">
        <v>476.9</v>
      </c>
      <c r="K31" s="149">
        <v>0</v>
      </c>
      <c r="L31" s="149">
        <v>0</v>
      </c>
      <c r="M31" s="222">
        <v>476.9</v>
      </c>
      <c r="N31" s="982">
        <v>-0.21510862409479928</v>
      </c>
      <c r="O31" s="146" t="s">
        <v>275</v>
      </c>
      <c r="P31" s="145" t="s">
        <v>276</v>
      </c>
    </row>
    <row r="32" spans="1:16" ht="64.900000000000006">
      <c r="A32" s="223" t="s">
        <v>277</v>
      </c>
      <c r="B32" s="149">
        <v>230.244</v>
      </c>
      <c r="C32" s="149">
        <v>0</v>
      </c>
      <c r="D32" s="149">
        <v>0</v>
      </c>
      <c r="E32" s="149">
        <v>0</v>
      </c>
      <c r="F32" s="149">
        <v>0</v>
      </c>
      <c r="G32" s="222">
        <v>230.244</v>
      </c>
      <c r="H32" s="149">
        <v>238.8</v>
      </c>
      <c r="I32" s="149">
        <v>0</v>
      </c>
      <c r="J32" s="149">
        <v>0</v>
      </c>
      <c r="K32" s="149">
        <v>0</v>
      </c>
      <c r="L32" s="149">
        <v>0</v>
      </c>
      <c r="M32" s="222">
        <v>238.8</v>
      </c>
      <c r="N32" s="982">
        <v>3.716057747433163E-2</v>
      </c>
      <c r="O32" s="146" t="s">
        <v>278</v>
      </c>
      <c r="P32" s="145" t="s">
        <v>238</v>
      </c>
    </row>
    <row r="33" spans="1:16" ht="48.6">
      <c r="A33" s="223" t="s">
        <v>279</v>
      </c>
      <c r="B33" s="149">
        <v>0</v>
      </c>
      <c r="C33" s="149">
        <v>0</v>
      </c>
      <c r="D33" s="149">
        <v>139</v>
      </c>
      <c r="E33" s="149">
        <v>0</v>
      </c>
      <c r="F33" s="149">
        <v>0</v>
      </c>
      <c r="G33" s="222">
        <v>139</v>
      </c>
      <c r="H33" s="149">
        <v>0</v>
      </c>
      <c r="I33" s="149">
        <v>0</v>
      </c>
      <c r="J33" s="149">
        <v>121.1</v>
      </c>
      <c r="K33" s="149">
        <v>0</v>
      </c>
      <c r="L33" s="149">
        <v>0</v>
      </c>
      <c r="M33" s="222">
        <v>121.1</v>
      </c>
      <c r="N33" s="982">
        <v>-0.12877697841726624</v>
      </c>
      <c r="O33" s="146" t="s">
        <v>280</v>
      </c>
      <c r="P33" s="145" t="s">
        <v>238</v>
      </c>
    </row>
    <row r="34" spans="1:16" ht="16.149999999999999">
      <c r="A34" s="996" t="s">
        <v>281</v>
      </c>
      <c r="B34" s="208"/>
      <c r="C34" s="208"/>
      <c r="D34" s="208"/>
      <c r="E34" s="208"/>
      <c r="F34" s="208"/>
      <c r="G34" s="208"/>
      <c r="H34" s="208"/>
      <c r="I34" s="208"/>
      <c r="J34" s="208"/>
      <c r="K34" s="208"/>
      <c r="L34" s="208"/>
      <c r="M34" s="208"/>
      <c r="N34" s="207"/>
      <c r="O34" s="206"/>
      <c r="P34" s="206"/>
    </row>
    <row r="35" spans="1:16" ht="32.450000000000003">
      <c r="A35" s="146" t="s">
        <v>281</v>
      </c>
      <c r="B35" s="149">
        <v>2.7549999999999999</v>
      </c>
      <c r="C35" s="149">
        <v>0</v>
      </c>
      <c r="D35" s="149">
        <v>0</v>
      </c>
      <c r="E35" s="149">
        <v>0</v>
      </c>
      <c r="F35" s="149">
        <v>0</v>
      </c>
      <c r="G35" s="222">
        <v>2.7549999999999999</v>
      </c>
      <c r="H35" s="149">
        <v>2.855</v>
      </c>
      <c r="I35" s="149">
        <v>0</v>
      </c>
      <c r="J35" s="149">
        <v>0</v>
      </c>
      <c r="K35" s="149">
        <v>0</v>
      </c>
      <c r="L35" s="149">
        <v>0</v>
      </c>
      <c r="M35" s="222">
        <v>2.855</v>
      </c>
      <c r="N35" s="982">
        <v>3.6297640653357569E-2</v>
      </c>
      <c r="O35" s="146" t="s">
        <v>282</v>
      </c>
      <c r="P35" s="145" t="s">
        <v>238</v>
      </c>
    </row>
    <row r="36" spans="1:16" ht="48.6">
      <c r="A36" s="189" t="s">
        <v>283</v>
      </c>
      <c r="B36" s="149">
        <v>0.42799999999999999</v>
      </c>
      <c r="C36" s="149">
        <v>0</v>
      </c>
      <c r="D36" s="149">
        <v>0</v>
      </c>
      <c r="E36" s="149">
        <v>0</v>
      </c>
      <c r="F36" s="149">
        <v>0</v>
      </c>
      <c r="G36" s="222">
        <v>0.42799999999999999</v>
      </c>
      <c r="H36" s="149">
        <v>0.42799999999999999</v>
      </c>
      <c r="I36" s="149">
        <v>0</v>
      </c>
      <c r="J36" s="149">
        <v>0</v>
      </c>
      <c r="K36" s="149">
        <v>0</v>
      </c>
      <c r="L36" s="149">
        <v>0</v>
      </c>
      <c r="M36" s="222">
        <v>0.42799999999999999</v>
      </c>
      <c r="N36" s="982">
        <v>0</v>
      </c>
      <c r="O36" s="146" t="s">
        <v>284</v>
      </c>
      <c r="P36" s="145" t="s">
        <v>238</v>
      </c>
    </row>
    <row r="37" spans="1:16" ht="32.450000000000003" collapsed="1">
      <c r="A37" s="219" t="s">
        <v>285</v>
      </c>
      <c r="B37" s="202">
        <v>3.1829999999999998</v>
      </c>
      <c r="C37" s="202">
        <v>0</v>
      </c>
      <c r="D37" s="202">
        <v>0</v>
      </c>
      <c r="E37" s="202">
        <v>0</v>
      </c>
      <c r="F37" s="202">
        <v>0</v>
      </c>
      <c r="G37" s="202">
        <v>3.1829999999999998</v>
      </c>
      <c r="H37" s="202">
        <v>3.2829999999999999</v>
      </c>
      <c r="I37" s="202">
        <v>0</v>
      </c>
      <c r="J37" s="202">
        <v>0</v>
      </c>
      <c r="K37" s="202">
        <v>0</v>
      </c>
      <c r="L37" s="202">
        <v>0</v>
      </c>
      <c r="M37" s="202">
        <v>3.2829999999999999</v>
      </c>
      <c r="N37" s="201">
        <v>3.1416902293433899E-2</v>
      </c>
      <c r="O37" s="200"/>
      <c r="P37" s="199"/>
    </row>
    <row r="38" spans="1:16" ht="16.149999999999999">
      <c r="A38" s="177" t="s">
        <v>286</v>
      </c>
      <c r="B38" s="176">
        <v>8318.19</v>
      </c>
      <c r="C38" s="176">
        <v>0</v>
      </c>
      <c r="D38" s="176">
        <v>746.6</v>
      </c>
      <c r="E38" s="176">
        <v>0</v>
      </c>
      <c r="F38" s="176">
        <v>3047</v>
      </c>
      <c r="G38" s="176">
        <v>12111.79</v>
      </c>
      <c r="H38" s="176">
        <v>8789.9829999999984</v>
      </c>
      <c r="I38" s="176">
        <v>0</v>
      </c>
      <c r="J38" s="176">
        <v>598</v>
      </c>
      <c r="K38" s="176">
        <v>0</v>
      </c>
      <c r="L38" s="176">
        <v>3068</v>
      </c>
      <c r="M38" s="176">
        <v>12455.982999999998</v>
      </c>
      <c r="N38" s="983">
        <v>2.841801253159091E-2</v>
      </c>
      <c r="O38" s="175"/>
      <c r="P38" s="174"/>
    </row>
    <row r="39" spans="1:16" ht="16.149999999999999">
      <c r="A39" s="186"/>
      <c r="B39" s="187"/>
      <c r="C39" s="187"/>
      <c r="D39" s="187"/>
      <c r="E39" s="187"/>
      <c r="F39" s="187"/>
      <c r="G39" s="187"/>
      <c r="H39" s="187"/>
      <c r="I39" s="187"/>
      <c r="J39" s="187"/>
      <c r="K39" s="187"/>
      <c r="L39" s="187"/>
      <c r="M39" s="187"/>
      <c r="N39" s="187"/>
      <c r="O39" s="187"/>
      <c r="P39" s="187"/>
    </row>
    <row r="40" spans="1:16" s="285" customFormat="1" ht="16.149999999999999">
      <c r="A40" s="397" t="s">
        <v>287</v>
      </c>
      <c r="B40" s="398"/>
      <c r="C40" s="398"/>
      <c r="D40" s="398"/>
      <c r="E40" s="398"/>
      <c r="F40" s="398"/>
      <c r="G40" s="398"/>
      <c r="H40" s="398"/>
      <c r="I40" s="398"/>
      <c r="J40" s="398"/>
      <c r="K40" s="398"/>
      <c r="L40" s="398"/>
      <c r="M40" s="398"/>
      <c r="N40" s="399"/>
      <c r="O40" s="400"/>
      <c r="P40" s="400"/>
    </row>
    <row r="41" spans="1:16" s="285" customFormat="1" ht="16.149999999999999">
      <c r="A41" s="305"/>
      <c r="B41" s="374"/>
      <c r="C41" s="374"/>
      <c r="D41" s="374"/>
      <c r="E41" s="374"/>
      <c r="F41" s="374"/>
      <c r="G41" s="375"/>
      <c r="H41" s="374"/>
      <c r="I41" s="374"/>
      <c r="J41" s="374"/>
      <c r="K41" s="374"/>
      <c r="L41" s="374"/>
      <c r="M41" s="375"/>
      <c r="N41" s="376"/>
      <c r="O41" s="377"/>
      <c r="P41" s="377"/>
    </row>
    <row r="42" spans="1:16" s="285" customFormat="1" ht="32.450000000000003">
      <c r="A42" s="349" t="s">
        <v>288</v>
      </c>
      <c r="B42" s="350"/>
      <c r="C42" s="350"/>
      <c r="D42" s="350"/>
      <c r="E42" s="350"/>
      <c r="F42" s="350"/>
      <c r="G42" s="350"/>
      <c r="H42" s="350"/>
      <c r="I42" s="350"/>
      <c r="J42" s="350"/>
      <c r="K42" s="350"/>
      <c r="L42" s="350"/>
      <c r="M42" s="350"/>
      <c r="N42" s="351"/>
      <c r="O42" s="402"/>
      <c r="P42" s="402"/>
    </row>
    <row r="43" spans="1:16" s="285" customFormat="1" ht="129.6">
      <c r="A43" s="412" t="s">
        <v>289</v>
      </c>
      <c r="B43" s="369">
        <v>24</v>
      </c>
      <c r="C43" s="369">
        <v>0</v>
      </c>
      <c r="D43" s="369">
        <v>0</v>
      </c>
      <c r="E43" s="369">
        <v>0</v>
      </c>
      <c r="F43" s="369">
        <v>0</v>
      </c>
      <c r="G43" s="370">
        <v>24</v>
      </c>
      <c r="H43" s="357">
        <v>22.901</v>
      </c>
      <c r="I43" s="357">
        <v>0</v>
      </c>
      <c r="J43" s="357">
        <v>0</v>
      </c>
      <c r="K43" s="357">
        <v>0</v>
      </c>
      <c r="L43" s="357">
        <v>0</v>
      </c>
      <c r="M43" s="370">
        <v>22.901</v>
      </c>
      <c r="N43" s="371">
        <v>-4.5791666666666675E-2</v>
      </c>
      <c r="O43" s="146" t="s">
        <v>290</v>
      </c>
      <c r="P43" s="145" t="s">
        <v>238</v>
      </c>
    </row>
    <row r="44" spans="1:16" s="285" customFormat="1" ht="64.900000000000006">
      <c r="A44" s="406" t="s">
        <v>291</v>
      </c>
      <c r="B44" s="388">
        <v>0</v>
      </c>
      <c r="C44" s="388">
        <v>6.2</v>
      </c>
      <c r="D44" s="388">
        <v>0</v>
      </c>
      <c r="E44" s="388">
        <v>0</v>
      </c>
      <c r="F44" s="388">
        <v>0</v>
      </c>
      <c r="G44" s="389">
        <v>6.2</v>
      </c>
      <c r="H44" s="357">
        <v>0</v>
      </c>
      <c r="I44" s="357">
        <v>6</v>
      </c>
      <c r="J44" s="357">
        <v>0</v>
      </c>
      <c r="K44" s="357">
        <v>0</v>
      </c>
      <c r="L44" s="357">
        <v>0</v>
      </c>
      <c r="M44" s="389">
        <v>6</v>
      </c>
      <c r="N44" s="390">
        <v>-3.2258064516129059E-2</v>
      </c>
      <c r="O44" s="146" t="s">
        <v>292</v>
      </c>
      <c r="P44" s="145" t="s">
        <v>238</v>
      </c>
    </row>
    <row r="45" spans="1:16" s="285" customFormat="1" ht="97.15">
      <c r="A45" s="406" t="s">
        <v>293</v>
      </c>
      <c r="B45" s="388">
        <v>0</v>
      </c>
      <c r="C45" s="388">
        <v>0</v>
      </c>
      <c r="D45" s="388">
        <v>3.45</v>
      </c>
      <c r="E45" s="388">
        <v>0</v>
      </c>
      <c r="F45" s="388">
        <v>0</v>
      </c>
      <c r="G45" s="389">
        <v>3.45</v>
      </c>
      <c r="H45" s="357">
        <v>0</v>
      </c>
      <c r="I45" s="357">
        <v>0</v>
      </c>
      <c r="J45" s="357">
        <v>2.7</v>
      </c>
      <c r="K45" s="357">
        <v>0</v>
      </c>
      <c r="L45" s="357">
        <v>0</v>
      </c>
      <c r="M45" s="389">
        <v>2.7</v>
      </c>
      <c r="N45" s="390">
        <v>-0.21739130434782608</v>
      </c>
      <c r="O45" s="146" t="s">
        <v>294</v>
      </c>
      <c r="P45" s="145" t="s">
        <v>238</v>
      </c>
    </row>
    <row r="46" spans="1:16" s="285" customFormat="1" ht="32.450000000000003">
      <c r="A46" s="392" t="s">
        <v>295</v>
      </c>
      <c r="B46" s="393">
        <v>24</v>
      </c>
      <c r="C46" s="393">
        <v>6.2</v>
      </c>
      <c r="D46" s="393">
        <v>3.45</v>
      </c>
      <c r="E46" s="393">
        <v>0</v>
      </c>
      <c r="F46" s="393">
        <v>0</v>
      </c>
      <c r="G46" s="393">
        <v>33.65</v>
      </c>
      <c r="H46" s="393">
        <v>22.901</v>
      </c>
      <c r="I46" s="393">
        <v>6</v>
      </c>
      <c r="J46" s="393">
        <v>2.7</v>
      </c>
      <c r="K46" s="393">
        <v>0</v>
      </c>
      <c r="L46" s="393">
        <v>0</v>
      </c>
      <c r="M46" s="393">
        <v>31.600999999999999</v>
      </c>
      <c r="N46" s="337">
        <v>-6.0891530460624059E-2</v>
      </c>
      <c r="O46" s="410"/>
      <c r="P46" s="411"/>
    </row>
    <row r="47" spans="1:16" s="285" customFormat="1" ht="16.149999999999999">
      <c r="A47" s="305"/>
      <c r="B47" s="374"/>
      <c r="C47" s="374"/>
      <c r="D47" s="374"/>
      <c r="E47" s="374"/>
      <c r="F47" s="374"/>
      <c r="G47" s="375"/>
      <c r="H47" s="374"/>
      <c r="I47" s="374"/>
      <c r="J47" s="374"/>
      <c r="K47" s="374"/>
      <c r="L47" s="374"/>
      <c r="M47" s="375"/>
      <c r="N47" s="376"/>
      <c r="O47" s="377"/>
      <c r="P47" s="377"/>
    </row>
    <row r="48" spans="1:16" s="285" customFormat="1" ht="32.450000000000003">
      <c r="A48" s="349" t="s">
        <v>296</v>
      </c>
      <c r="B48" s="350"/>
      <c r="C48" s="350"/>
      <c r="D48" s="350"/>
      <c r="E48" s="350"/>
      <c r="F48" s="350"/>
      <c r="G48" s="350"/>
      <c r="H48" s="350"/>
      <c r="I48" s="350"/>
      <c r="J48" s="350"/>
      <c r="K48" s="350"/>
      <c r="L48" s="350"/>
      <c r="M48" s="350"/>
      <c r="N48" s="351"/>
      <c r="O48" s="402"/>
      <c r="P48" s="402"/>
    </row>
    <row r="49" spans="1:16" s="285" customFormat="1" ht="129.6">
      <c r="A49" s="406" t="s">
        <v>297</v>
      </c>
      <c r="B49" s="388">
        <v>0</v>
      </c>
      <c r="C49" s="388">
        <v>0</v>
      </c>
      <c r="D49" s="388">
        <v>0</v>
      </c>
      <c r="E49" s="388">
        <v>0</v>
      </c>
      <c r="F49" s="388">
        <v>3289</v>
      </c>
      <c r="G49" s="389">
        <v>3289</v>
      </c>
      <c r="H49" s="357">
        <v>0</v>
      </c>
      <c r="I49" s="357">
        <v>0</v>
      </c>
      <c r="J49" s="357">
        <v>0</v>
      </c>
      <c r="K49" s="357">
        <v>0</v>
      </c>
      <c r="L49" s="357">
        <v>2430.7379999999998</v>
      </c>
      <c r="M49" s="389">
        <v>2430.7379999999998</v>
      </c>
      <c r="N49" s="390">
        <v>-0.26094922468835519</v>
      </c>
      <c r="O49" s="146" t="s">
        <v>290</v>
      </c>
      <c r="P49" s="145" t="s">
        <v>298</v>
      </c>
    </row>
    <row r="50" spans="1:16" s="285" customFormat="1" ht="81">
      <c r="A50" s="412" t="s">
        <v>299</v>
      </c>
      <c r="B50" s="369">
        <v>0</v>
      </c>
      <c r="C50" s="369">
        <v>0</v>
      </c>
      <c r="D50" s="369">
        <v>0</v>
      </c>
      <c r="E50" s="369">
        <v>0</v>
      </c>
      <c r="F50" s="369">
        <v>-1009</v>
      </c>
      <c r="G50" s="370">
        <v>-1009</v>
      </c>
      <c r="H50" s="357">
        <v>0</v>
      </c>
      <c r="I50" s="357">
        <v>0</v>
      </c>
      <c r="J50" s="357">
        <v>0</v>
      </c>
      <c r="K50" s="357">
        <v>0</v>
      </c>
      <c r="L50" s="357">
        <v>-1195</v>
      </c>
      <c r="M50" s="370">
        <v>-1195</v>
      </c>
      <c r="N50" s="371">
        <v>0.18434093161546086</v>
      </c>
      <c r="O50" s="146" t="s">
        <v>292</v>
      </c>
      <c r="P50" s="145" t="s">
        <v>298</v>
      </c>
    </row>
    <row r="51" spans="1:16" s="285" customFormat="1" ht="32.450000000000003">
      <c r="A51" s="392" t="s">
        <v>300</v>
      </c>
      <c r="B51" s="393">
        <v>0</v>
      </c>
      <c r="C51" s="393">
        <v>0</v>
      </c>
      <c r="D51" s="393">
        <v>0</v>
      </c>
      <c r="E51" s="393">
        <v>0</v>
      </c>
      <c r="F51" s="393">
        <v>2280</v>
      </c>
      <c r="G51" s="393">
        <v>2280</v>
      </c>
      <c r="H51" s="393">
        <v>0</v>
      </c>
      <c r="I51" s="393">
        <v>0</v>
      </c>
      <c r="J51" s="393">
        <v>0</v>
      </c>
      <c r="K51" s="393">
        <v>0</v>
      </c>
      <c r="L51" s="393">
        <v>1235.7379999999998</v>
      </c>
      <c r="M51" s="393">
        <v>1235.7379999999998</v>
      </c>
      <c r="N51" s="337">
        <v>-0.45800964912280712</v>
      </c>
      <c r="O51" s="410"/>
      <c r="P51" s="411"/>
    </row>
    <row r="52" spans="1:16" s="285" customFormat="1" ht="16.149999999999999">
      <c r="A52" s="305"/>
      <c r="B52" s="374"/>
      <c r="C52" s="374"/>
      <c r="D52" s="374"/>
      <c r="E52" s="374"/>
      <c r="F52" s="374"/>
      <c r="G52" s="375"/>
      <c r="H52" s="374"/>
      <c r="I52" s="374"/>
      <c r="J52" s="374"/>
      <c r="K52" s="374"/>
      <c r="L52" s="374"/>
      <c r="M52" s="375"/>
      <c r="N52" s="376"/>
      <c r="O52" s="377"/>
      <c r="P52" s="377"/>
    </row>
    <row r="53" spans="1:16" s="285" customFormat="1" ht="32.450000000000003">
      <c r="A53" s="349" t="s">
        <v>301</v>
      </c>
      <c r="B53" s="350"/>
      <c r="C53" s="350"/>
      <c r="D53" s="350"/>
      <c r="E53" s="350"/>
      <c r="F53" s="350"/>
      <c r="G53" s="350"/>
      <c r="H53" s="350"/>
      <c r="I53" s="350"/>
      <c r="J53" s="350"/>
      <c r="K53" s="350"/>
      <c r="L53" s="350"/>
      <c r="M53" s="350"/>
      <c r="N53" s="351"/>
      <c r="O53" s="402"/>
      <c r="P53" s="402"/>
    </row>
    <row r="54" spans="1:16" s="285" customFormat="1" ht="60" customHeight="1">
      <c r="A54" s="412" t="s">
        <v>302</v>
      </c>
      <c r="B54" s="369">
        <v>0</v>
      </c>
      <c r="C54" s="369">
        <v>0</v>
      </c>
      <c r="D54" s="369">
        <v>0</v>
      </c>
      <c r="E54" s="369">
        <v>0</v>
      </c>
      <c r="F54" s="369">
        <v>6680</v>
      </c>
      <c r="G54" s="370">
        <v>6680</v>
      </c>
      <c r="H54" s="357">
        <v>0</v>
      </c>
      <c r="I54" s="357">
        <v>0</v>
      </c>
      <c r="J54" s="357">
        <v>0</v>
      </c>
      <c r="K54" s="357">
        <v>0</v>
      </c>
      <c r="L54" s="357">
        <v>4720.6689999999999</v>
      </c>
      <c r="M54" s="370">
        <v>4720.6689999999999</v>
      </c>
      <c r="N54" s="371">
        <v>-0.29331302395209585</v>
      </c>
      <c r="O54" s="146" t="s">
        <v>303</v>
      </c>
      <c r="P54" s="145" t="s">
        <v>298</v>
      </c>
    </row>
    <row r="55" spans="1:16" s="285" customFormat="1" ht="81">
      <c r="A55" s="406" t="s">
        <v>304</v>
      </c>
      <c r="B55" s="388">
        <v>0</v>
      </c>
      <c r="C55" s="388">
        <v>0</v>
      </c>
      <c r="D55" s="388">
        <v>0</v>
      </c>
      <c r="E55" s="388">
        <v>0</v>
      </c>
      <c r="F55" s="388">
        <v>-2039</v>
      </c>
      <c r="G55" s="389">
        <v>-2039</v>
      </c>
      <c r="H55" s="357">
        <v>0</v>
      </c>
      <c r="I55" s="357">
        <v>0</v>
      </c>
      <c r="J55" s="357">
        <v>0</v>
      </c>
      <c r="K55" s="357">
        <v>0</v>
      </c>
      <c r="L55" s="357">
        <v>-2534</v>
      </c>
      <c r="M55" s="389">
        <v>-2534</v>
      </c>
      <c r="N55" s="390">
        <v>0.24276606179499755</v>
      </c>
      <c r="O55" s="146" t="s">
        <v>305</v>
      </c>
      <c r="P55" s="145" t="s">
        <v>298</v>
      </c>
    </row>
    <row r="56" spans="1:16" s="285" customFormat="1" ht="32.450000000000003">
      <c r="A56" s="392" t="s">
        <v>306</v>
      </c>
      <c r="B56" s="393">
        <v>0</v>
      </c>
      <c r="C56" s="393">
        <v>0</v>
      </c>
      <c r="D56" s="393">
        <v>0</v>
      </c>
      <c r="E56" s="393">
        <v>0</v>
      </c>
      <c r="F56" s="393">
        <v>4641</v>
      </c>
      <c r="G56" s="393">
        <v>4641</v>
      </c>
      <c r="H56" s="393">
        <v>0</v>
      </c>
      <c r="I56" s="393">
        <v>0</v>
      </c>
      <c r="J56" s="393">
        <v>0</v>
      </c>
      <c r="K56" s="393">
        <v>0</v>
      </c>
      <c r="L56" s="393">
        <v>2186.6689999999999</v>
      </c>
      <c r="M56" s="393">
        <v>2186.6689999999999</v>
      </c>
      <c r="N56" s="337">
        <v>-0.52883667313079086</v>
      </c>
      <c r="O56" s="410"/>
      <c r="P56" s="411"/>
    </row>
    <row r="57" spans="1:16" s="285" customFormat="1" ht="16.149999999999999">
      <c r="A57" s="305"/>
      <c r="B57" s="374"/>
      <c r="C57" s="374"/>
      <c r="D57" s="374"/>
      <c r="E57" s="374"/>
      <c r="F57" s="374"/>
      <c r="G57" s="375"/>
      <c r="H57" s="374"/>
      <c r="I57" s="374"/>
      <c r="J57" s="374"/>
      <c r="K57" s="374"/>
      <c r="L57" s="374"/>
      <c r="M57" s="375"/>
      <c r="N57" s="376"/>
      <c r="O57" s="401"/>
      <c r="P57" s="401"/>
    </row>
    <row r="58" spans="1:16" s="285" customFormat="1" ht="32.450000000000003">
      <c r="A58" s="997" t="s">
        <v>307</v>
      </c>
      <c r="B58" s="998">
        <v>24</v>
      </c>
      <c r="C58" s="998">
        <v>6.2</v>
      </c>
      <c r="D58" s="998">
        <v>3.45</v>
      </c>
      <c r="E58" s="998">
        <v>0</v>
      </c>
      <c r="F58" s="998">
        <v>6921</v>
      </c>
      <c r="G58" s="998">
        <v>6954.65</v>
      </c>
      <c r="H58" s="998">
        <v>22.901</v>
      </c>
      <c r="I58" s="998">
        <v>6</v>
      </c>
      <c r="J58" s="998">
        <v>2.7</v>
      </c>
      <c r="K58" s="998">
        <v>0</v>
      </c>
      <c r="L58" s="998">
        <v>3422.4069999999997</v>
      </c>
      <c r="M58" s="998">
        <v>3454.0079999999998</v>
      </c>
      <c r="N58" s="999">
        <v>-0.50335272084145144</v>
      </c>
      <c r="O58" s="400"/>
      <c r="P58" s="400"/>
    </row>
    <row r="59" spans="1:16" s="285" customFormat="1" ht="16.149999999999999">
      <c r="A59" s="437"/>
      <c r="B59" s="438"/>
      <c r="C59" s="438"/>
      <c r="D59" s="438"/>
      <c r="E59" s="438"/>
      <c r="F59" s="438"/>
      <c r="G59" s="438"/>
      <c r="H59" s="438"/>
      <c r="I59" s="438"/>
      <c r="J59" s="438"/>
      <c r="K59" s="438"/>
      <c r="L59" s="438"/>
      <c r="M59" s="438"/>
      <c r="N59" s="439"/>
      <c r="O59" s="440"/>
      <c r="P59" s="440"/>
    </row>
    <row r="60" spans="1:16" s="285" customFormat="1" ht="16.149999999999999">
      <c r="A60" s="997" t="s">
        <v>308</v>
      </c>
      <c r="B60" s="1000"/>
      <c r="C60" s="1000"/>
      <c r="D60" s="1000"/>
      <c r="E60" s="1000"/>
      <c r="F60" s="1000"/>
      <c r="G60" s="1000"/>
      <c r="H60" s="1000"/>
      <c r="I60" s="1000"/>
      <c r="J60" s="1000"/>
      <c r="K60" s="1000"/>
      <c r="L60" s="1000"/>
      <c r="M60" s="1000"/>
      <c r="N60" s="1001"/>
      <c r="O60" s="400"/>
      <c r="P60" s="400"/>
    </row>
    <row r="61" spans="1:16" s="285" customFormat="1" ht="113.45">
      <c r="A61" s="1002" t="s">
        <v>308</v>
      </c>
      <c r="B61" s="369">
        <v>2.423</v>
      </c>
      <c r="C61" s="369">
        <v>0</v>
      </c>
      <c r="D61" s="369">
        <v>0</v>
      </c>
      <c r="E61" s="369">
        <v>0</v>
      </c>
      <c r="F61" s="369">
        <v>0</v>
      </c>
      <c r="G61" s="370">
        <v>2.423</v>
      </c>
      <c r="H61" s="357">
        <v>2.706</v>
      </c>
      <c r="I61" s="357">
        <v>0</v>
      </c>
      <c r="J61" s="357">
        <v>0</v>
      </c>
      <c r="K61" s="357">
        <v>0</v>
      </c>
      <c r="L61" s="357">
        <v>0</v>
      </c>
      <c r="M61" s="370">
        <v>2.706</v>
      </c>
      <c r="N61" s="371">
        <v>0.11679735864630619</v>
      </c>
      <c r="O61" s="146" t="s">
        <v>309</v>
      </c>
      <c r="P61" s="145" t="s">
        <v>238</v>
      </c>
    </row>
    <row r="62" spans="1:16" s="285" customFormat="1" ht="32.450000000000003">
      <c r="A62" s="380" t="s">
        <v>310</v>
      </c>
      <c r="B62" s="1003">
        <v>2.423</v>
      </c>
      <c r="C62" s="1003">
        <v>0</v>
      </c>
      <c r="D62" s="1003">
        <v>0</v>
      </c>
      <c r="E62" s="1003">
        <v>0</v>
      </c>
      <c r="F62" s="1003">
        <v>0</v>
      </c>
      <c r="G62" s="1003">
        <v>2.423</v>
      </c>
      <c r="H62" s="1003">
        <v>2.706</v>
      </c>
      <c r="I62" s="1003">
        <v>0</v>
      </c>
      <c r="J62" s="1003">
        <v>0</v>
      </c>
      <c r="K62" s="1003">
        <v>0</v>
      </c>
      <c r="L62" s="1003">
        <v>0</v>
      </c>
      <c r="M62" s="1003">
        <v>2.706</v>
      </c>
      <c r="N62" s="999">
        <v>0.11679735864630619</v>
      </c>
      <c r="O62" s="1003">
        <v>0</v>
      </c>
      <c r="P62" s="433"/>
    </row>
    <row r="63" spans="1:16" ht="16.149999999999999">
      <c r="A63" s="186"/>
      <c r="B63" s="187"/>
      <c r="C63" s="187"/>
      <c r="D63" s="187"/>
      <c r="E63" s="187"/>
      <c r="F63" s="187"/>
      <c r="G63" s="187"/>
      <c r="H63" s="187"/>
      <c r="I63" s="187"/>
      <c r="J63" s="187"/>
      <c r="K63" s="187"/>
      <c r="L63" s="187"/>
      <c r="M63" s="187"/>
      <c r="N63" s="187"/>
      <c r="O63" s="187"/>
      <c r="P63" s="187"/>
    </row>
    <row r="64" spans="1:16" s="285" customFormat="1" ht="16.149999999999999">
      <c r="A64" s="997" t="s">
        <v>311</v>
      </c>
      <c r="B64" s="1000"/>
      <c r="C64" s="1000"/>
      <c r="D64" s="1000"/>
      <c r="E64" s="1000"/>
      <c r="F64" s="1000"/>
      <c r="G64" s="1000"/>
      <c r="H64" s="1000"/>
      <c r="I64" s="1000"/>
      <c r="J64" s="1000"/>
      <c r="K64" s="1000"/>
      <c r="L64" s="1000"/>
      <c r="M64" s="1000"/>
      <c r="N64" s="1001"/>
      <c r="O64" s="400"/>
      <c r="P64" s="400"/>
    </row>
    <row r="65" spans="1:16" s="285" customFormat="1" ht="97.15">
      <c r="A65" s="1002" t="s">
        <v>289</v>
      </c>
      <c r="B65" s="369">
        <v>0</v>
      </c>
      <c r="C65" s="369">
        <v>0</v>
      </c>
      <c r="D65" s="369">
        <v>0</v>
      </c>
      <c r="E65" s="369">
        <v>0</v>
      </c>
      <c r="F65" s="369">
        <v>0</v>
      </c>
      <c r="G65" s="370">
        <v>0</v>
      </c>
      <c r="H65" s="357">
        <v>0</v>
      </c>
      <c r="I65" s="357">
        <v>0</v>
      </c>
      <c r="J65" s="357">
        <v>0</v>
      </c>
      <c r="K65" s="357">
        <v>0</v>
      </c>
      <c r="L65" s="357">
        <v>0</v>
      </c>
      <c r="M65" s="370">
        <v>0</v>
      </c>
      <c r="N65" s="371" t="s">
        <v>204</v>
      </c>
      <c r="O65" s="146" t="s">
        <v>312</v>
      </c>
      <c r="P65" s="145" t="s">
        <v>238</v>
      </c>
    </row>
    <row r="66" spans="1:16" s="285" customFormat="1" ht="16.149999999999999">
      <c r="A66" s="1004" t="s">
        <v>291</v>
      </c>
      <c r="B66" s="388">
        <v>0</v>
      </c>
      <c r="C66" s="388">
        <v>5.0960000000000001</v>
      </c>
      <c r="D66" s="388">
        <v>0</v>
      </c>
      <c r="E66" s="388">
        <v>0</v>
      </c>
      <c r="F66" s="388">
        <v>0</v>
      </c>
      <c r="G66" s="389">
        <v>5.0960000000000001</v>
      </c>
      <c r="H66" s="357">
        <v>0</v>
      </c>
      <c r="I66" s="357">
        <v>4.1820000000000004</v>
      </c>
      <c r="J66" s="357">
        <v>0</v>
      </c>
      <c r="K66" s="357">
        <v>0</v>
      </c>
      <c r="L66" s="357">
        <v>0</v>
      </c>
      <c r="M66" s="389">
        <v>4.1820000000000004</v>
      </c>
      <c r="N66" s="390">
        <v>-0.17935635792778643</v>
      </c>
      <c r="O66" s="146" t="s">
        <v>313</v>
      </c>
      <c r="P66" s="145" t="s">
        <v>238</v>
      </c>
    </row>
    <row r="67" spans="1:16" s="285" customFormat="1" ht="16.149999999999999">
      <c r="A67" s="1005" t="s">
        <v>293</v>
      </c>
      <c r="B67" s="388">
        <v>0</v>
      </c>
      <c r="C67" s="388">
        <v>0</v>
      </c>
      <c r="D67" s="388">
        <v>5.9</v>
      </c>
      <c r="E67" s="388">
        <v>0</v>
      </c>
      <c r="F67" s="388">
        <v>0</v>
      </c>
      <c r="G67" s="389">
        <v>5.9</v>
      </c>
      <c r="H67" s="357">
        <v>0</v>
      </c>
      <c r="I67" s="357">
        <v>0</v>
      </c>
      <c r="J67" s="357">
        <v>5.7889999999999997</v>
      </c>
      <c r="K67" s="357">
        <v>0</v>
      </c>
      <c r="L67" s="357">
        <v>0</v>
      </c>
      <c r="M67" s="389">
        <v>5.7889999999999997</v>
      </c>
      <c r="N67" s="390">
        <v>-1.8813559322034008E-2</v>
      </c>
      <c r="O67" s="146" t="s">
        <v>314</v>
      </c>
      <c r="P67" s="145" t="s">
        <v>238</v>
      </c>
    </row>
    <row r="68" spans="1:16" s="285" customFormat="1" ht="16.149999999999999">
      <c r="A68" s="380" t="s">
        <v>315</v>
      </c>
      <c r="B68" s="1003">
        <v>0</v>
      </c>
      <c r="C68" s="1003">
        <v>5.0960000000000001</v>
      </c>
      <c r="D68" s="1003">
        <v>5.9</v>
      </c>
      <c r="E68" s="1003">
        <v>0</v>
      </c>
      <c r="F68" s="1003">
        <v>0</v>
      </c>
      <c r="G68" s="1003">
        <v>10.996</v>
      </c>
      <c r="H68" s="1003">
        <v>0</v>
      </c>
      <c r="I68" s="1003">
        <v>4.1820000000000004</v>
      </c>
      <c r="J68" s="1003">
        <v>5.7889999999999997</v>
      </c>
      <c r="K68" s="1003">
        <v>0</v>
      </c>
      <c r="L68" s="1003">
        <v>0</v>
      </c>
      <c r="M68" s="1003">
        <v>9.9710000000000001</v>
      </c>
      <c r="N68" s="382">
        <v>-9.3215714805383806E-2</v>
      </c>
      <c r="O68" s="430"/>
      <c r="P68" s="433"/>
    </row>
    <row r="69" spans="1:16" s="285" customFormat="1" ht="16.149999999999999">
      <c r="A69" s="437"/>
      <c r="B69" s="438"/>
      <c r="C69" s="438"/>
      <c r="D69" s="438"/>
      <c r="E69" s="438"/>
      <c r="F69" s="438"/>
      <c r="G69" s="438"/>
      <c r="H69" s="438"/>
      <c r="I69" s="438"/>
      <c r="J69" s="438"/>
      <c r="K69" s="438"/>
      <c r="L69" s="438"/>
      <c r="M69" s="438"/>
      <c r="N69" s="439"/>
      <c r="O69" s="440"/>
      <c r="P69" s="440"/>
    </row>
    <row r="70" spans="1:16" s="285" customFormat="1" ht="16.149999999999999">
      <c r="A70" s="397" t="s">
        <v>316</v>
      </c>
      <c r="B70" s="398"/>
      <c r="C70" s="398"/>
      <c r="D70" s="398"/>
      <c r="E70" s="398"/>
      <c r="F70" s="398"/>
      <c r="G70" s="398"/>
      <c r="H70" s="398"/>
      <c r="I70" s="398"/>
      <c r="J70" s="398"/>
      <c r="K70" s="398"/>
      <c r="L70" s="398"/>
      <c r="M70" s="398"/>
      <c r="N70" s="399"/>
      <c r="O70" s="348"/>
      <c r="P70" s="348"/>
    </row>
    <row r="71" spans="1:16" s="285" customFormat="1" ht="16.149999999999999">
      <c r="A71" s="445" t="s">
        <v>317</v>
      </c>
      <c r="B71" s="428"/>
      <c r="C71" s="428"/>
      <c r="D71" s="428"/>
      <c r="E71" s="428"/>
      <c r="F71" s="428"/>
      <c r="G71" s="428"/>
      <c r="H71" s="428"/>
      <c r="I71" s="428"/>
      <c r="J71" s="428"/>
      <c r="K71" s="428"/>
      <c r="L71" s="428"/>
      <c r="M71" s="428"/>
      <c r="N71" s="326"/>
      <c r="O71" s="446"/>
      <c r="P71" s="446"/>
    </row>
    <row r="72" spans="1:16" s="285" customFormat="1" ht="145.9">
      <c r="A72" s="387" t="s">
        <v>318</v>
      </c>
      <c r="B72" s="369">
        <v>8.1000000000000003E-2</v>
      </c>
      <c r="C72" s="369">
        <v>1.046</v>
      </c>
      <c r="D72" s="369">
        <v>0</v>
      </c>
      <c r="E72" s="369">
        <v>0</v>
      </c>
      <c r="F72" s="369">
        <v>0</v>
      </c>
      <c r="G72" s="370">
        <v>1.127</v>
      </c>
      <c r="H72" s="357">
        <v>0.26300000000000001</v>
      </c>
      <c r="I72" s="357">
        <v>1.046</v>
      </c>
      <c r="J72" s="357">
        <v>0</v>
      </c>
      <c r="K72" s="357">
        <v>0</v>
      </c>
      <c r="L72" s="357">
        <v>0</v>
      </c>
      <c r="M72" s="370">
        <v>1.3090000000000002</v>
      </c>
      <c r="N72" s="371">
        <v>0.1614906832298138</v>
      </c>
      <c r="O72" s="146" t="s">
        <v>319</v>
      </c>
      <c r="P72" s="145" t="s">
        <v>238</v>
      </c>
    </row>
    <row r="73" spans="1:16" s="285" customFormat="1" ht="113.45">
      <c r="A73" s="387" t="s">
        <v>320</v>
      </c>
      <c r="B73" s="388">
        <v>0</v>
      </c>
      <c r="C73" s="388">
        <v>0</v>
      </c>
      <c r="D73" s="388">
        <v>0.85</v>
      </c>
      <c r="E73" s="388">
        <v>0</v>
      </c>
      <c r="F73" s="388">
        <v>0</v>
      </c>
      <c r="G73" s="389">
        <v>0.85</v>
      </c>
      <c r="H73" s="357">
        <v>0</v>
      </c>
      <c r="I73" s="357">
        <v>0</v>
      </c>
      <c r="J73" s="357">
        <v>1.1000000000000001</v>
      </c>
      <c r="K73" s="357">
        <v>0</v>
      </c>
      <c r="L73" s="357">
        <v>0</v>
      </c>
      <c r="M73" s="389">
        <v>1.1000000000000001</v>
      </c>
      <c r="N73" s="390">
        <v>0.29411764705882365</v>
      </c>
      <c r="O73" s="146" t="s">
        <v>321</v>
      </c>
      <c r="P73" s="145" t="s">
        <v>238</v>
      </c>
    </row>
    <row r="74" spans="1:16" s="285" customFormat="1" ht="32.450000000000003" collapsed="1">
      <c r="A74" s="447" t="s">
        <v>322</v>
      </c>
      <c r="B74" s="448">
        <v>8.1000000000000003E-2</v>
      </c>
      <c r="C74" s="448">
        <v>1.046</v>
      </c>
      <c r="D74" s="448">
        <v>0.85</v>
      </c>
      <c r="E74" s="448">
        <v>0</v>
      </c>
      <c r="F74" s="448">
        <v>0</v>
      </c>
      <c r="G74" s="448">
        <v>1.9769999999999999</v>
      </c>
      <c r="H74" s="448">
        <v>0.26300000000000001</v>
      </c>
      <c r="I74" s="448">
        <v>1.046</v>
      </c>
      <c r="J74" s="448">
        <v>1.1000000000000001</v>
      </c>
      <c r="K74" s="448">
        <v>0</v>
      </c>
      <c r="L74" s="448">
        <v>0</v>
      </c>
      <c r="M74" s="448">
        <v>2.4090000000000003</v>
      </c>
      <c r="N74" s="453">
        <v>0.21851289833080445</v>
      </c>
      <c r="O74" s="449"/>
      <c r="P74" s="450"/>
    </row>
    <row r="75" spans="1:16" s="285" customFormat="1" ht="16.149999999999999">
      <c r="A75" s="387"/>
      <c r="B75" s="388"/>
      <c r="C75" s="388"/>
      <c r="D75" s="388"/>
      <c r="E75" s="388"/>
      <c r="F75" s="388"/>
      <c r="G75" s="389"/>
      <c r="H75" s="357"/>
      <c r="I75" s="357"/>
      <c r="J75" s="357"/>
      <c r="K75" s="357"/>
      <c r="L75" s="357"/>
      <c r="M75" s="389"/>
      <c r="N75" s="390"/>
      <c r="O75" s="146" t="s">
        <v>238</v>
      </c>
      <c r="P75" s="145" t="s">
        <v>238</v>
      </c>
    </row>
    <row r="76" spans="1:16" s="285" customFormat="1" ht="16.149999999999999">
      <c r="A76" s="445" t="s">
        <v>323</v>
      </c>
      <c r="B76" s="428"/>
      <c r="C76" s="428"/>
      <c r="D76" s="428"/>
      <c r="E76" s="428"/>
      <c r="F76" s="428"/>
      <c r="G76" s="428"/>
      <c r="H76" s="428"/>
      <c r="I76" s="428"/>
      <c r="J76" s="428"/>
      <c r="K76" s="428"/>
      <c r="L76" s="428"/>
      <c r="M76" s="428"/>
      <c r="N76" s="326"/>
      <c r="O76" s="446"/>
      <c r="P76" s="446"/>
    </row>
    <row r="77" spans="1:16" s="285" customFormat="1" ht="31.5" customHeight="1">
      <c r="A77" s="406" t="s">
        <v>323</v>
      </c>
      <c r="B77" s="388">
        <v>2.452</v>
      </c>
      <c r="C77" s="388">
        <v>0</v>
      </c>
      <c r="D77" s="388">
        <v>0</v>
      </c>
      <c r="E77" s="388">
        <v>0</v>
      </c>
      <c r="F77" s="388">
        <v>0</v>
      </c>
      <c r="G77" s="389">
        <v>2.452</v>
      </c>
      <c r="H77" s="357">
        <v>2.504</v>
      </c>
      <c r="I77" s="357">
        <v>0</v>
      </c>
      <c r="J77" s="357">
        <v>0</v>
      </c>
      <c r="K77" s="357">
        <v>0</v>
      </c>
      <c r="L77" s="357">
        <v>0</v>
      </c>
      <c r="M77" s="389">
        <v>2.504</v>
      </c>
      <c r="N77" s="390">
        <v>2.1207177814029383E-2</v>
      </c>
      <c r="O77" s="146" t="s">
        <v>324</v>
      </c>
      <c r="P77" s="145" t="s">
        <v>238</v>
      </c>
    </row>
    <row r="78" spans="1:16" s="285" customFormat="1" ht="32.450000000000003" collapsed="1">
      <c r="A78" s="447" t="s">
        <v>325</v>
      </c>
      <c r="B78" s="448">
        <v>2.452</v>
      </c>
      <c r="C78" s="448">
        <v>0</v>
      </c>
      <c r="D78" s="448">
        <v>0</v>
      </c>
      <c r="E78" s="448">
        <v>0</v>
      </c>
      <c r="F78" s="448">
        <v>0</v>
      </c>
      <c r="G78" s="448">
        <v>2.452</v>
      </c>
      <c r="H78" s="448">
        <v>2.504</v>
      </c>
      <c r="I78" s="448">
        <v>0</v>
      </c>
      <c r="J78" s="448">
        <v>0</v>
      </c>
      <c r="K78" s="448">
        <v>0</v>
      </c>
      <c r="L78" s="448">
        <v>0</v>
      </c>
      <c r="M78" s="448">
        <v>2.504</v>
      </c>
      <c r="N78" s="453">
        <v>2.1207177814029383E-2</v>
      </c>
      <c r="O78" s="449"/>
      <c r="P78" s="450"/>
    </row>
    <row r="79" spans="1:16" ht="16.149999999999999">
      <c r="A79" s="797"/>
      <c r="B79" s="951"/>
      <c r="C79" s="951"/>
      <c r="D79" s="951"/>
      <c r="E79" s="951"/>
      <c r="F79" s="951"/>
      <c r="G79" s="951"/>
      <c r="H79" s="951"/>
      <c r="I79" s="951"/>
      <c r="J79" s="951"/>
      <c r="K79" s="951"/>
      <c r="L79" s="951"/>
      <c r="M79" s="951"/>
      <c r="N79" s="957"/>
      <c r="O79" s="941"/>
      <c r="P79" s="941"/>
    </row>
    <row r="80" spans="1:16" ht="16.149999999999999">
      <c r="A80" s="797"/>
      <c r="B80" s="951"/>
      <c r="C80" s="951"/>
      <c r="D80" s="951"/>
      <c r="E80" s="951"/>
      <c r="F80" s="951"/>
      <c r="G80" s="951"/>
      <c r="H80" s="951"/>
      <c r="I80" s="951"/>
      <c r="J80" s="951"/>
      <c r="K80" s="951"/>
      <c r="L80" s="951"/>
      <c r="M80" s="951"/>
      <c r="N80" s="952"/>
      <c r="O80" s="941"/>
      <c r="P80" s="941"/>
    </row>
    <row r="81" spans="1:16" s="285" customFormat="1" ht="16.149999999999999">
      <c r="A81" s="465"/>
      <c r="B81" s="1006"/>
      <c r="C81" s="1006"/>
      <c r="D81" s="1006"/>
      <c r="E81" s="1006"/>
      <c r="F81" s="1006"/>
      <c r="G81" s="1006"/>
      <c r="H81" s="1006"/>
      <c r="I81" s="1006"/>
      <c r="J81" s="1006"/>
      <c r="K81" s="1006"/>
      <c r="L81" s="1006"/>
      <c r="M81" s="1006"/>
      <c r="N81" s="1007"/>
      <c r="O81" s="466"/>
      <c r="P81" s="466"/>
    </row>
    <row r="82" spans="1:16" s="285" customFormat="1" ht="16.149999999999999">
      <c r="A82" s="1008" t="s">
        <v>326</v>
      </c>
      <c r="B82" s="381">
        <v>2.5329999999999999</v>
      </c>
      <c r="C82" s="381">
        <v>1.046</v>
      </c>
      <c r="D82" s="381">
        <v>0.85</v>
      </c>
      <c r="E82" s="381">
        <v>0</v>
      </c>
      <c r="F82" s="381">
        <v>0</v>
      </c>
      <c r="G82" s="381">
        <v>4.4290000000000003</v>
      </c>
      <c r="H82" s="381">
        <v>2.7669999999999999</v>
      </c>
      <c r="I82" s="381">
        <v>1.046</v>
      </c>
      <c r="J82" s="381">
        <v>1.1000000000000001</v>
      </c>
      <c r="K82" s="381">
        <v>0</v>
      </c>
      <c r="L82" s="381">
        <v>0</v>
      </c>
      <c r="M82" s="381">
        <v>4.9130000000000003</v>
      </c>
      <c r="N82" s="382">
        <v>0.10927974712124632</v>
      </c>
      <c r="O82" s="436"/>
      <c r="P82" s="346"/>
    </row>
    <row r="83" spans="1:16" s="285" customFormat="1" ht="16.149999999999999">
      <c r="A83" s="465"/>
      <c r="B83" s="1006"/>
      <c r="C83" s="1006"/>
      <c r="D83" s="1006"/>
      <c r="E83" s="1006"/>
      <c r="F83" s="1006"/>
      <c r="G83" s="1006"/>
      <c r="H83" s="1006"/>
      <c r="I83" s="1006"/>
      <c r="J83" s="1006"/>
      <c r="K83" s="1006"/>
      <c r="L83" s="1006"/>
      <c r="M83" s="1006"/>
      <c r="N83" s="1007"/>
      <c r="O83" s="466"/>
      <c r="P83" s="466"/>
    </row>
    <row r="84" spans="1:16" s="285" customFormat="1" ht="16.149999999999999">
      <c r="A84" s="346" t="s">
        <v>327</v>
      </c>
      <c r="B84" s="309"/>
      <c r="C84" s="309"/>
      <c r="D84" s="309"/>
      <c r="E84" s="309"/>
      <c r="F84" s="309"/>
      <c r="G84" s="309"/>
      <c r="H84" s="309"/>
      <c r="I84" s="309"/>
      <c r="J84" s="309"/>
      <c r="K84" s="309"/>
      <c r="L84" s="309"/>
      <c r="M84" s="309"/>
      <c r="N84" s="347"/>
      <c r="O84" s="348"/>
      <c r="P84" s="348"/>
    </row>
    <row r="85" spans="1:16" s="285" customFormat="1" ht="16.149999999999999">
      <c r="A85" s="445" t="s">
        <v>328</v>
      </c>
      <c r="B85" s="428"/>
      <c r="C85" s="428"/>
      <c r="D85" s="428"/>
      <c r="E85" s="428"/>
      <c r="F85" s="428"/>
      <c r="G85" s="428"/>
      <c r="H85" s="428"/>
      <c r="I85" s="428"/>
      <c r="J85" s="428"/>
      <c r="K85" s="428"/>
      <c r="L85" s="428"/>
      <c r="M85" s="428"/>
      <c r="N85" s="326"/>
      <c r="O85" s="446"/>
      <c r="P85" s="446"/>
    </row>
    <row r="86" spans="1:16" s="285" customFormat="1" ht="113.45">
      <c r="A86" s="420" t="s">
        <v>329</v>
      </c>
      <c r="B86" s="1009">
        <v>13.7</v>
      </c>
      <c r="C86" s="1009">
        <v>0</v>
      </c>
      <c r="D86" s="1009">
        <v>62.5</v>
      </c>
      <c r="E86" s="1009">
        <v>0</v>
      </c>
      <c r="F86" s="1009">
        <v>0</v>
      </c>
      <c r="G86" s="1010">
        <v>76.2</v>
      </c>
      <c r="H86" s="357">
        <v>12.65</v>
      </c>
      <c r="I86" s="357">
        <v>0</v>
      </c>
      <c r="J86" s="357">
        <v>45.8</v>
      </c>
      <c r="K86" s="357">
        <v>0</v>
      </c>
      <c r="L86" s="357">
        <v>0</v>
      </c>
      <c r="M86" s="1010">
        <v>58.449999999999996</v>
      </c>
      <c r="N86" s="982">
        <v>-0.23293963254593184</v>
      </c>
      <c r="O86" s="146" t="s">
        <v>330</v>
      </c>
      <c r="P86" s="145" t="s">
        <v>331</v>
      </c>
    </row>
    <row r="87" spans="1:16" s="285" customFormat="1" ht="32.450000000000003">
      <c r="A87" s="420" t="s">
        <v>332</v>
      </c>
      <c r="B87" s="1009">
        <v>0</v>
      </c>
      <c r="C87" s="1009">
        <v>0</v>
      </c>
      <c r="D87" s="1009">
        <v>0</v>
      </c>
      <c r="E87" s="1009">
        <v>-4</v>
      </c>
      <c r="F87" s="1009">
        <v>0</v>
      </c>
      <c r="G87" s="1010">
        <v>-4</v>
      </c>
      <c r="H87" s="357">
        <v>0</v>
      </c>
      <c r="I87" s="357"/>
      <c r="J87" s="357">
        <v>0</v>
      </c>
      <c r="K87" s="357">
        <v>0</v>
      </c>
      <c r="L87" s="357"/>
      <c r="M87" s="1010">
        <v>0</v>
      </c>
      <c r="N87" s="982">
        <v>-1</v>
      </c>
      <c r="O87" s="146" t="s">
        <v>238</v>
      </c>
      <c r="P87" s="145" t="s">
        <v>238</v>
      </c>
    </row>
    <row r="88" spans="1:16" s="285" customFormat="1" ht="16.149999999999999">
      <c r="A88" s="420" t="s">
        <v>333</v>
      </c>
      <c r="B88" s="1009">
        <v>0</v>
      </c>
      <c r="C88" s="1009">
        <v>0</v>
      </c>
      <c r="D88" s="1009">
        <v>-13</v>
      </c>
      <c r="E88" s="1009">
        <v>0</v>
      </c>
      <c r="F88" s="1009">
        <v>0</v>
      </c>
      <c r="G88" s="1010">
        <v>-13</v>
      </c>
      <c r="H88" s="357">
        <v>0</v>
      </c>
      <c r="I88" s="357">
        <v>0</v>
      </c>
      <c r="J88" s="357">
        <v>0</v>
      </c>
      <c r="K88" s="357">
        <v>0</v>
      </c>
      <c r="L88" s="357">
        <v>0</v>
      </c>
      <c r="M88" s="1010">
        <v>0</v>
      </c>
      <c r="N88" s="982">
        <v>-1</v>
      </c>
      <c r="O88" s="146" t="s">
        <v>238</v>
      </c>
      <c r="P88" s="145" t="s">
        <v>238</v>
      </c>
    </row>
    <row r="89" spans="1:16" s="285" customFormat="1" ht="16.149999999999999" collapsed="1">
      <c r="A89" s="447" t="s">
        <v>334</v>
      </c>
      <c r="B89" s="448">
        <v>13.7</v>
      </c>
      <c r="C89" s="448">
        <v>0</v>
      </c>
      <c r="D89" s="448">
        <v>49.5</v>
      </c>
      <c r="E89" s="448">
        <v>-4</v>
      </c>
      <c r="F89" s="448">
        <v>0</v>
      </c>
      <c r="G89" s="448">
        <v>59.2</v>
      </c>
      <c r="H89" s="448">
        <v>12.65</v>
      </c>
      <c r="I89" s="448">
        <v>0</v>
      </c>
      <c r="J89" s="448">
        <v>45.8</v>
      </c>
      <c r="K89" s="448">
        <v>0</v>
      </c>
      <c r="L89" s="448">
        <v>0</v>
      </c>
      <c r="M89" s="448">
        <v>58.449999999999996</v>
      </c>
      <c r="N89" s="453">
        <v>-1.2668918918919038E-2</v>
      </c>
      <c r="O89" s="449"/>
      <c r="P89" s="450"/>
    </row>
    <row r="90" spans="1:16" s="285" customFormat="1" ht="16.149999999999999">
      <c r="A90" s="340"/>
      <c r="B90" s="341"/>
      <c r="C90" s="341"/>
      <c r="D90" s="341"/>
      <c r="E90" s="341"/>
      <c r="F90" s="341"/>
      <c r="G90" s="341"/>
      <c r="H90" s="341"/>
      <c r="I90" s="341"/>
      <c r="J90" s="341"/>
      <c r="K90" s="341"/>
      <c r="L90" s="341"/>
      <c r="M90" s="341"/>
      <c r="N90" s="343"/>
      <c r="O90" s="340"/>
      <c r="P90" s="340"/>
    </row>
    <row r="91" spans="1:16" s="285" customFormat="1" ht="16.149999999999999">
      <c r="A91" s="349" t="s">
        <v>327</v>
      </c>
      <c r="B91" s="428"/>
      <c r="C91" s="428"/>
      <c r="D91" s="428"/>
      <c r="E91" s="428"/>
      <c r="F91" s="428"/>
      <c r="G91" s="428"/>
      <c r="H91" s="428"/>
      <c r="I91" s="428"/>
      <c r="J91" s="428"/>
      <c r="K91" s="428"/>
      <c r="L91" s="428"/>
      <c r="M91" s="428"/>
      <c r="N91" s="326"/>
      <c r="O91" s="446"/>
      <c r="P91" s="446"/>
    </row>
    <row r="92" spans="1:16" s="285" customFormat="1" ht="113.45">
      <c r="A92" s="420" t="s">
        <v>327</v>
      </c>
      <c r="B92" s="369">
        <v>4.7329999999999997</v>
      </c>
      <c r="C92" s="369">
        <v>0</v>
      </c>
      <c r="D92" s="369">
        <v>7</v>
      </c>
      <c r="E92" s="369">
        <v>0</v>
      </c>
      <c r="F92" s="369">
        <v>0</v>
      </c>
      <c r="G92" s="370">
        <v>11.733000000000001</v>
      </c>
      <c r="H92" s="357">
        <v>6.6120000000000001</v>
      </c>
      <c r="I92" s="357">
        <v>0</v>
      </c>
      <c r="J92" s="357">
        <v>0</v>
      </c>
      <c r="K92" s="357">
        <v>0</v>
      </c>
      <c r="L92" s="357">
        <v>0</v>
      </c>
      <c r="M92" s="370">
        <v>6.6120000000000001</v>
      </c>
      <c r="N92" s="371">
        <v>-0.43646126310406547</v>
      </c>
      <c r="O92" s="146" t="s">
        <v>335</v>
      </c>
      <c r="P92" s="145" t="s">
        <v>336</v>
      </c>
    </row>
    <row r="93" spans="1:16" s="285" customFormat="1" ht="16.149999999999999" collapsed="1">
      <c r="A93" s="478" t="s">
        <v>337</v>
      </c>
      <c r="B93" s="448">
        <v>4.7329999999999997</v>
      </c>
      <c r="C93" s="448">
        <v>0</v>
      </c>
      <c r="D93" s="448">
        <v>7</v>
      </c>
      <c r="E93" s="448">
        <v>0</v>
      </c>
      <c r="F93" s="448">
        <v>0</v>
      </c>
      <c r="G93" s="448">
        <v>11.733000000000001</v>
      </c>
      <c r="H93" s="448">
        <v>6.6120000000000001</v>
      </c>
      <c r="I93" s="448">
        <v>0</v>
      </c>
      <c r="J93" s="448">
        <v>0</v>
      </c>
      <c r="K93" s="448">
        <v>0</v>
      </c>
      <c r="L93" s="448">
        <v>0</v>
      </c>
      <c r="M93" s="448">
        <v>6.6120000000000001</v>
      </c>
      <c r="N93" s="453">
        <v>-0.43646126310406547</v>
      </c>
      <c r="O93" s="449"/>
      <c r="P93" s="450"/>
    </row>
    <row r="94" spans="1:16" s="285" customFormat="1" ht="16.149999999999999">
      <c r="A94" s="465"/>
      <c r="B94" s="1006"/>
      <c r="C94" s="1006"/>
      <c r="D94" s="1006"/>
      <c r="E94" s="1006"/>
      <c r="F94" s="1006"/>
      <c r="G94" s="1006"/>
      <c r="H94" s="1006"/>
      <c r="I94" s="1007"/>
      <c r="J94" s="466"/>
      <c r="K94" s="466"/>
      <c r="L94" s="1006"/>
      <c r="M94" s="1006"/>
      <c r="N94" s="1007"/>
      <c r="O94" s="466"/>
      <c r="P94" s="466"/>
    </row>
    <row r="95" spans="1:16" s="285" customFormat="1" ht="32.450000000000003">
      <c r="A95" s="324" t="s">
        <v>338</v>
      </c>
      <c r="B95" s="428"/>
      <c r="C95" s="428"/>
      <c r="D95" s="428"/>
      <c r="E95" s="428"/>
      <c r="F95" s="428"/>
      <c r="G95" s="428"/>
      <c r="H95" s="428"/>
      <c r="I95" s="593"/>
      <c r="J95" s="352"/>
      <c r="K95" s="352"/>
      <c r="L95" s="428"/>
      <c r="M95" s="428"/>
      <c r="N95" s="593"/>
      <c r="O95" s="352"/>
      <c r="P95" s="352"/>
    </row>
    <row r="96" spans="1:16" s="285" customFormat="1" ht="64.900000000000006">
      <c r="A96" s="420" t="s">
        <v>338</v>
      </c>
      <c r="B96" s="369">
        <v>0.58199999999999996</v>
      </c>
      <c r="C96" s="369">
        <v>0</v>
      </c>
      <c r="D96" s="369">
        <v>0</v>
      </c>
      <c r="E96" s="369">
        <v>0</v>
      </c>
      <c r="F96" s="369">
        <v>0</v>
      </c>
      <c r="G96" s="370">
        <v>0.58199999999999996</v>
      </c>
      <c r="H96" s="357">
        <v>0.56499999999999995</v>
      </c>
      <c r="I96" s="357">
        <v>0</v>
      </c>
      <c r="J96" s="357">
        <v>0</v>
      </c>
      <c r="K96" s="357">
        <v>0</v>
      </c>
      <c r="L96" s="357">
        <v>0</v>
      </c>
      <c r="M96" s="370">
        <v>0.56499999999999995</v>
      </c>
      <c r="N96" s="371">
        <v>-2.9209621993127176E-2</v>
      </c>
      <c r="O96" s="146" t="s">
        <v>339</v>
      </c>
      <c r="P96" s="145" t="s">
        <v>238</v>
      </c>
    </row>
    <row r="97" spans="1:16" s="285" customFormat="1" ht="32.450000000000003" collapsed="1">
      <c r="A97" s="478" t="s">
        <v>340</v>
      </c>
      <c r="B97" s="448">
        <v>0.58199999999999996</v>
      </c>
      <c r="C97" s="448">
        <v>0</v>
      </c>
      <c r="D97" s="448">
        <v>0</v>
      </c>
      <c r="E97" s="448">
        <v>0</v>
      </c>
      <c r="F97" s="448">
        <v>0</v>
      </c>
      <c r="G97" s="448">
        <v>0.58199999999999996</v>
      </c>
      <c r="H97" s="448">
        <v>0.56499999999999995</v>
      </c>
      <c r="I97" s="448">
        <v>0</v>
      </c>
      <c r="J97" s="448">
        <v>0</v>
      </c>
      <c r="K97" s="448">
        <v>0</v>
      </c>
      <c r="L97" s="448">
        <v>0</v>
      </c>
      <c r="M97" s="448">
        <v>0.56499999999999995</v>
      </c>
      <c r="N97" s="453">
        <v>-2.9209621993127176E-2</v>
      </c>
      <c r="O97" s="449"/>
      <c r="P97" s="450"/>
    </row>
    <row r="98" spans="1:16" s="285" customFormat="1" ht="16.149999999999999">
      <c r="A98" s="340"/>
      <c r="B98" s="341"/>
      <c r="C98" s="341"/>
      <c r="D98" s="341"/>
      <c r="E98" s="341"/>
      <c r="F98" s="341"/>
      <c r="G98" s="341"/>
      <c r="H98" s="341"/>
      <c r="I98" s="343"/>
      <c r="J98" s="340"/>
      <c r="K98" s="340"/>
      <c r="L98" s="341"/>
      <c r="M98" s="341"/>
      <c r="N98" s="343"/>
      <c r="O98" s="340"/>
      <c r="P98" s="340"/>
    </row>
    <row r="99" spans="1:16" s="285" customFormat="1" ht="16.149999999999999">
      <c r="A99" s="380" t="s">
        <v>337</v>
      </c>
      <c r="B99" s="1003">
        <v>19.015000000000001</v>
      </c>
      <c r="C99" s="1003">
        <v>0</v>
      </c>
      <c r="D99" s="1003">
        <v>56.5</v>
      </c>
      <c r="E99" s="1003">
        <v>-4</v>
      </c>
      <c r="F99" s="1003">
        <v>0</v>
      </c>
      <c r="G99" s="1003">
        <v>71.515000000000001</v>
      </c>
      <c r="H99" s="1003">
        <v>19.826999999999998</v>
      </c>
      <c r="I99" s="1003">
        <v>0</v>
      </c>
      <c r="J99" s="1003">
        <v>45.8</v>
      </c>
      <c r="K99" s="1003">
        <v>0</v>
      </c>
      <c r="L99" s="1003">
        <v>0</v>
      </c>
      <c r="M99" s="1003">
        <v>65.626999999999995</v>
      </c>
      <c r="N99" s="1011">
        <v>-8.2332377822834438E-2</v>
      </c>
      <c r="O99" s="383"/>
      <c r="P99" s="384"/>
    </row>
    <row r="100" spans="1:16" ht="16.149999999999999">
      <c r="A100" s="186"/>
      <c r="B100" s="187"/>
      <c r="C100" s="187"/>
      <c r="D100" s="187"/>
      <c r="E100" s="187"/>
      <c r="F100" s="187"/>
      <c r="G100" s="187"/>
      <c r="H100" s="187"/>
      <c r="I100" s="187"/>
      <c r="J100" s="187"/>
      <c r="K100" s="187"/>
      <c r="L100" s="187"/>
      <c r="M100" s="187"/>
      <c r="N100" s="187"/>
      <c r="O100" s="187"/>
      <c r="P100" s="187"/>
    </row>
    <row r="101" spans="1:16" s="285" customFormat="1" ht="16.149999999999999">
      <c r="A101" s="441" t="s">
        <v>341</v>
      </c>
      <c r="B101" s="1012"/>
      <c r="C101" s="1012"/>
      <c r="D101" s="1012"/>
      <c r="E101" s="1012"/>
      <c r="F101" s="1012"/>
      <c r="G101" s="1012"/>
      <c r="H101" s="1012"/>
      <c r="I101" s="1012"/>
      <c r="J101" s="1012"/>
      <c r="K101" s="1012"/>
      <c r="L101" s="1012"/>
      <c r="M101" s="1012"/>
      <c r="N101" s="443"/>
      <c r="O101" s="400"/>
      <c r="P101" s="400"/>
    </row>
    <row r="102" spans="1:16" s="285" customFormat="1" ht="77.650000000000006" customHeight="1">
      <c r="A102" s="412" t="s">
        <v>342</v>
      </c>
      <c r="B102" s="369">
        <v>2.1789999999999998</v>
      </c>
      <c r="C102" s="369">
        <v>0</v>
      </c>
      <c r="D102" s="369">
        <v>0</v>
      </c>
      <c r="E102" s="369">
        <v>0</v>
      </c>
      <c r="F102" s="369">
        <v>0</v>
      </c>
      <c r="G102" s="370">
        <v>2.1789999999999998</v>
      </c>
      <c r="H102" s="357">
        <v>3</v>
      </c>
      <c r="I102" s="357">
        <v>0</v>
      </c>
      <c r="J102" s="357">
        <v>0</v>
      </c>
      <c r="K102" s="357">
        <v>0</v>
      </c>
      <c r="L102" s="357">
        <v>0</v>
      </c>
      <c r="M102" s="370">
        <v>3</v>
      </c>
      <c r="N102" s="371">
        <v>0.3767783386874714</v>
      </c>
      <c r="O102" s="146" t="s">
        <v>343</v>
      </c>
      <c r="P102" s="145" t="s">
        <v>344</v>
      </c>
    </row>
    <row r="103" spans="1:16" s="285" customFormat="1" ht="145.9">
      <c r="A103" s="406" t="s">
        <v>345</v>
      </c>
      <c r="B103" s="388">
        <v>19.209</v>
      </c>
      <c r="C103" s="388">
        <v>0</v>
      </c>
      <c r="D103" s="388">
        <v>0</v>
      </c>
      <c r="E103" s="388">
        <v>0</v>
      </c>
      <c r="F103" s="388">
        <v>0</v>
      </c>
      <c r="G103" s="389">
        <v>19.209</v>
      </c>
      <c r="H103" s="357">
        <v>18.129000000000001</v>
      </c>
      <c r="I103" s="357">
        <v>0</v>
      </c>
      <c r="J103" s="357">
        <v>0</v>
      </c>
      <c r="K103" s="357">
        <v>0</v>
      </c>
      <c r="L103" s="357">
        <v>0</v>
      </c>
      <c r="M103" s="389">
        <v>18.129000000000001</v>
      </c>
      <c r="N103" s="390">
        <v>-5.6223645166328197E-2</v>
      </c>
      <c r="O103" s="146" t="s">
        <v>346</v>
      </c>
      <c r="P103" s="145" t="s">
        <v>238</v>
      </c>
    </row>
    <row r="104" spans="1:16" s="285" customFormat="1" ht="81">
      <c r="A104" s="406" t="s">
        <v>347</v>
      </c>
      <c r="B104" s="388">
        <v>8.4580000000000002</v>
      </c>
      <c r="C104" s="388">
        <v>0</v>
      </c>
      <c r="D104" s="388">
        <v>0</v>
      </c>
      <c r="E104" s="388">
        <v>0</v>
      </c>
      <c r="F104" s="388">
        <v>0</v>
      </c>
      <c r="G104" s="389">
        <v>8.4580000000000002</v>
      </c>
      <c r="H104" s="357">
        <v>9.6430000000000007</v>
      </c>
      <c r="I104" s="357">
        <v>0</v>
      </c>
      <c r="J104" s="357">
        <v>0</v>
      </c>
      <c r="K104" s="357">
        <v>0</v>
      </c>
      <c r="L104" s="357">
        <v>0</v>
      </c>
      <c r="M104" s="389">
        <v>9.6430000000000007</v>
      </c>
      <c r="N104" s="390">
        <v>0.14010404350910385</v>
      </c>
      <c r="O104" s="146" t="s">
        <v>348</v>
      </c>
      <c r="P104" s="145" t="s">
        <v>238</v>
      </c>
    </row>
    <row r="105" spans="1:16" s="285" customFormat="1" ht="32.450000000000003">
      <c r="A105" s="406" t="s">
        <v>349</v>
      </c>
      <c r="B105" s="388">
        <v>0.40100000000000002</v>
      </c>
      <c r="C105" s="388">
        <v>15.318</v>
      </c>
      <c r="D105" s="388">
        <v>7.3579999999999997</v>
      </c>
      <c r="E105" s="388">
        <v>0</v>
      </c>
      <c r="F105" s="388">
        <v>0.14799999999999999</v>
      </c>
      <c r="G105" s="389">
        <v>23.224999999999998</v>
      </c>
      <c r="H105" s="357">
        <v>0.23400000000000001</v>
      </c>
      <c r="I105" s="357">
        <v>10.914999999999999</v>
      </c>
      <c r="J105" s="357">
        <v>12.718999999999999</v>
      </c>
      <c r="K105" s="357">
        <v>0</v>
      </c>
      <c r="L105" s="357">
        <v>0</v>
      </c>
      <c r="M105" s="389">
        <v>23.867999999999999</v>
      </c>
      <c r="N105" s="390">
        <v>2.7685683530678181E-2</v>
      </c>
      <c r="O105" s="146" t="s">
        <v>350</v>
      </c>
      <c r="P105" s="145" t="s">
        <v>238</v>
      </c>
    </row>
    <row r="106" spans="1:16" s="285" customFormat="1" ht="32.450000000000003">
      <c r="A106" s="406" t="s">
        <v>351</v>
      </c>
      <c r="B106" s="388">
        <v>0</v>
      </c>
      <c r="C106" s="388">
        <v>0</v>
      </c>
      <c r="D106" s="388">
        <v>0</v>
      </c>
      <c r="E106" s="388">
        <v>0</v>
      </c>
      <c r="F106" s="388">
        <v>0</v>
      </c>
      <c r="G106" s="389">
        <v>0</v>
      </c>
      <c r="H106" s="357">
        <v>0</v>
      </c>
      <c r="I106" s="357">
        <v>0</v>
      </c>
      <c r="J106" s="357">
        <v>0</v>
      </c>
      <c r="K106" s="357">
        <v>0</v>
      </c>
      <c r="L106" s="357">
        <v>0</v>
      </c>
      <c r="M106" s="389">
        <v>0</v>
      </c>
      <c r="N106" s="390" t="s">
        <v>204</v>
      </c>
      <c r="O106" s="146" t="s">
        <v>238</v>
      </c>
      <c r="P106" s="145" t="s">
        <v>238</v>
      </c>
    </row>
    <row r="107" spans="1:16" s="285" customFormat="1" ht="113.45">
      <c r="A107" s="406" t="s">
        <v>352</v>
      </c>
      <c r="B107" s="388">
        <v>2.1019999999999999</v>
      </c>
      <c r="C107" s="388">
        <v>0</v>
      </c>
      <c r="D107" s="388">
        <v>0</v>
      </c>
      <c r="E107" s="388">
        <v>0</v>
      </c>
      <c r="F107" s="388">
        <v>0</v>
      </c>
      <c r="G107" s="389">
        <v>2.1019999999999999</v>
      </c>
      <c r="H107" s="357">
        <v>5.5</v>
      </c>
      <c r="I107" s="357">
        <v>0</v>
      </c>
      <c r="J107" s="357">
        <v>0</v>
      </c>
      <c r="K107" s="357">
        <v>0</v>
      </c>
      <c r="L107" s="357">
        <v>0</v>
      </c>
      <c r="M107" s="389">
        <v>5.5</v>
      </c>
      <c r="N107" s="390">
        <v>1.6165556612749763</v>
      </c>
      <c r="O107" s="146" t="s">
        <v>353</v>
      </c>
      <c r="P107" s="145" t="s">
        <v>238</v>
      </c>
    </row>
    <row r="108" spans="1:16" s="285" customFormat="1" ht="48.6">
      <c r="A108" s="406" t="s">
        <v>354</v>
      </c>
      <c r="B108" s="388">
        <v>3.6</v>
      </c>
      <c r="C108" s="388">
        <v>0.106</v>
      </c>
      <c r="D108" s="388">
        <v>0</v>
      </c>
      <c r="E108" s="388">
        <v>0</v>
      </c>
      <c r="F108" s="388">
        <v>0</v>
      </c>
      <c r="G108" s="389">
        <v>3.706</v>
      </c>
      <c r="H108" s="357">
        <v>3.4</v>
      </c>
      <c r="I108" s="357">
        <v>0</v>
      </c>
      <c r="J108" s="357">
        <v>0</v>
      </c>
      <c r="K108" s="357">
        <v>0</v>
      </c>
      <c r="L108" s="357">
        <v>0</v>
      </c>
      <c r="M108" s="389">
        <v>3.4</v>
      </c>
      <c r="N108" s="390">
        <v>-8.256880733944956E-2</v>
      </c>
      <c r="O108" s="146" t="s">
        <v>355</v>
      </c>
      <c r="P108" s="145" t="s">
        <v>238</v>
      </c>
    </row>
    <row r="109" spans="1:16" s="285" customFormat="1" ht="16.149999999999999">
      <c r="A109" s="380" t="s">
        <v>356</v>
      </c>
      <c r="B109" s="565">
        <v>35.948999999999998</v>
      </c>
      <c r="C109" s="565">
        <v>15.423999999999999</v>
      </c>
      <c r="D109" s="565">
        <v>7.3579999999999997</v>
      </c>
      <c r="E109" s="565">
        <v>0</v>
      </c>
      <c r="F109" s="565">
        <v>0.14799999999999999</v>
      </c>
      <c r="G109" s="565">
        <v>58.878999999999998</v>
      </c>
      <c r="H109" s="565">
        <v>39.905999999999999</v>
      </c>
      <c r="I109" s="565">
        <v>10.914999999999999</v>
      </c>
      <c r="J109" s="565">
        <v>12.718999999999999</v>
      </c>
      <c r="K109" s="565">
        <v>0</v>
      </c>
      <c r="L109" s="565">
        <v>0</v>
      </c>
      <c r="M109" s="565">
        <v>63.54</v>
      </c>
      <c r="N109" s="382">
        <v>7.9162349904040516E-2</v>
      </c>
      <c r="O109" s="565">
        <v>0</v>
      </c>
      <c r="P109" s="565">
        <v>0</v>
      </c>
    </row>
    <row r="110" spans="1:16" s="285" customFormat="1" ht="16.149999999999999">
      <c r="A110" s="340"/>
      <c r="B110" s="341"/>
      <c r="C110" s="341"/>
      <c r="D110" s="341"/>
      <c r="E110" s="341"/>
      <c r="F110" s="341"/>
      <c r="G110" s="341"/>
      <c r="H110" s="341"/>
      <c r="I110" s="341"/>
      <c r="J110" s="341"/>
      <c r="K110" s="341"/>
      <c r="L110" s="341"/>
      <c r="M110" s="341"/>
      <c r="N110" s="343"/>
      <c r="O110" s="401"/>
      <c r="P110" s="401"/>
    </row>
    <row r="111" spans="1:16" s="285" customFormat="1" ht="16.149999999999999">
      <c r="A111" s="397" t="s">
        <v>357</v>
      </c>
      <c r="B111" s="398"/>
      <c r="C111" s="398"/>
      <c r="D111" s="398"/>
      <c r="E111" s="398"/>
      <c r="F111" s="398"/>
      <c r="G111" s="398"/>
      <c r="H111" s="398"/>
      <c r="I111" s="398"/>
      <c r="J111" s="398"/>
      <c r="K111" s="398"/>
      <c r="L111" s="398"/>
      <c r="M111" s="398"/>
      <c r="N111" s="432"/>
      <c r="O111" s="400"/>
      <c r="P111" s="400"/>
    </row>
    <row r="112" spans="1:16" s="285" customFormat="1" ht="48.6">
      <c r="A112" s="406" t="s">
        <v>357</v>
      </c>
      <c r="B112" s="388">
        <v>2.4</v>
      </c>
      <c r="C112" s="388">
        <v>0</v>
      </c>
      <c r="D112" s="388">
        <v>0</v>
      </c>
      <c r="E112" s="388">
        <v>0</v>
      </c>
      <c r="F112" s="388">
        <v>0</v>
      </c>
      <c r="G112" s="389">
        <v>2.4</v>
      </c>
      <c r="H112" s="357">
        <v>2.4</v>
      </c>
      <c r="I112" s="357">
        <v>0</v>
      </c>
      <c r="J112" s="357">
        <v>0</v>
      </c>
      <c r="K112" s="357">
        <v>0</v>
      </c>
      <c r="L112" s="357">
        <v>0</v>
      </c>
      <c r="M112" s="389">
        <v>2.4</v>
      </c>
      <c r="N112" s="390">
        <v>0</v>
      </c>
      <c r="O112" s="146" t="s">
        <v>358</v>
      </c>
      <c r="P112" s="145" t="s">
        <v>238</v>
      </c>
    </row>
    <row r="113" spans="1:16" s="285" customFormat="1" ht="16.149999999999999">
      <c r="A113" s="380" t="s">
        <v>359</v>
      </c>
      <c r="B113" s="381">
        <v>2.4</v>
      </c>
      <c r="C113" s="381">
        <v>0</v>
      </c>
      <c r="D113" s="381">
        <v>0</v>
      </c>
      <c r="E113" s="381">
        <v>0</v>
      </c>
      <c r="F113" s="381">
        <v>0</v>
      </c>
      <c r="G113" s="381">
        <v>2.4</v>
      </c>
      <c r="H113" s="381">
        <v>2.4</v>
      </c>
      <c r="I113" s="381">
        <v>0</v>
      </c>
      <c r="J113" s="381">
        <v>0</v>
      </c>
      <c r="K113" s="381">
        <v>0</v>
      </c>
      <c r="L113" s="381">
        <v>0</v>
      </c>
      <c r="M113" s="381">
        <v>2.4</v>
      </c>
      <c r="N113" s="382">
        <v>0</v>
      </c>
      <c r="O113" s="430"/>
      <c r="P113" s="433"/>
    </row>
    <row r="114" spans="1:16" s="285" customFormat="1" ht="16.149999999999999">
      <c r="A114" s="1013"/>
      <c r="B114" s="1014"/>
      <c r="C114" s="1014"/>
      <c r="D114" s="1014"/>
      <c r="E114" s="1014"/>
      <c r="F114" s="1014"/>
      <c r="G114" s="1014"/>
      <c r="H114" s="1014"/>
      <c r="I114" s="1014"/>
      <c r="J114" s="1014"/>
      <c r="K114" s="1014"/>
      <c r="L114" s="1014"/>
      <c r="M114" s="1014"/>
      <c r="N114" s="1015"/>
      <c r="O114" s="401"/>
      <c r="P114" s="401"/>
    </row>
    <row r="115" spans="1:16" s="285" customFormat="1" ht="16.149999999999999">
      <c r="A115" s="997" t="s">
        <v>360</v>
      </c>
      <c r="B115" s="998"/>
      <c r="C115" s="998"/>
      <c r="D115" s="998"/>
      <c r="E115" s="998"/>
      <c r="F115" s="998"/>
      <c r="G115" s="998"/>
      <c r="H115" s="998"/>
      <c r="I115" s="998"/>
      <c r="J115" s="998"/>
      <c r="K115" s="998"/>
      <c r="L115" s="998"/>
      <c r="M115" s="998"/>
      <c r="N115" s="537"/>
      <c r="O115" s="400"/>
      <c r="P115" s="400"/>
    </row>
    <row r="116" spans="1:16" s="285" customFormat="1" ht="129.6">
      <c r="A116" s="412" t="s">
        <v>361</v>
      </c>
      <c r="B116" s="369">
        <v>7.157</v>
      </c>
      <c r="C116" s="369">
        <v>0.55000000000000004</v>
      </c>
      <c r="D116" s="369">
        <v>0</v>
      </c>
      <c r="E116" s="369">
        <v>0</v>
      </c>
      <c r="F116" s="369">
        <v>0</v>
      </c>
      <c r="G116" s="370">
        <v>7.7069999999999999</v>
      </c>
      <c r="H116" s="357">
        <v>8.86</v>
      </c>
      <c r="I116" s="357">
        <v>0.64</v>
      </c>
      <c r="J116" s="357">
        <v>0</v>
      </c>
      <c r="K116" s="357">
        <v>0</v>
      </c>
      <c r="L116" s="357">
        <v>0</v>
      </c>
      <c r="M116" s="370">
        <v>9.5</v>
      </c>
      <c r="N116" s="371">
        <v>0.23264564681458416</v>
      </c>
      <c r="O116" s="146" t="s">
        <v>362</v>
      </c>
      <c r="P116" s="145" t="s">
        <v>363</v>
      </c>
    </row>
    <row r="117" spans="1:16" s="285" customFormat="1" ht="32.450000000000003">
      <c r="A117" s="406" t="s">
        <v>364</v>
      </c>
      <c r="B117" s="388">
        <v>0</v>
      </c>
      <c r="C117" s="388">
        <v>0</v>
      </c>
      <c r="D117" s="388">
        <v>0.5</v>
      </c>
      <c r="E117" s="388">
        <v>0</v>
      </c>
      <c r="F117" s="388">
        <v>0</v>
      </c>
      <c r="G117" s="389">
        <v>0.5</v>
      </c>
      <c r="H117" s="357">
        <v>0</v>
      </c>
      <c r="I117" s="357">
        <v>0</v>
      </c>
      <c r="J117" s="357">
        <v>1.5</v>
      </c>
      <c r="K117" s="357">
        <v>0</v>
      </c>
      <c r="L117" s="357">
        <v>0</v>
      </c>
      <c r="M117" s="389">
        <v>1.5</v>
      </c>
      <c r="N117" s="390">
        <v>2</v>
      </c>
      <c r="O117" s="146" t="s">
        <v>365</v>
      </c>
      <c r="P117" s="145" t="s">
        <v>363</v>
      </c>
    </row>
    <row r="118" spans="1:16" s="285" customFormat="1" ht="16.149999999999999">
      <c r="A118" s="1016" t="s">
        <v>366</v>
      </c>
      <c r="B118" s="1017">
        <v>7.157</v>
      </c>
      <c r="C118" s="1017">
        <v>0.55000000000000004</v>
      </c>
      <c r="D118" s="1017">
        <v>0.5</v>
      </c>
      <c r="E118" s="1017">
        <v>0</v>
      </c>
      <c r="F118" s="1017">
        <v>0</v>
      </c>
      <c r="G118" s="1017">
        <v>8.2070000000000007</v>
      </c>
      <c r="H118" s="1017">
        <v>8.86</v>
      </c>
      <c r="I118" s="1017">
        <v>0.64</v>
      </c>
      <c r="J118" s="1017">
        <v>1.5</v>
      </c>
      <c r="K118" s="1017">
        <v>0</v>
      </c>
      <c r="L118" s="1017">
        <v>0</v>
      </c>
      <c r="M118" s="1017">
        <v>11</v>
      </c>
      <c r="N118" s="1018">
        <v>0.34031923967344935</v>
      </c>
      <c r="O118" s="431"/>
      <c r="P118" s="431"/>
    </row>
    <row r="119" spans="1:16" s="285" customFormat="1" ht="16.149999999999999">
      <c r="A119" s="1019"/>
      <c r="B119" s="773"/>
      <c r="C119" s="773"/>
      <c r="D119" s="773"/>
      <c r="E119" s="773"/>
      <c r="F119" s="773"/>
      <c r="G119" s="774"/>
      <c r="H119" s="773"/>
      <c r="I119" s="773"/>
      <c r="J119" s="773"/>
      <c r="K119" s="773"/>
      <c r="L119" s="773"/>
      <c r="M119" s="774"/>
      <c r="N119" s="775"/>
      <c r="O119" s="401"/>
      <c r="P119" s="401"/>
    </row>
    <row r="120" spans="1:16" s="285" customFormat="1" ht="16.149999999999999">
      <c r="A120" s="397" t="s">
        <v>367</v>
      </c>
      <c r="B120" s="398"/>
      <c r="C120" s="398"/>
      <c r="D120" s="398"/>
      <c r="E120" s="398"/>
      <c r="F120" s="398"/>
      <c r="G120" s="398"/>
      <c r="H120" s="398"/>
      <c r="I120" s="398"/>
      <c r="J120" s="398"/>
      <c r="K120" s="398"/>
      <c r="L120" s="398"/>
      <c r="M120" s="398"/>
      <c r="N120" s="432"/>
      <c r="O120" s="400"/>
      <c r="P120" s="400"/>
    </row>
    <row r="121" spans="1:16" s="285" customFormat="1" ht="97.15">
      <c r="A121" s="406" t="s">
        <v>367</v>
      </c>
      <c r="B121" s="388">
        <v>179.05099999999999</v>
      </c>
      <c r="C121" s="388">
        <v>0</v>
      </c>
      <c r="D121" s="388">
        <v>0</v>
      </c>
      <c r="E121" s="388">
        <v>0</v>
      </c>
      <c r="F121" s="388">
        <v>0</v>
      </c>
      <c r="G121" s="389">
        <v>179.05099999999999</v>
      </c>
      <c r="H121" s="357">
        <v>200.81800000000001</v>
      </c>
      <c r="I121" s="357">
        <v>0</v>
      </c>
      <c r="J121" s="357">
        <v>0</v>
      </c>
      <c r="K121" s="357">
        <v>0</v>
      </c>
      <c r="L121" s="357">
        <v>0</v>
      </c>
      <c r="M121" s="389">
        <v>200.81800000000001</v>
      </c>
      <c r="N121" s="390">
        <v>0.12156871505883812</v>
      </c>
      <c r="O121" s="146" t="s">
        <v>368</v>
      </c>
      <c r="P121" s="145" t="s">
        <v>238</v>
      </c>
    </row>
    <row r="122" spans="1:16" s="285" customFormat="1" ht="16.149999999999999">
      <c r="A122" s="380" t="s">
        <v>369</v>
      </c>
      <c r="B122" s="381">
        <v>179.05099999999999</v>
      </c>
      <c r="C122" s="381">
        <v>0</v>
      </c>
      <c r="D122" s="381">
        <v>0</v>
      </c>
      <c r="E122" s="381">
        <v>0</v>
      </c>
      <c r="F122" s="381">
        <v>0</v>
      </c>
      <c r="G122" s="381">
        <v>179.05099999999999</v>
      </c>
      <c r="H122" s="381">
        <v>200.81800000000001</v>
      </c>
      <c r="I122" s="381">
        <v>0</v>
      </c>
      <c r="J122" s="381">
        <v>0</v>
      </c>
      <c r="K122" s="381">
        <v>0</v>
      </c>
      <c r="L122" s="381">
        <v>0</v>
      </c>
      <c r="M122" s="381">
        <v>200.81800000000001</v>
      </c>
      <c r="N122" s="382">
        <v>0.12156871505883812</v>
      </c>
      <c r="O122" s="430"/>
      <c r="P122" s="433"/>
    </row>
    <row r="123" spans="1:16" ht="16.149999999999999">
      <c r="A123" s="665"/>
      <c r="B123" s="545"/>
      <c r="C123" s="545"/>
      <c r="D123" s="545"/>
      <c r="E123" s="545"/>
      <c r="F123" s="545"/>
      <c r="G123" s="545"/>
      <c r="H123" s="545"/>
      <c r="I123" s="545"/>
      <c r="J123" s="545"/>
      <c r="K123" s="545"/>
      <c r="L123" s="545"/>
      <c r="M123" s="545"/>
      <c r="N123" s="666"/>
      <c r="O123" s="978"/>
      <c r="P123" s="793"/>
    </row>
    <row r="124" spans="1:16" s="285" customFormat="1" ht="32.450000000000003">
      <c r="A124" s="397" t="s">
        <v>370</v>
      </c>
      <c r="B124" s="398"/>
      <c r="C124" s="398"/>
      <c r="D124" s="398"/>
      <c r="E124" s="398"/>
      <c r="F124" s="398"/>
      <c r="G124" s="398"/>
      <c r="H124" s="398"/>
      <c r="I124" s="398"/>
      <c r="J124" s="398"/>
      <c r="K124" s="398"/>
      <c r="L124" s="398"/>
      <c r="M124" s="398"/>
      <c r="N124" s="432"/>
      <c r="O124" s="400"/>
      <c r="P124" s="400"/>
    </row>
    <row r="125" spans="1:16" s="285" customFormat="1" ht="16.149999999999999">
      <c r="A125" s="406" t="s">
        <v>370</v>
      </c>
      <c r="B125" s="388">
        <v>0</v>
      </c>
      <c r="C125" s="388">
        <v>0</v>
      </c>
      <c r="D125" s="388">
        <v>0</v>
      </c>
      <c r="E125" s="388">
        <v>0</v>
      </c>
      <c r="F125" s="388">
        <v>0</v>
      </c>
      <c r="G125" s="389">
        <v>0</v>
      </c>
      <c r="H125" s="357">
        <v>0</v>
      </c>
      <c r="I125" s="357">
        <v>0</v>
      </c>
      <c r="J125" s="357">
        <v>0</v>
      </c>
      <c r="K125" s="357">
        <v>25</v>
      </c>
      <c r="L125" s="357">
        <v>0</v>
      </c>
      <c r="M125" s="389">
        <v>25</v>
      </c>
      <c r="N125" s="390" t="s">
        <v>204</v>
      </c>
      <c r="O125" s="146" t="s">
        <v>238</v>
      </c>
      <c r="P125" s="145" t="s">
        <v>238</v>
      </c>
    </row>
    <row r="126" spans="1:16" s="285" customFormat="1" ht="32.450000000000003">
      <c r="A126" s="380" t="s">
        <v>371</v>
      </c>
      <c r="B126" s="381">
        <v>0</v>
      </c>
      <c r="C126" s="381">
        <v>0</v>
      </c>
      <c r="D126" s="381">
        <v>0</v>
      </c>
      <c r="E126" s="381">
        <v>0</v>
      </c>
      <c r="F126" s="381">
        <v>0</v>
      </c>
      <c r="G126" s="381">
        <v>0</v>
      </c>
      <c r="H126" s="381">
        <v>0</v>
      </c>
      <c r="I126" s="381">
        <v>0</v>
      </c>
      <c r="J126" s="381">
        <v>0</v>
      </c>
      <c r="K126" s="381">
        <v>25</v>
      </c>
      <c r="L126" s="381">
        <v>0</v>
      </c>
      <c r="M126" s="381">
        <v>25</v>
      </c>
      <c r="N126" s="382" t="s">
        <v>204</v>
      </c>
      <c r="O126" s="430"/>
      <c r="P126" s="433"/>
    </row>
    <row r="127" spans="1:16" ht="16.149999999999999">
      <c r="A127" s="665"/>
      <c r="B127" s="545"/>
      <c r="C127" s="545"/>
      <c r="D127" s="545"/>
      <c r="E127" s="545"/>
      <c r="F127" s="545"/>
      <c r="G127" s="545"/>
      <c r="H127" s="545"/>
      <c r="I127" s="545"/>
      <c r="J127" s="545"/>
      <c r="K127" s="545"/>
      <c r="L127" s="545"/>
      <c r="M127" s="545"/>
      <c r="N127" s="666"/>
      <c r="O127" s="978"/>
      <c r="P127" s="793"/>
    </row>
    <row r="128" spans="1:16" ht="16.149999999999999">
      <c r="A128" s="170" t="s">
        <v>372</v>
      </c>
      <c r="B128" s="169"/>
      <c r="C128" s="169"/>
      <c r="D128" s="169"/>
      <c r="E128" s="169"/>
      <c r="F128" s="169"/>
      <c r="G128" s="168"/>
      <c r="H128" s="169"/>
      <c r="I128" s="169"/>
      <c r="J128" s="169"/>
      <c r="K128" s="169"/>
      <c r="L128" s="169"/>
      <c r="M128" s="168"/>
      <c r="N128" s="666"/>
      <c r="O128" s="978"/>
      <c r="P128" s="793"/>
    </row>
    <row r="129" spans="1:16" ht="16.149999999999999">
      <c r="A129" s="665"/>
      <c r="B129" s="545"/>
      <c r="C129" s="545"/>
      <c r="D129" s="545"/>
      <c r="E129" s="545"/>
      <c r="F129" s="545"/>
      <c r="G129" s="545"/>
      <c r="H129" s="545"/>
      <c r="I129" s="545"/>
      <c r="J129" s="545"/>
      <c r="K129" s="545"/>
      <c r="L129" s="545"/>
      <c r="M129" s="545"/>
      <c r="N129" s="666"/>
      <c r="O129" s="978"/>
      <c r="P129" s="793"/>
    </row>
    <row r="130" spans="1:16" ht="32.450000000000003">
      <c r="A130" s="141" t="s">
        <v>373</v>
      </c>
      <c r="B130" s="140">
        <v>8654.512999999999</v>
      </c>
      <c r="C130" s="140">
        <v>28.705000000000002</v>
      </c>
      <c r="D130" s="140">
        <v>823.97800000000007</v>
      </c>
      <c r="E130" s="140">
        <v>-4</v>
      </c>
      <c r="F130" s="140">
        <v>9968.3159999999989</v>
      </c>
      <c r="G130" s="140">
        <v>19471.511999999999</v>
      </c>
      <c r="H130" s="140">
        <v>9139.2979999999989</v>
      </c>
      <c r="I130" s="140">
        <v>23.2</v>
      </c>
      <c r="J130" s="140">
        <v>667.60800000000006</v>
      </c>
      <c r="K130" s="140">
        <v>25</v>
      </c>
      <c r="L130" s="140">
        <v>6490.4069999999992</v>
      </c>
      <c r="M130" s="140">
        <v>16345.512999999997</v>
      </c>
      <c r="N130" s="382">
        <v>-0.16054218080239491</v>
      </c>
    </row>
    <row r="131" spans="1:16" ht="33" customHeight="1">
      <c r="A131"/>
    </row>
    <row r="132" spans="1:16" ht="16.149999999999999">
      <c r="A132" s="159"/>
      <c r="B132" s="138"/>
      <c r="C132" s="138"/>
      <c r="D132" s="138"/>
      <c r="E132" s="138"/>
      <c r="F132" s="138"/>
      <c r="G132" s="138"/>
      <c r="H132" s="138"/>
      <c r="I132" s="138"/>
      <c r="J132" s="138"/>
      <c r="K132" s="138"/>
      <c r="L132" s="138"/>
      <c r="M132" s="138"/>
      <c r="N132" s="158"/>
      <c r="O132" s="138"/>
      <c r="P132" s="138"/>
    </row>
    <row r="133" spans="1:16" ht="16.149999999999999">
      <c r="A133" s="141" t="s">
        <v>374</v>
      </c>
      <c r="B133" s="140"/>
      <c r="C133" s="140"/>
      <c r="D133" s="140"/>
      <c r="E133" s="140"/>
      <c r="F133" s="140"/>
      <c r="G133" s="140"/>
      <c r="H133" s="140"/>
      <c r="I133" s="140"/>
      <c r="J133" s="140"/>
      <c r="K133" s="140"/>
      <c r="L133" s="140"/>
      <c r="M133" s="140"/>
      <c r="N133" s="139"/>
      <c r="O133" s="138"/>
      <c r="P133" s="138"/>
    </row>
    <row r="134" spans="1:16" ht="16.149999999999999">
      <c r="A134" s="154"/>
      <c r="B134" s="153"/>
      <c r="C134" s="153"/>
      <c r="D134" s="153"/>
      <c r="E134" s="153"/>
      <c r="F134" s="153"/>
      <c r="G134" s="153"/>
      <c r="H134" s="153"/>
      <c r="I134" s="153"/>
      <c r="J134" s="153"/>
      <c r="K134" s="153"/>
      <c r="L134" s="153"/>
      <c r="M134" s="153"/>
      <c r="N134" s="152"/>
      <c r="O134" s="138"/>
      <c r="P134" s="138"/>
    </row>
    <row r="135" spans="1:16" ht="48.6">
      <c r="A135" s="151" t="s">
        <v>375</v>
      </c>
      <c r="B135" s="149">
        <v>0</v>
      </c>
      <c r="C135" s="149">
        <v>0</v>
      </c>
      <c r="D135" s="149">
        <v>7.6050000000000004</v>
      </c>
      <c r="E135" s="149">
        <v>0</v>
      </c>
      <c r="F135" s="149">
        <v>0</v>
      </c>
      <c r="G135" s="148">
        <v>7.6050000000000004</v>
      </c>
      <c r="H135" s="149">
        <v>0</v>
      </c>
      <c r="I135" s="149">
        <v>0</v>
      </c>
      <c r="J135" s="149">
        <v>5</v>
      </c>
      <c r="K135" s="149">
        <v>0</v>
      </c>
      <c r="L135" s="149">
        <v>0</v>
      </c>
      <c r="M135" s="148">
        <v>5</v>
      </c>
      <c r="N135" s="147">
        <v>-0.34253780407626566</v>
      </c>
      <c r="O135" s="146" t="s">
        <v>376</v>
      </c>
      <c r="P135" s="145" t="s">
        <v>377</v>
      </c>
    </row>
    <row r="136" spans="1:16" ht="16.149999999999999">
      <c r="A136" s="151"/>
      <c r="B136" s="149"/>
      <c r="C136" s="149"/>
      <c r="D136" s="149"/>
      <c r="E136" s="149"/>
      <c r="F136" s="149"/>
      <c r="G136" s="148"/>
      <c r="H136" s="149"/>
      <c r="I136" s="149"/>
      <c r="J136" s="149"/>
      <c r="K136" s="149"/>
      <c r="L136" s="149"/>
      <c r="M136" s="148"/>
      <c r="N136" s="147"/>
      <c r="O136" s="146"/>
      <c r="P136" s="145"/>
    </row>
    <row r="137" spans="1:16" ht="16.149999999999999">
      <c r="A137" s="144"/>
      <c r="B137" s="143"/>
      <c r="C137" s="143"/>
      <c r="D137" s="143"/>
      <c r="E137" s="143"/>
      <c r="F137" s="143"/>
      <c r="G137" s="143"/>
      <c r="H137" s="143"/>
      <c r="I137" s="143"/>
      <c r="J137" s="143"/>
      <c r="K137" s="143"/>
      <c r="L137" s="143"/>
      <c r="M137" s="143"/>
      <c r="N137" s="142"/>
      <c r="O137" s="138"/>
      <c r="P137" s="138"/>
    </row>
    <row r="138" spans="1:16" ht="16.149999999999999">
      <c r="A138" s="141" t="s">
        <v>374</v>
      </c>
      <c r="B138" s="140">
        <v>0</v>
      </c>
      <c r="C138" s="140">
        <v>0</v>
      </c>
      <c r="D138" s="140">
        <v>7.6050000000000004</v>
      </c>
      <c r="E138" s="140">
        <v>0</v>
      </c>
      <c r="F138" s="140">
        <v>0</v>
      </c>
      <c r="G138" s="140">
        <v>7.6050000000000004</v>
      </c>
      <c r="H138" s="140">
        <v>0</v>
      </c>
      <c r="I138" s="140">
        <v>0</v>
      </c>
      <c r="J138" s="140">
        <v>5</v>
      </c>
      <c r="K138" s="140">
        <v>0</v>
      </c>
      <c r="L138" s="140">
        <v>0</v>
      </c>
      <c r="M138" s="140">
        <v>5</v>
      </c>
      <c r="N138" s="139">
        <v>-0.34253780407626566</v>
      </c>
      <c r="O138" s="138"/>
      <c r="P138" s="138"/>
    </row>
    <row r="139" spans="1:16">
      <c r="A139"/>
    </row>
    <row r="140" spans="1:16">
      <c r="A140"/>
    </row>
    <row r="141" spans="1:16">
      <c r="A141"/>
    </row>
    <row r="142" spans="1:16">
      <c r="A142"/>
    </row>
    <row r="143" spans="1:16">
      <c r="A143"/>
    </row>
    <row r="144" spans="1:16">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6">
      <c r="A161"/>
    </row>
    <row r="162" spans="1:16">
      <c r="A162"/>
    </row>
    <row r="163" spans="1:16">
      <c r="A163"/>
    </row>
    <row r="164" spans="1:16">
      <c r="A164"/>
    </row>
    <row r="165" spans="1:16" ht="15">
      <c r="A165" s="665"/>
      <c r="B165" s="666"/>
      <c r="C165" s="666"/>
      <c r="D165" s="666"/>
      <c r="E165" s="666"/>
      <c r="F165" s="666"/>
      <c r="G165" s="666"/>
      <c r="H165" s="666"/>
      <c r="I165" s="666"/>
      <c r="J165" s="666"/>
      <c r="K165" s="666"/>
      <c r="L165" s="666"/>
      <c r="M165" s="666"/>
      <c r="N165" s="666"/>
      <c r="O165" s="666"/>
      <c r="P165" s="666"/>
    </row>
    <row r="181" spans="2:16" s="3" customFormat="1">
      <c r="B181"/>
      <c r="C181"/>
      <c r="D181"/>
      <c r="E181"/>
      <c r="F181"/>
      <c r="G181"/>
      <c r="H181"/>
      <c r="I181"/>
      <c r="J181"/>
      <c r="K181"/>
      <c r="L181"/>
      <c r="M181"/>
      <c r="N181"/>
      <c r="O181"/>
      <c r="P181"/>
    </row>
    <row r="182" spans="2:16" s="3" customFormat="1">
      <c r="B182"/>
      <c r="C182"/>
      <c r="D182"/>
      <c r="E182"/>
      <c r="F182"/>
      <c r="G182"/>
      <c r="H182"/>
      <c r="I182"/>
      <c r="J182"/>
      <c r="K182"/>
      <c r="L182"/>
      <c r="M182"/>
      <c r="N182"/>
      <c r="O182"/>
      <c r="P182"/>
    </row>
    <row r="183" spans="2:16" s="3" customFormat="1">
      <c r="B183"/>
      <c r="C183"/>
      <c r="D183"/>
      <c r="E183"/>
      <c r="F183"/>
      <c r="G183"/>
      <c r="H183"/>
      <c r="I183"/>
      <c r="J183"/>
      <c r="K183"/>
      <c r="L183"/>
      <c r="M183"/>
      <c r="N183"/>
      <c r="O183"/>
      <c r="P183"/>
    </row>
    <row r="184" spans="2:16" s="3" customFormat="1">
      <c r="B184"/>
      <c r="C184"/>
      <c r="D184"/>
      <c r="E184"/>
      <c r="F184"/>
      <c r="G184"/>
      <c r="H184"/>
      <c r="I184"/>
      <c r="J184"/>
      <c r="K184"/>
      <c r="L184"/>
      <c r="M184"/>
      <c r="N184"/>
      <c r="O184"/>
      <c r="P184"/>
    </row>
    <row r="185" spans="2:16" s="3" customFormat="1">
      <c r="B185"/>
      <c r="C185"/>
      <c r="D185"/>
      <c r="E185"/>
      <c r="F185"/>
      <c r="G185"/>
      <c r="H185"/>
      <c r="I185"/>
      <c r="J185"/>
      <c r="K185"/>
      <c r="L185"/>
      <c r="M185"/>
      <c r="N185"/>
      <c r="O185"/>
      <c r="P185"/>
    </row>
    <row r="186" spans="2:16" s="3" customFormat="1">
      <c r="B186"/>
      <c r="C186"/>
      <c r="D186"/>
      <c r="E186"/>
      <c r="F186"/>
      <c r="G186"/>
      <c r="H186"/>
      <c r="I186"/>
      <c r="J186"/>
      <c r="K186"/>
      <c r="L186"/>
      <c r="M186"/>
      <c r="N186"/>
      <c r="O186"/>
      <c r="P186"/>
    </row>
    <row r="187" spans="2:16" s="3" customFormat="1">
      <c r="B187"/>
      <c r="C187"/>
      <c r="D187"/>
      <c r="E187"/>
      <c r="F187"/>
      <c r="G187"/>
      <c r="H187"/>
      <c r="I187"/>
      <c r="J187"/>
      <c r="K187"/>
      <c r="L187"/>
      <c r="M187"/>
      <c r="N187"/>
      <c r="O187"/>
      <c r="P187"/>
    </row>
    <row r="188" spans="2:16" s="3" customFormat="1">
      <c r="B188"/>
      <c r="C188"/>
      <c r="D188"/>
      <c r="E188"/>
      <c r="F188"/>
      <c r="G188"/>
      <c r="H188"/>
      <c r="I188"/>
      <c r="J188"/>
      <c r="K188"/>
      <c r="L188"/>
      <c r="M188"/>
      <c r="N188"/>
      <c r="O188"/>
      <c r="P188"/>
    </row>
    <row r="189" spans="2:16" s="3" customFormat="1">
      <c r="B189"/>
      <c r="C189"/>
      <c r="D189"/>
      <c r="E189"/>
      <c r="F189"/>
      <c r="G189"/>
      <c r="H189"/>
      <c r="I189"/>
      <c r="J189"/>
      <c r="K189"/>
      <c r="L189"/>
      <c r="M189"/>
      <c r="N189"/>
      <c r="O189"/>
      <c r="P189"/>
    </row>
    <row r="190" spans="2:16" s="3" customFormat="1">
      <c r="B190"/>
      <c r="C190"/>
      <c r="D190"/>
      <c r="E190"/>
      <c r="F190"/>
      <c r="G190"/>
      <c r="H190"/>
      <c r="I190"/>
      <c r="J190"/>
      <c r="K190"/>
      <c r="L190"/>
      <c r="M190"/>
      <c r="N190"/>
      <c r="O190"/>
      <c r="P190"/>
    </row>
    <row r="191" spans="2:16" s="3" customFormat="1">
      <c r="B191"/>
      <c r="C191"/>
      <c r="D191"/>
      <c r="E191"/>
      <c r="F191"/>
      <c r="G191"/>
      <c r="H191"/>
      <c r="I191"/>
      <c r="J191"/>
      <c r="K191"/>
      <c r="L191"/>
      <c r="M191"/>
      <c r="N191"/>
      <c r="O191"/>
      <c r="P191"/>
    </row>
    <row r="192" spans="2:16" s="3" customFormat="1">
      <c r="B192"/>
      <c r="C192"/>
      <c r="D192"/>
      <c r="E192"/>
      <c r="F192"/>
      <c r="G192"/>
      <c r="H192"/>
      <c r="I192"/>
      <c r="J192"/>
      <c r="K192"/>
      <c r="L192"/>
      <c r="M192"/>
      <c r="N192"/>
      <c r="O192"/>
      <c r="P192"/>
    </row>
    <row r="193" spans="2:16" s="3" customFormat="1">
      <c r="B193"/>
      <c r="C193"/>
      <c r="D193"/>
      <c r="E193"/>
      <c r="F193"/>
      <c r="G193"/>
      <c r="H193"/>
      <c r="I193"/>
      <c r="J193"/>
      <c r="K193"/>
      <c r="L193"/>
      <c r="M193"/>
      <c r="N193"/>
      <c r="O193"/>
      <c r="P193"/>
    </row>
    <row r="194" spans="2:16" s="3" customFormat="1">
      <c r="B194"/>
      <c r="C194"/>
      <c r="D194"/>
      <c r="E194"/>
      <c r="F194"/>
      <c r="G194"/>
      <c r="H194"/>
      <c r="I194"/>
      <c r="J194"/>
      <c r="K194"/>
      <c r="L194"/>
      <c r="M194"/>
      <c r="N194"/>
      <c r="O194"/>
      <c r="P194"/>
    </row>
    <row r="195" spans="2:16" s="3" customFormat="1">
      <c r="B195"/>
      <c r="C195"/>
      <c r="D195"/>
      <c r="E195"/>
      <c r="F195"/>
      <c r="G195"/>
      <c r="H195"/>
      <c r="I195"/>
      <c r="J195"/>
      <c r="K195"/>
      <c r="L195"/>
      <c r="M195"/>
      <c r="N195"/>
      <c r="O195"/>
      <c r="P195"/>
    </row>
    <row r="196" spans="2:16" s="3" customFormat="1">
      <c r="B196"/>
      <c r="C196"/>
      <c r="D196"/>
      <c r="E196"/>
      <c r="F196"/>
      <c r="G196"/>
      <c r="H196"/>
      <c r="I196"/>
      <c r="J196"/>
      <c r="K196"/>
      <c r="L196"/>
      <c r="M196"/>
      <c r="N196"/>
      <c r="O196"/>
      <c r="P196"/>
    </row>
    <row r="197" spans="2:16" s="3" customFormat="1">
      <c r="B197"/>
      <c r="C197"/>
      <c r="D197"/>
      <c r="E197"/>
      <c r="F197"/>
      <c r="G197"/>
      <c r="H197"/>
      <c r="I197"/>
      <c r="J197"/>
      <c r="K197"/>
      <c r="L197"/>
      <c r="M197"/>
      <c r="N197"/>
      <c r="O197"/>
      <c r="P197"/>
    </row>
    <row r="198" spans="2:16" s="3" customFormat="1">
      <c r="B198"/>
      <c r="C198"/>
      <c r="D198"/>
      <c r="E198"/>
      <c r="F198"/>
      <c r="G198"/>
      <c r="H198"/>
      <c r="I198"/>
      <c r="J198"/>
      <c r="K198"/>
      <c r="L198"/>
      <c r="M198"/>
      <c r="N198"/>
      <c r="O198"/>
      <c r="P198"/>
    </row>
    <row r="199" spans="2:16" s="3" customFormat="1">
      <c r="B199"/>
      <c r="C199"/>
      <c r="D199"/>
      <c r="E199"/>
      <c r="F199"/>
      <c r="G199"/>
      <c r="H199"/>
      <c r="I199"/>
      <c r="J199"/>
      <c r="K199"/>
      <c r="L199"/>
      <c r="M199"/>
      <c r="N199"/>
      <c r="O199"/>
      <c r="P199"/>
    </row>
    <row r="200" spans="2:16" s="3" customFormat="1">
      <c r="B200"/>
      <c r="C200"/>
      <c r="D200"/>
      <c r="E200"/>
      <c r="F200"/>
      <c r="G200"/>
      <c r="H200"/>
      <c r="I200"/>
      <c r="J200"/>
      <c r="K200"/>
      <c r="L200"/>
      <c r="M200"/>
      <c r="N200"/>
      <c r="O200"/>
      <c r="P200"/>
    </row>
    <row r="201" spans="2:16" s="3" customFormat="1">
      <c r="B201"/>
      <c r="C201"/>
      <c r="D201"/>
      <c r="E201"/>
      <c r="F201"/>
      <c r="G201"/>
      <c r="H201"/>
      <c r="I201"/>
      <c r="J201"/>
      <c r="K201"/>
      <c r="L201"/>
      <c r="M201"/>
      <c r="N201"/>
      <c r="O201"/>
      <c r="P201"/>
    </row>
    <row r="202" spans="2:16" s="3" customFormat="1">
      <c r="B202"/>
      <c r="C202"/>
      <c r="D202"/>
      <c r="E202"/>
      <c r="F202"/>
      <c r="G202"/>
      <c r="H202"/>
      <c r="I202"/>
      <c r="J202"/>
      <c r="K202"/>
      <c r="L202"/>
      <c r="M202"/>
      <c r="N202"/>
      <c r="O202"/>
      <c r="P202"/>
    </row>
    <row r="203" spans="2:16" s="3" customFormat="1">
      <c r="B203"/>
      <c r="C203"/>
      <c r="D203"/>
      <c r="E203"/>
      <c r="F203"/>
      <c r="G203"/>
      <c r="H203"/>
      <c r="I203"/>
      <c r="J203"/>
      <c r="K203"/>
      <c r="L203"/>
      <c r="M203"/>
      <c r="N203"/>
      <c r="O203"/>
      <c r="P203"/>
    </row>
    <row r="204" spans="2:16" s="3" customFormat="1">
      <c r="B204"/>
      <c r="C204"/>
      <c r="D204"/>
      <c r="E204"/>
      <c r="F204"/>
      <c r="G204"/>
      <c r="H204"/>
      <c r="I204"/>
      <c r="J204"/>
      <c r="K204"/>
      <c r="L204"/>
      <c r="M204"/>
      <c r="N204"/>
      <c r="O204"/>
      <c r="P204"/>
    </row>
    <row r="205" spans="2:16" s="3" customFormat="1">
      <c r="B205"/>
      <c r="C205"/>
      <c r="D205"/>
      <c r="E205"/>
      <c r="F205"/>
      <c r="G205"/>
      <c r="H205"/>
      <c r="I205"/>
      <c r="J205"/>
      <c r="K205"/>
      <c r="L205"/>
      <c r="M205"/>
      <c r="N205"/>
      <c r="O205"/>
      <c r="P205"/>
    </row>
    <row r="206" spans="2:16" s="3" customFormat="1">
      <c r="B206"/>
      <c r="C206"/>
      <c r="D206"/>
      <c r="E206"/>
      <c r="F206"/>
      <c r="G206"/>
      <c r="H206"/>
      <c r="I206"/>
      <c r="J206"/>
      <c r="K206"/>
      <c r="L206"/>
      <c r="M206"/>
      <c r="N206"/>
      <c r="O206"/>
      <c r="P206"/>
    </row>
    <row r="207" spans="2:16" s="3" customFormat="1">
      <c r="B207"/>
      <c r="C207"/>
      <c r="D207"/>
      <c r="E207"/>
      <c r="F207"/>
      <c r="G207"/>
      <c r="H207"/>
      <c r="I207"/>
      <c r="J207"/>
      <c r="K207"/>
      <c r="L207"/>
      <c r="M207"/>
      <c r="N207"/>
      <c r="O207"/>
      <c r="P207"/>
    </row>
    <row r="208" spans="2:16" s="3" customFormat="1">
      <c r="B208"/>
      <c r="C208"/>
      <c r="D208"/>
      <c r="E208"/>
      <c r="F208"/>
      <c r="G208"/>
      <c r="H208"/>
      <c r="I208"/>
      <c r="J208"/>
      <c r="K208"/>
      <c r="L208"/>
      <c r="M208"/>
      <c r="N208"/>
      <c r="O208"/>
      <c r="P208"/>
    </row>
    <row r="209" spans="2:16" s="3" customFormat="1">
      <c r="B209"/>
      <c r="C209"/>
      <c r="D209"/>
      <c r="E209"/>
      <c r="F209"/>
      <c r="G209"/>
      <c r="H209"/>
      <c r="I209"/>
      <c r="J209"/>
      <c r="K209"/>
      <c r="L209"/>
      <c r="M209"/>
      <c r="N209"/>
      <c r="O209"/>
      <c r="P209"/>
    </row>
    <row r="210" spans="2:16" s="3" customFormat="1">
      <c r="B210"/>
      <c r="C210"/>
      <c r="D210"/>
      <c r="E210"/>
      <c r="F210"/>
      <c r="G210"/>
      <c r="H210"/>
      <c r="I210"/>
      <c r="J210"/>
      <c r="K210"/>
      <c r="L210"/>
      <c r="M210"/>
      <c r="N210"/>
      <c r="O210"/>
      <c r="P210"/>
    </row>
    <row r="211" spans="2:16" s="3" customFormat="1">
      <c r="B211"/>
      <c r="C211"/>
      <c r="D211"/>
      <c r="E211"/>
      <c r="F211"/>
      <c r="G211"/>
      <c r="H211"/>
      <c r="I211"/>
      <c r="J211"/>
      <c r="K211"/>
      <c r="L211"/>
      <c r="M211"/>
      <c r="N211"/>
      <c r="O211"/>
      <c r="P211"/>
    </row>
    <row r="212" spans="2:16" s="3" customFormat="1">
      <c r="B212"/>
      <c r="C212"/>
      <c r="D212"/>
      <c r="E212"/>
      <c r="F212"/>
      <c r="G212"/>
      <c r="H212"/>
      <c r="I212"/>
      <c r="J212"/>
      <c r="K212"/>
      <c r="L212"/>
      <c r="M212"/>
      <c r="N212"/>
      <c r="O212"/>
      <c r="P212"/>
    </row>
    <row r="213" spans="2:16" s="3" customFormat="1">
      <c r="B213"/>
      <c r="C213"/>
      <c r="D213"/>
      <c r="E213"/>
      <c r="F213"/>
      <c r="G213"/>
      <c r="H213"/>
      <c r="I213"/>
      <c r="J213"/>
      <c r="K213"/>
      <c r="L213"/>
      <c r="M213"/>
      <c r="N213"/>
      <c r="O213"/>
      <c r="P213"/>
    </row>
    <row r="214" spans="2:16" s="3" customFormat="1">
      <c r="B214"/>
      <c r="C214"/>
      <c r="D214"/>
      <c r="E214"/>
      <c r="F214"/>
      <c r="G214"/>
      <c r="H214"/>
      <c r="I214"/>
      <c r="J214"/>
      <c r="K214"/>
      <c r="L214"/>
      <c r="M214"/>
      <c r="N214"/>
      <c r="O214"/>
      <c r="P214"/>
    </row>
    <row r="215" spans="2:16" s="3" customFormat="1">
      <c r="B215"/>
      <c r="C215"/>
      <c r="D215"/>
      <c r="E215"/>
      <c r="F215"/>
      <c r="G215"/>
      <c r="H215"/>
      <c r="I215"/>
      <c r="J215"/>
      <c r="K215"/>
      <c r="L215"/>
      <c r="M215"/>
      <c r="N215"/>
      <c r="O215"/>
      <c r="P215"/>
    </row>
    <row r="216" spans="2:16" s="3" customFormat="1">
      <c r="B216"/>
      <c r="C216"/>
      <c r="D216"/>
      <c r="E216"/>
      <c r="F216"/>
      <c r="G216"/>
      <c r="H216"/>
      <c r="I216"/>
      <c r="J216"/>
      <c r="K216"/>
      <c r="L216"/>
      <c r="M216"/>
      <c r="N216"/>
      <c r="O216"/>
      <c r="P216"/>
    </row>
    <row r="217" spans="2:16" s="3" customFormat="1">
      <c r="B217"/>
      <c r="C217"/>
      <c r="D217"/>
      <c r="E217"/>
      <c r="F217"/>
      <c r="G217"/>
      <c r="H217"/>
      <c r="I217"/>
      <c r="J217"/>
      <c r="K217"/>
      <c r="L217"/>
      <c r="M217"/>
      <c r="N217"/>
      <c r="O217"/>
      <c r="P217"/>
    </row>
    <row r="218" spans="2:16" s="3" customFormat="1">
      <c r="B218"/>
      <c r="C218"/>
      <c r="D218"/>
      <c r="E218"/>
      <c r="F218"/>
      <c r="G218"/>
      <c r="H218"/>
      <c r="I218"/>
      <c r="J218"/>
      <c r="K218"/>
      <c r="L218"/>
      <c r="M218"/>
      <c r="N218"/>
      <c r="O218"/>
      <c r="P218"/>
    </row>
    <row r="219" spans="2:16" s="3" customFormat="1">
      <c r="B219"/>
      <c r="C219"/>
      <c r="D219"/>
      <c r="E219"/>
      <c r="F219"/>
      <c r="G219"/>
      <c r="H219"/>
      <c r="I219"/>
      <c r="J219"/>
      <c r="K219"/>
      <c r="L219"/>
      <c r="M219"/>
      <c r="N219"/>
      <c r="O219"/>
      <c r="P219"/>
    </row>
    <row r="220" spans="2:16" s="3" customFormat="1">
      <c r="B220"/>
      <c r="C220"/>
      <c r="D220"/>
      <c r="E220"/>
      <c r="F220"/>
      <c r="G220"/>
      <c r="H220"/>
      <c r="I220"/>
      <c r="J220"/>
      <c r="K220"/>
      <c r="L220"/>
      <c r="M220"/>
      <c r="N220"/>
      <c r="O220"/>
      <c r="P220"/>
    </row>
    <row r="221" spans="2:16" s="3" customFormat="1">
      <c r="B221"/>
      <c r="C221"/>
      <c r="D221"/>
      <c r="E221"/>
      <c r="F221"/>
      <c r="G221"/>
      <c r="H221"/>
      <c r="I221"/>
      <c r="J221"/>
      <c r="K221"/>
      <c r="L221"/>
      <c r="M221"/>
      <c r="N221"/>
      <c r="O221"/>
      <c r="P221"/>
    </row>
    <row r="222" spans="2:16" s="3" customFormat="1">
      <c r="B222"/>
      <c r="C222"/>
      <c r="D222"/>
      <c r="E222"/>
      <c r="F222"/>
      <c r="G222"/>
      <c r="H222"/>
      <c r="I222"/>
      <c r="J222"/>
      <c r="K222"/>
      <c r="L222"/>
      <c r="M222"/>
      <c r="N222"/>
      <c r="O222"/>
      <c r="P222"/>
    </row>
    <row r="223" spans="2:16" s="3" customFormat="1">
      <c r="B223"/>
      <c r="C223"/>
      <c r="D223"/>
      <c r="E223"/>
      <c r="F223"/>
      <c r="G223"/>
      <c r="H223"/>
      <c r="I223"/>
      <c r="J223"/>
      <c r="K223"/>
      <c r="L223"/>
      <c r="M223"/>
      <c r="N223"/>
      <c r="O223"/>
      <c r="P223"/>
    </row>
    <row r="224" spans="2:16" s="3" customFormat="1">
      <c r="B224"/>
      <c r="C224"/>
      <c r="D224"/>
      <c r="E224"/>
      <c r="F224"/>
      <c r="G224"/>
      <c r="H224"/>
      <c r="I224"/>
      <c r="J224"/>
      <c r="K224"/>
      <c r="L224"/>
      <c r="M224"/>
      <c r="N224"/>
      <c r="O224"/>
      <c r="P224"/>
    </row>
    <row r="225" spans="2:16" s="3" customFormat="1">
      <c r="B225"/>
      <c r="C225"/>
      <c r="D225"/>
      <c r="E225"/>
      <c r="F225"/>
      <c r="G225"/>
      <c r="H225"/>
      <c r="I225"/>
      <c r="J225"/>
      <c r="K225"/>
      <c r="L225"/>
      <c r="M225"/>
      <c r="N225"/>
      <c r="O225"/>
      <c r="P225"/>
    </row>
    <row r="226" spans="2:16" s="3" customFormat="1">
      <c r="B226"/>
      <c r="C226"/>
      <c r="D226"/>
      <c r="E226"/>
      <c r="F226"/>
      <c r="G226"/>
      <c r="H226"/>
      <c r="I226"/>
      <c r="J226"/>
      <c r="K226"/>
      <c r="L226"/>
      <c r="M226"/>
      <c r="N226"/>
      <c r="O226"/>
      <c r="P226"/>
    </row>
    <row r="227" spans="2:16" s="3" customFormat="1">
      <c r="B227"/>
      <c r="C227"/>
      <c r="D227"/>
      <c r="E227"/>
      <c r="F227"/>
      <c r="G227"/>
      <c r="H227"/>
      <c r="I227"/>
      <c r="J227"/>
      <c r="K227"/>
      <c r="L227"/>
      <c r="M227"/>
      <c r="N227"/>
      <c r="O227"/>
      <c r="P227"/>
    </row>
    <row r="228" spans="2:16" s="3" customFormat="1">
      <c r="B228"/>
      <c r="C228"/>
      <c r="D228"/>
      <c r="E228"/>
      <c r="F228"/>
      <c r="G228"/>
      <c r="H228"/>
      <c r="I228"/>
      <c r="J228"/>
      <c r="K228"/>
      <c r="L228"/>
      <c r="M228"/>
      <c r="N228"/>
      <c r="O228"/>
      <c r="P228"/>
    </row>
    <row r="229" spans="2:16" s="3" customFormat="1">
      <c r="B229"/>
      <c r="C229"/>
      <c r="D229"/>
      <c r="E229"/>
      <c r="F229"/>
      <c r="G229"/>
      <c r="H229"/>
      <c r="I229"/>
      <c r="J229"/>
      <c r="K229"/>
      <c r="L229"/>
      <c r="M229"/>
      <c r="N229"/>
      <c r="O229"/>
      <c r="P229"/>
    </row>
    <row r="230" spans="2:16" s="3" customFormat="1">
      <c r="B230"/>
      <c r="C230"/>
      <c r="D230"/>
      <c r="E230"/>
      <c r="F230"/>
      <c r="G230"/>
      <c r="H230"/>
      <c r="I230"/>
      <c r="J230"/>
      <c r="K230"/>
      <c r="L230"/>
      <c r="M230"/>
      <c r="N230"/>
      <c r="O230"/>
      <c r="P230"/>
    </row>
    <row r="231" spans="2:16" s="3" customFormat="1">
      <c r="B231"/>
      <c r="C231"/>
      <c r="D231"/>
      <c r="E231"/>
      <c r="F231"/>
      <c r="G231"/>
      <c r="H231"/>
      <c r="I231"/>
      <c r="J231"/>
      <c r="K231"/>
      <c r="L231"/>
      <c r="M231"/>
      <c r="N231"/>
      <c r="O231"/>
      <c r="P231"/>
    </row>
    <row r="232" spans="2:16" s="3" customFormat="1">
      <c r="B232"/>
      <c r="C232"/>
      <c r="D232"/>
      <c r="E232"/>
      <c r="F232"/>
      <c r="G232"/>
      <c r="H232"/>
      <c r="I232"/>
      <c r="J232"/>
      <c r="K232"/>
      <c r="L232"/>
      <c r="M232"/>
      <c r="N232"/>
      <c r="O232"/>
      <c r="P232"/>
    </row>
    <row r="233" spans="2:16" s="3" customFormat="1">
      <c r="B233"/>
      <c r="C233"/>
      <c r="D233"/>
      <c r="E233"/>
      <c r="F233"/>
      <c r="G233"/>
      <c r="H233"/>
      <c r="I233"/>
      <c r="J233"/>
      <c r="K233"/>
      <c r="L233"/>
      <c r="M233"/>
      <c r="N233"/>
      <c r="O233"/>
      <c r="P233"/>
    </row>
    <row r="234" spans="2:16" s="3" customFormat="1">
      <c r="B234"/>
      <c r="C234"/>
      <c r="D234"/>
      <c r="E234"/>
      <c r="F234"/>
      <c r="G234"/>
      <c r="H234"/>
      <c r="I234"/>
      <c r="J234"/>
      <c r="K234"/>
      <c r="L234"/>
      <c r="M234"/>
      <c r="N234"/>
      <c r="O234"/>
      <c r="P234"/>
    </row>
    <row r="235" spans="2:16" s="3" customFormat="1">
      <c r="B235"/>
      <c r="C235"/>
      <c r="D235"/>
      <c r="E235"/>
      <c r="F235"/>
      <c r="G235"/>
      <c r="H235"/>
      <c r="I235"/>
      <c r="J235"/>
      <c r="K235"/>
      <c r="L235"/>
      <c r="M235"/>
      <c r="N235"/>
      <c r="O235"/>
      <c r="P235"/>
    </row>
    <row r="236" spans="2:16" s="3" customFormat="1">
      <c r="B236"/>
      <c r="C236"/>
      <c r="D236"/>
      <c r="E236"/>
      <c r="F236"/>
      <c r="G236"/>
      <c r="H236"/>
      <c r="I236"/>
      <c r="J236"/>
      <c r="K236"/>
      <c r="L236"/>
      <c r="M236"/>
      <c r="N236"/>
      <c r="O236"/>
      <c r="P236"/>
    </row>
    <row r="237" spans="2:16" s="3" customFormat="1">
      <c r="B237"/>
      <c r="C237"/>
      <c r="D237"/>
      <c r="E237"/>
      <c r="F237"/>
      <c r="G237"/>
      <c r="H237"/>
      <c r="I237"/>
      <c r="J237"/>
      <c r="K237"/>
      <c r="L237"/>
      <c r="M237"/>
      <c r="N237"/>
      <c r="O237"/>
      <c r="P237"/>
    </row>
    <row r="238" spans="2:16" s="3" customFormat="1">
      <c r="B238"/>
      <c r="C238"/>
      <c r="D238"/>
      <c r="E238"/>
      <c r="F238"/>
      <c r="G238"/>
      <c r="H238"/>
      <c r="I238"/>
      <c r="J238"/>
      <c r="K238"/>
      <c r="L238"/>
      <c r="M238"/>
      <c r="N238"/>
      <c r="O238"/>
      <c r="P238"/>
    </row>
    <row r="239" spans="2:16" s="3" customFormat="1">
      <c r="B239"/>
      <c r="C239"/>
      <c r="D239"/>
      <c r="E239"/>
      <c r="F239"/>
      <c r="G239"/>
      <c r="H239"/>
      <c r="I239"/>
      <c r="J239"/>
      <c r="K239"/>
      <c r="L239"/>
      <c r="M239"/>
      <c r="N239"/>
      <c r="O239"/>
      <c r="P239"/>
    </row>
    <row r="240" spans="2:16" s="3" customFormat="1">
      <c r="B240"/>
      <c r="C240"/>
      <c r="D240"/>
      <c r="E240"/>
      <c r="F240"/>
      <c r="G240"/>
      <c r="H240"/>
      <c r="I240"/>
      <c r="J240"/>
      <c r="K240"/>
      <c r="L240"/>
      <c r="M240"/>
      <c r="N240"/>
      <c r="O240"/>
      <c r="P240"/>
    </row>
    <row r="241" spans="2:16" s="3" customFormat="1">
      <c r="B241"/>
      <c r="C241"/>
      <c r="D241"/>
      <c r="E241"/>
      <c r="F241"/>
      <c r="G241"/>
      <c r="H241"/>
      <c r="I241"/>
      <c r="J241"/>
      <c r="K241"/>
      <c r="L241"/>
      <c r="M241"/>
      <c r="N241"/>
      <c r="O241"/>
      <c r="P241"/>
    </row>
    <row r="242" spans="2:16" s="3" customFormat="1">
      <c r="B242"/>
      <c r="C242"/>
      <c r="D242"/>
      <c r="E242"/>
      <c r="F242"/>
      <c r="G242"/>
      <c r="H242"/>
      <c r="I242"/>
      <c r="J242"/>
      <c r="K242"/>
      <c r="L242"/>
      <c r="M242"/>
      <c r="N242"/>
      <c r="O242"/>
      <c r="P242"/>
    </row>
    <row r="243" spans="2:16" s="3" customFormat="1">
      <c r="B243"/>
      <c r="C243"/>
      <c r="D243"/>
      <c r="E243"/>
      <c r="F243"/>
      <c r="G243"/>
      <c r="H243"/>
      <c r="I243"/>
      <c r="J243"/>
      <c r="K243"/>
      <c r="L243"/>
      <c r="M243"/>
      <c r="N243"/>
      <c r="O243"/>
      <c r="P243"/>
    </row>
    <row r="244" spans="2:16" s="3" customFormat="1">
      <c r="B244"/>
      <c r="C244"/>
      <c r="D244"/>
      <c r="E244"/>
      <c r="F244"/>
      <c r="G244"/>
      <c r="H244"/>
      <c r="I244"/>
      <c r="J244"/>
      <c r="K244"/>
      <c r="L244"/>
      <c r="M244"/>
      <c r="N244"/>
      <c r="O244"/>
      <c r="P244"/>
    </row>
    <row r="245" spans="2:16" s="3" customFormat="1">
      <c r="B245"/>
      <c r="C245"/>
      <c r="D245"/>
      <c r="E245"/>
      <c r="F245"/>
      <c r="G245"/>
      <c r="H245"/>
      <c r="I245"/>
      <c r="J245"/>
      <c r="K245"/>
      <c r="L245"/>
      <c r="M245"/>
      <c r="N245"/>
      <c r="O245"/>
      <c r="P245"/>
    </row>
    <row r="246" spans="2:16" s="3" customFormat="1">
      <c r="B246"/>
      <c r="C246"/>
      <c r="D246"/>
      <c r="E246"/>
      <c r="F246"/>
      <c r="G246"/>
      <c r="H246"/>
      <c r="I246"/>
      <c r="J246"/>
      <c r="K246"/>
      <c r="L246"/>
      <c r="M246"/>
      <c r="N246"/>
      <c r="O246"/>
      <c r="P246"/>
    </row>
    <row r="247" spans="2:16" s="3" customFormat="1">
      <c r="B247"/>
      <c r="C247"/>
      <c r="D247"/>
      <c r="E247"/>
      <c r="F247"/>
      <c r="G247"/>
      <c r="H247"/>
      <c r="I247"/>
      <c r="J247"/>
      <c r="K247"/>
      <c r="L247"/>
      <c r="M247"/>
      <c r="N247"/>
      <c r="O247"/>
      <c r="P247"/>
    </row>
    <row r="248" spans="2:16" s="3" customFormat="1">
      <c r="B248"/>
      <c r="C248"/>
      <c r="D248"/>
      <c r="E248"/>
      <c r="F248"/>
      <c r="G248"/>
      <c r="H248"/>
      <c r="I248"/>
      <c r="J248"/>
      <c r="K248"/>
      <c r="L248"/>
      <c r="M248"/>
      <c r="N248"/>
      <c r="O248"/>
      <c r="P248"/>
    </row>
    <row r="249" spans="2:16" s="3" customFormat="1">
      <c r="B249"/>
      <c r="C249"/>
      <c r="D249"/>
      <c r="E249"/>
      <c r="F249"/>
      <c r="G249"/>
      <c r="H249"/>
      <c r="I249"/>
      <c r="J249"/>
      <c r="K249"/>
      <c r="L249"/>
      <c r="M249"/>
      <c r="N249"/>
      <c r="O249"/>
      <c r="P249"/>
    </row>
    <row r="250" spans="2:16" s="3" customFormat="1">
      <c r="B250"/>
      <c r="C250"/>
      <c r="D250"/>
      <c r="E250"/>
      <c r="F250"/>
      <c r="G250"/>
      <c r="H250"/>
      <c r="I250"/>
      <c r="J250"/>
      <c r="K250"/>
      <c r="L250"/>
      <c r="M250"/>
      <c r="N250"/>
      <c r="O250"/>
      <c r="P250"/>
    </row>
    <row r="251" spans="2:16" s="3" customFormat="1">
      <c r="B251"/>
      <c r="C251"/>
      <c r="D251"/>
      <c r="E251"/>
      <c r="F251"/>
      <c r="G251"/>
      <c r="H251"/>
      <c r="I251"/>
      <c r="J251"/>
      <c r="K251"/>
      <c r="L251"/>
      <c r="M251"/>
      <c r="N251"/>
      <c r="O251"/>
      <c r="P251"/>
    </row>
    <row r="252" spans="2:16" s="3" customFormat="1">
      <c r="B252"/>
      <c r="C252"/>
      <c r="D252"/>
      <c r="E252"/>
      <c r="F252"/>
      <c r="G252"/>
      <c r="H252"/>
      <c r="I252"/>
      <c r="J252"/>
      <c r="K252"/>
      <c r="L252"/>
      <c r="M252"/>
      <c r="N252"/>
      <c r="O252"/>
      <c r="P252"/>
    </row>
    <row r="253" spans="2:16" s="3" customFormat="1">
      <c r="B253"/>
      <c r="C253"/>
      <c r="D253"/>
      <c r="E253"/>
      <c r="F253"/>
      <c r="G253"/>
      <c r="H253"/>
      <c r="I253"/>
      <c r="J253"/>
      <c r="K253"/>
      <c r="L253"/>
      <c r="M253"/>
      <c r="N253"/>
      <c r="O253"/>
      <c r="P253"/>
    </row>
    <row r="254" spans="2:16" s="3" customFormat="1">
      <c r="B254"/>
      <c r="C254"/>
      <c r="D254"/>
      <c r="E254"/>
      <c r="F254"/>
      <c r="G254"/>
      <c r="H254"/>
      <c r="I254"/>
      <c r="J254"/>
      <c r="K254"/>
      <c r="L254"/>
      <c r="M254"/>
      <c r="N254"/>
      <c r="O254"/>
      <c r="P254"/>
    </row>
    <row r="255" spans="2:16" s="3" customFormat="1">
      <c r="B255"/>
      <c r="C255"/>
      <c r="D255"/>
      <c r="E255"/>
      <c r="F255"/>
      <c r="G255"/>
      <c r="H255"/>
      <c r="I255"/>
      <c r="J255"/>
      <c r="K255"/>
      <c r="L255"/>
      <c r="M255"/>
      <c r="N255"/>
      <c r="O255"/>
      <c r="P255"/>
    </row>
    <row r="256" spans="2:16" s="3" customFormat="1">
      <c r="B256"/>
      <c r="C256"/>
      <c r="D256"/>
      <c r="E256"/>
      <c r="F256"/>
      <c r="G256"/>
      <c r="H256"/>
      <c r="I256"/>
      <c r="J256"/>
      <c r="K256"/>
      <c r="L256"/>
      <c r="M256"/>
      <c r="N256"/>
      <c r="O256"/>
      <c r="P256"/>
    </row>
    <row r="257" spans="2:16" s="3" customFormat="1">
      <c r="B257"/>
      <c r="C257"/>
      <c r="D257"/>
      <c r="E257"/>
      <c r="F257"/>
      <c r="G257"/>
      <c r="H257"/>
      <c r="I257"/>
      <c r="J257"/>
      <c r="K257"/>
      <c r="L257"/>
      <c r="M257"/>
      <c r="N257"/>
      <c r="O257"/>
      <c r="P257"/>
    </row>
  </sheetData>
  <protectedRanges>
    <protectedRange algorithmName="SHA-512" hashValue="g2HyvLsN07Nu6y8JA3usNp2VPgXtF20SfpIwOl9+XaJ33F47jQ3cPM/dshclv3u6MLMZbqz25Soe63alDgScAg==" saltValue="Lw38YPClH2LuoXlcNLzT3A==" spinCount="100000" sqref="H135:L135 B135:F135" name="Range1_1"/>
  </protectedRange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3263-2BF0-4684-8FDD-42D997512262}">
  <sheetPr>
    <tabColor theme="8" tint="-0.499984740745262"/>
  </sheetPr>
  <dimension ref="A2:P105"/>
  <sheetViews>
    <sheetView showGridLines="0" zoomScale="60" zoomScaleNormal="60" workbookViewId="0">
      <pane xSplit="1" ySplit="4" topLeftCell="G96" activePane="bottomRight" state="frozen"/>
      <selection pane="bottomRight" activeCell="G9" sqref="G9"/>
      <selection pane="bottomLeft" activeCell="J7" sqref="J7"/>
      <selection pane="topRight" activeCell="J7" sqref="J7"/>
    </sheetView>
  </sheetViews>
  <sheetFormatPr defaultColWidth="113.28515625" defaultRowHeight="14.45" outlineLevelCol="2"/>
  <cols>
    <col min="1" max="1" width="40.7109375" style="3" customWidth="1"/>
    <col min="2" max="13" width="17.7109375" customWidth="1" outlineLevel="2"/>
    <col min="14" max="14" width="17.7109375" style="135" customWidth="1" outlineLevel="2"/>
    <col min="15" max="16" width="75.7109375" customWidth="1" outlineLevel="2"/>
    <col min="17" max="17" width="22.7109375" customWidth="1"/>
  </cols>
  <sheetData>
    <row r="2" spans="1:16" ht="33" customHeight="1">
      <c r="A2" s="281"/>
      <c r="B2" s="280"/>
      <c r="C2" s="280"/>
      <c r="D2" s="280"/>
      <c r="E2" s="280"/>
      <c r="F2" s="280"/>
      <c r="G2" s="280"/>
      <c r="H2" s="280"/>
      <c r="I2" s="280"/>
      <c r="J2" s="280"/>
      <c r="K2" s="280"/>
      <c r="L2" s="280"/>
      <c r="M2" s="280"/>
      <c r="N2" s="279"/>
      <c r="O2" s="278"/>
      <c r="P2" s="278"/>
    </row>
    <row r="3" spans="1:16" ht="100.15" customHeight="1">
      <c r="A3" s="10" t="s">
        <v>4</v>
      </c>
      <c r="B3" s="11" t="s">
        <v>11</v>
      </c>
      <c r="C3" s="11" t="s">
        <v>12</v>
      </c>
      <c r="D3" s="11" t="s">
        <v>13</v>
      </c>
      <c r="E3" s="11" t="s">
        <v>14</v>
      </c>
      <c r="F3" s="11" t="s">
        <v>15</v>
      </c>
      <c r="G3" s="11" t="s">
        <v>16</v>
      </c>
      <c r="H3" s="11" t="s">
        <v>17</v>
      </c>
      <c r="I3" s="11" t="s">
        <v>18</v>
      </c>
      <c r="J3" s="11" t="s">
        <v>19</v>
      </c>
      <c r="K3" s="11" t="s">
        <v>20</v>
      </c>
      <c r="L3" s="11" t="s">
        <v>21</v>
      </c>
      <c r="M3" s="11" t="s">
        <v>22</v>
      </c>
      <c r="N3" s="277" t="s">
        <v>23</v>
      </c>
      <c r="O3" s="13" t="s">
        <v>24</v>
      </c>
      <c r="P3" s="276" t="s">
        <v>25</v>
      </c>
    </row>
    <row r="4" spans="1:16" ht="22.9" thickBot="1">
      <c r="A4" s="273"/>
      <c r="B4" s="272"/>
      <c r="C4" s="272"/>
      <c r="D4" s="272"/>
      <c r="E4" s="272"/>
      <c r="F4" s="272"/>
      <c r="G4" s="272"/>
      <c r="H4" s="272"/>
      <c r="I4" s="272"/>
      <c r="J4" s="272"/>
      <c r="K4" s="272"/>
      <c r="L4" s="272"/>
      <c r="M4" s="272"/>
      <c r="N4" s="271"/>
      <c r="O4" s="270"/>
      <c r="P4" s="270"/>
    </row>
    <row r="5" spans="1:16" ht="16.149999999999999">
      <c r="A5" s="269"/>
      <c r="B5" s="268"/>
      <c r="C5" s="268"/>
      <c r="D5" s="268"/>
      <c r="E5" s="268"/>
      <c r="F5" s="268"/>
      <c r="G5" s="268"/>
      <c r="H5" s="268"/>
      <c r="I5" s="268"/>
      <c r="J5" s="268"/>
      <c r="K5" s="268"/>
      <c r="L5" s="268"/>
      <c r="M5" s="268"/>
      <c r="N5" s="156"/>
      <c r="O5" s="267"/>
      <c r="P5" s="267"/>
    </row>
    <row r="6" spans="1:16" ht="32.450000000000003">
      <c r="A6" s="266" t="s">
        <v>378</v>
      </c>
      <c r="B6" s="264"/>
      <c r="C6" s="264"/>
      <c r="D6" s="264"/>
      <c r="E6" s="264"/>
      <c r="F6" s="264"/>
      <c r="G6" s="264"/>
      <c r="H6" s="264"/>
      <c r="I6" s="264"/>
      <c r="J6" s="264"/>
      <c r="K6" s="264"/>
      <c r="L6" s="264"/>
      <c r="M6" s="264"/>
      <c r="N6" s="265"/>
      <c r="O6" s="236"/>
      <c r="P6" s="236"/>
    </row>
    <row r="7" spans="1:16" ht="97.15">
      <c r="A7" s="190" t="s">
        <v>379</v>
      </c>
      <c r="B7" s="181">
        <v>6.8259999999999996</v>
      </c>
      <c r="C7" s="181">
        <v>0</v>
      </c>
      <c r="D7" s="181">
        <v>0</v>
      </c>
      <c r="E7" s="181">
        <v>0</v>
      </c>
      <c r="F7" s="181">
        <v>0</v>
      </c>
      <c r="G7" s="180">
        <v>6.8259999999999996</v>
      </c>
      <c r="H7" s="149">
        <v>9.2740000000000009</v>
      </c>
      <c r="I7" s="149">
        <v>0</v>
      </c>
      <c r="J7" s="149">
        <v>0</v>
      </c>
      <c r="K7" s="149">
        <v>0</v>
      </c>
      <c r="L7" s="149">
        <v>0</v>
      </c>
      <c r="M7" s="180">
        <v>9.2740000000000009</v>
      </c>
      <c r="N7" s="147">
        <v>0.35862877234104912</v>
      </c>
      <c r="O7" s="262" t="s">
        <v>380</v>
      </c>
      <c r="P7" s="188" t="s">
        <v>381</v>
      </c>
    </row>
    <row r="8" spans="1:16" ht="97.15">
      <c r="A8" s="263" t="s">
        <v>382</v>
      </c>
      <c r="B8" s="149">
        <v>38.19</v>
      </c>
      <c r="C8" s="149">
        <v>0</v>
      </c>
      <c r="D8" s="149">
        <v>0</v>
      </c>
      <c r="E8" s="149">
        <v>0</v>
      </c>
      <c r="F8" s="149">
        <v>0</v>
      </c>
      <c r="G8" s="222">
        <v>38.19</v>
      </c>
      <c r="H8" s="149">
        <v>37.498000000000005</v>
      </c>
      <c r="I8" s="149">
        <v>0</v>
      </c>
      <c r="J8" s="149">
        <v>0</v>
      </c>
      <c r="K8" s="149">
        <v>0</v>
      </c>
      <c r="L8" s="149">
        <v>0</v>
      </c>
      <c r="M8" s="222">
        <v>37.498000000000005</v>
      </c>
      <c r="N8" s="147">
        <v>-1.8119926682377406E-2</v>
      </c>
      <c r="O8" s="262" t="s">
        <v>383</v>
      </c>
      <c r="P8" s="233" t="s">
        <v>384</v>
      </c>
    </row>
    <row r="9" spans="1:16" ht="48.6">
      <c r="A9" s="263" t="s">
        <v>385</v>
      </c>
      <c r="B9" s="149">
        <v>1.254</v>
      </c>
      <c r="C9" s="149">
        <v>0</v>
      </c>
      <c r="D9" s="149">
        <v>0</v>
      </c>
      <c r="E9" s="149">
        <v>0</v>
      </c>
      <c r="F9" s="149">
        <v>0</v>
      </c>
      <c r="G9" s="222">
        <v>1.254</v>
      </c>
      <c r="H9" s="149">
        <v>2.0390000000000001</v>
      </c>
      <c r="I9" s="149">
        <v>0</v>
      </c>
      <c r="J9" s="149">
        <v>0</v>
      </c>
      <c r="K9" s="149">
        <v>0</v>
      </c>
      <c r="L9" s="149">
        <v>0</v>
      </c>
      <c r="M9" s="222">
        <v>2.0390000000000001</v>
      </c>
      <c r="N9" s="147">
        <v>0.62599681020733666</v>
      </c>
      <c r="O9" s="262" t="s">
        <v>386</v>
      </c>
      <c r="P9" s="233" t="s">
        <v>384</v>
      </c>
    </row>
    <row r="10" spans="1:16" ht="64.900000000000006">
      <c r="A10" s="261" t="s">
        <v>387</v>
      </c>
      <c r="B10" s="150">
        <v>3.665</v>
      </c>
      <c r="C10" s="150">
        <v>0</v>
      </c>
      <c r="D10" s="150">
        <v>0</v>
      </c>
      <c r="E10" s="150">
        <v>0</v>
      </c>
      <c r="F10" s="150">
        <v>0</v>
      </c>
      <c r="G10" s="260">
        <v>3.665</v>
      </c>
      <c r="H10" s="259">
        <v>3.0449999999999999</v>
      </c>
      <c r="I10" s="259">
        <v>0</v>
      </c>
      <c r="J10" s="259">
        <v>0</v>
      </c>
      <c r="K10" s="259">
        <v>0</v>
      </c>
      <c r="L10" s="259">
        <v>0</v>
      </c>
      <c r="M10" s="258">
        <v>3.0449999999999999</v>
      </c>
      <c r="N10" s="257">
        <v>-0.16916780354706687</v>
      </c>
      <c r="O10" s="256" t="s">
        <v>388</v>
      </c>
      <c r="P10" s="255" t="s">
        <v>389</v>
      </c>
    </row>
    <row r="11" spans="1:16" ht="32.450000000000003">
      <c r="A11" s="254" t="s">
        <v>390</v>
      </c>
      <c r="B11" s="245">
        <v>49.934999999999995</v>
      </c>
      <c r="C11" s="245">
        <v>0</v>
      </c>
      <c r="D11" s="245">
        <v>0</v>
      </c>
      <c r="E11" s="245">
        <v>0</v>
      </c>
      <c r="F11" s="245">
        <v>0</v>
      </c>
      <c r="G11" s="245">
        <v>49.934999999999995</v>
      </c>
      <c r="H11" s="245">
        <v>51.856000000000009</v>
      </c>
      <c r="I11" s="245">
        <v>0</v>
      </c>
      <c r="J11" s="245">
        <v>0</v>
      </c>
      <c r="K11" s="245">
        <v>0</v>
      </c>
      <c r="L11" s="245">
        <v>0</v>
      </c>
      <c r="M11" s="245">
        <v>51.856000000000009</v>
      </c>
      <c r="N11" s="244">
        <v>3.8470011014318892E-2</v>
      </c>
      <c r="O11" s="253"/>
      <c r="P11" s="252"/>
    </row>
    <row r="12" spans="1:16" ht="16.149999999999999">
      <c r="A12" s="251"/>
      <c r="B12" s="250"/>
      <c r="C12" s="250"/>
      <c r="D12" s="250"/>
      <c r="E12" s="250"/>
      <c r="F12" s="250"/>
      <c r="G12" s="250"/>
      <c r="H12" s="250"/>
      <c r="I12" s="250"/>
      <c r="J12" s="250"/>
      <c r="K12" s="250"/>
      <c r="L12" s="250"/>
      <c r="M12" s="250"/>
      <c r="N12" s="249"/>
      <c r="O12" s="248"/>
      <c r="P12" s="248"/>
    </row>
    <row r="13" spans="1:16" ht="16.149999999999999">
      <c r="A13" s="247" t="s">
        <v>391</v>
      </c>
      <c r="B13" s="184"/>
      <c r="C13" s="184"/>
      <c r="D13" s="184"/>
      <c r="E13" s="184"/>
      <c r="F13" s="184"/>
      <c r="G13" s="184"/>
      <c r="H13" s="184"/>
      <c r="I13" s="184"/>
      <c r="J13" s="184"/>
      <c r="K13" s="184"/>
      <c r="L13" s="184"/>
      <c r="M13" s="184"/>
      <c r="N13" s="183"/>
      <c r="O13" s="236"/>
      <c r="P13" s="236"/>
    </row>
    <row r="14" spans="1:16" ht="32.450000000000003">
      <c r="A14" s="235" t="s">
        <v>392</v>
      </c>
      <c r="B14" s="149">
        <v>5.4729999999999999</v>
      </c>
      <c r="C14" s="149">
        <v>0</v>
      </c>
      <c r="D14" s="149">
        <v>0</v>
      </c>
      <c r="E14" s="149">
        <v>0</v>
      </c>
      <c r="F14" s="149">
        <v>0</v>
      </c>
      <c r="G14" s="222">
        <v>5.4729999999999999</v>
      </c>
      <c r="H14" s="149">
        <v>5.4729999999999999</v>
      </c>
      <c r="I14" s="149">
        <v>0</v>
      </c>
      <c r="J14" s="149">
        <v>0</v>
      </c>
      <c r="K14" s="149">
        <v>0</v>
      </c>
      <c r="L14" s="149">
        <v>0</v>
      </c>
      <c r="M14" s="222">
        <v>5.4729999999999999</v>
      </c>
      <c r="N14" s="147">
        <v>0</v>
      </c>
      <c r="O14" s="32" t="s">
        <v>393</v>
      </c>
      <c r="P14" s="246" t="s">
        <v>65</v>
      </c>
    </row>
    <row r="15" spans="1:16" ht="81">
      <c r="A15" s="235" t="s">
        <v>394</v>
      </c>
      <c r="B15" s="149">
        <v>74.8</v>
      </c>
      <c r="C15" s="149">
        <v>61.15</v>
      </c>
      <c r="D15" s="149">
        <v>62.7</v>
      </c>
      <c r="E15" s="149">
        <v>0</v>
      </c>
      <c r="F15" s="149">
        <v>0</v>
      </c>
      <c r="G15" s="222">
        <v>198.64999999999998</v>
      </c>
      <c r="H15" s="149">
        <v>96.265000000000001</v>
      </c>
      <c r="I15" s="149">
        <v>77.34</v>
      </c>
      <c r="J15" s="149">
        <v>66.289999999999992</v>
      </c>
      <c r="K15" s="149">
        <v>0</v>
      </c>
      <c r="L15" s="149">
        <v>0</v>
      </c>
      <c r="M15" s="222">
        <v>239.89500000000001</v>
      </c>
      <c r="N15" s="147">
        <v>0.20762647873143739</v>
      </c>
      <c r="O15" s="234" t="s">
        <v>395</v>
      </c>
      <c r="P15" s="233" t="s">
        <v>396</v>
      </c>
    </row>
    <row r="16" spans="1:16" ht="64.900000000000006">
      <c r="A16" s="235" t="s">
        <v>397</v>
      </c>
      <c r="B16" s="149">
        <v>289.733</v>
      </c>
      <c r="C16" s="149">
        <v>8.6010000000000009</v>
      </c>
      <c r="D16" s="149">
        <v>4.5389999999999997</v>
      </c>
      <c r="E16" s="149">
        <v>0</v>
      </c>
      <c r="F16" s="149">
        <v>0.16900000000000001</v>
      </c>
      <c r="G16" s="222">
        <v>303.04199999999997</v>
      </c>
      <c r="H16" s="149">
        <v>309.613</v>
      </c>
      <c r="I16" s="149">
        <v>7.42</v>
      </c>
      <c r="J16" s="149">
        <v>5</v>
      </c>
      <c r="K16" s="149">
        <v>0</v>
      </c>
      <c r="L16" s="149">
        <v>0.16900000000000001</v>
      </c>
      <c r="M16" s="222">
        <v>322.202</v>
      </c>
      <c r="N16" s="147">
        <v>6.3225559493403638E-2</v>
      </c>
      <c r="O16" s="234" t="s">
        <v>398</v>
      </c>
      <c r="P16" s="233" t="s">
        <v>399</v>
      </c>
    </row>
    <row r="17" spans="1:16" ht="16.149999999999999">
      <c r="A17" s="232" t="s">
        <v>400</v>
      </c>
      <c r="B17" s="245">
        <v>370.00599999999997</v>
      </c>
      <c r="C17" s="245">
        <v>69.751000000000005</v>
      </c>
      <c r="D17" s="245">
        <v>67.239000000000004</v>
      </c>
      <c r="E17" s="245">
        <v>0</v>
      </c>
      <c r="F17" s="245">
        <v>0.16900000000000001</v>
      </c>
      <c r="G17" s="245">
        <v>507.16499999999996</v>
      </c>
      <c r="H17" s="245">
        <v>411.351</v>
      </c>
      <c r="I17" s="245">
        <v>84.76</v>
      </c>
      <c r="J17" s="245">
        <v>71.289999999999992</v>
      </c>
      <c r="K17" s="245">
        <v>0</v>
      </c>
      <c r="L17" s="245">
        <v>0.16900000000000001</v>
      </c>
      <c r="M17" s="245">
        <v>567.57000000000005</v>
      </c>
      <c r="N17" s="244">
        <v>0.11910325042146065</v>
      </c>
      <c r="O17" s="229"/>
      <c r="P17" s="228"/>
    </row>
    <row r="18" spans="1:16" ht="16.149999999999999">
      <c r="A18" s="243"/>
      <c r="B18" s="242"/>
      <c r="C18" s="242"/>
      <c r="D18" s="242"/>
      <c r="E18" s="242"/>
      <c r="F18" s="242"/>
      <c r="G18" s="242"/>
      <c r="H18" s="242"/>
      <c r="I18" s="242"/>
      <c r="J18" s="242"/>
      <c r="K18" s="242"/>
      <c r="L18" s="242"/>
      <c r="M18" s="242"/>
      <c r="N18" s="241"/>
      <c r="O18" s="240"/>
      <c r="P18" s="240"/>
    </row>
    <row r="19" spans="1:16" ht="16.149999999999999">
      <c r="A19" s="239" t="s">
        <v>401</v>
      </c>
      <c r="B19" s="238"/>
      <c r="C19" s="238"/>
      <c r="D19" s="238"/>
      <c r="E19" s="238"/>
      <c r="F19" s="238"/>
      <c r="G19" s="238"/>
      <c r="H19" s="238"/>
      <c r="I19" s="238"/>
      <c r="J19" s="238"/>
      <c r="K19" s="238"/>
      <c r="L19" s="238"/>
      <c r="M19" s="238"/>
      <c r="N19" s="237"/>
      <c r="O19" s="236"/>
      <c r="P19" s="236"/>
    </row>
    <row r="20" spans="1:16" ht="97.15">
      <c r="A20" s="235" t="s">
        <v>402</v>
      </c>
      <c r="B20" s="149">
        <v>35.5</v>
      </c>
      <c r="C20" s="149">
        <v>0</v>
      </c>
      <c r="D20" s="149">
        <v>0</v>
      </c>
      <c r="E20" s="149">
        <v>0</v>
      </c>
      <c r="F20" s="149">
        <v>0</v>
      </c>
      <c r="G20" s="222">
        <v>35.5</v>
      </c>
      <c r="H20" s="149">
        <v>35.5</v>
      </c>
      <c r="I20" s="149">
        <v>0</v>
      </c>
      <c r="J20" s="149">
        <v>0</v>
      </c>
      <c r="K20" s="149">
        <v>0</v>
      </c>
      <c r="L20" s="149">
        <v>0</v>
      </c>
      <c r="M20" s="222">
        <v>35.5</v>
      </c>
      <c r="N20" s="147">
        <v>0</v>
      </c>
      <c r="O20" s="234" t="s">
        <v>403</v>
      </c>
      <c r="P20" s="233" t="s">
        <v>404</v>
      </c>
    </row>
    <row r="21" spans="1:16" ht="81">
      <c r="A21" s="235" t="s">
        <v>405</v>
      </c>
      <c r="B21" s="149">
        <v>371.8</v>
      </c>
      <c r="C21" s="149">
        <v>0</v>
      </c>
      <c r="D21" s="149">
        <v>0</v>
      </c>
      <c r="E21" s="149">
        <v>0</v>
      </c>
      <c r="F21" s="149">
        <v>0</v>
      </c>
      <c r="G21" s="222">
        <v>371.8</v>
      </c>
      <c r="H21" s="149">
        <v>411.7</v>
      </c>
      <c r="I21" s="149">
        <v>0</v>
      </c>
      <c r="J21" s="149">
        <v>0</v>
      </c>
      <c r="K21" s="149">
        <v>0</v>
      </c>
      <c r="L21" s="149">
        <v>0</v>
      </c>
      <c r="M21" s="222">
        <v>411.7</v>
      </c>
      <c r="N21" s="147">
        <v>0.10731576116191495</v>
      </c>
      <c r="O21" s="234" t="s">
        <v>406</v>
      </c>
      <c r="P21" s="233" t="s">
        <v>407</v>
      </c>
    </row>
    <row r="22" spans="1:16" ht="81">
      <c r="A22" s="235" t="s">
        <v>408</v>
      </c>
      <c r="B22" s="149">
        <v>50</v>
      </c>
      <c r="C22" s="149">
        <v>0</v>
      </c>
      <c r="D22" s="149">
        <v>0</v>
      </c>
      <c r="E22" s="149">
        <v>0</v>
      </c>
      <c r="F22" s="149">
        <v>0</v>
      </c>
      <c r="G22" s="222">
        <v>50</v>
      </c>
      <c r="H22" s="149">
        <v>55.1</v>
      </c>
      <c r="I22" s="149">
        <v>0</v>
      </c>
      <c r="J22" s="149">
        <v>0</v>
      </c>
      <c r="K22" s="149">
        <v>0</v>
      </c>
      <c r="L22" s="149">
        <v>0</v>
      </c>
      <c r="M22" s="222">
        <v>55.1</v>
      </c>
      <c r="N22" s="147">
        <v>0.10200000000000004</v>
      </c>
      <c r="O22" s="234" t="s">
        <v>409</v>
      </c>
      <c r="P22" s="233" t="s">
        <v>407</v>
      </c>
    </row>
    <row r="23" spans="1:16" ht="81">
      <c r="A23" s="235" t="s">
        <v>410</v>
      </c>
      <c r="B23" s="149">
        <v>2689.6</v>
      </c>
      <c r="C23" s="149">
        <v>0</v>
      </c>
      <c r="D23" s="149">
        <v>0</v>
      </c>
      <c r="E23" s="149">
        <v>0</v>
      </c>
      <c r="F23" s="149">
        <v>0</v>
      </c>
      <c r="G23" s="222">
        <v>2689.6</v>
      </c>
      <c r="H23" s="149">
        <v>3226.4</v>
      </c>
      <c r="I23" s="149">
        <v>0</v>
      </c>
      <c r="J23" s="149">
        <v>0</v>
      </c>
      <c r="K23" s="149">
        <v>0</v>
      </c>
      <c r="L23" s="149">
        <v>0</v>
      </c>
      <c r="M23" s="222">
        <v>3226.4</v>
      </c>
      <c r="N23" s="147">
        <v>0.19958358120166575</v>
      </c>
      <c r="O23" s="234" t="s">
        <v>411</v>
      </c>
      <c r="P23" s="233" t="s">
        <v>407</v>
      </c>
    </row>
    <row r="24" spans="1:16" ht="81">
      <c r="A24" s="235" t="s">
        <v>412</v>
      </c>
      <c r="B24" s="149">
        <v>614.1</v>
      </c>
      <c r="C24" s="149">
        <v>0</v>
      </c>
      <c r="D24" s="149">
        <v>0</v>
      </c>
      <c r="E24" s="149">
        <v>0</v>
      </c>
      <c r="F24" s="149">
        <v>0</v>
      </c>
      <c r="G24" s="222">
        <v>614.1</v>
      </c>
      <c r="H24" s="149">
        <v>754.9</v>
      </c>
      <c r="I24" s="149">
        <v>0</v>
      </c>
      <c r="J24" s="149">
        <v>0</v>
      </c>
      <c r="K24" s="149">
        <v>0</v>
      </c>
      <c r="L24" s="149">
        <v>0</v>
      </c>
      <c r="M24" s="222">
        <v>754.9</v>
      </c>
      <c r="N24" s="147">
        <v>0.22927861911740752</v>
      </c>
      <c r="O24" s="234" t="s">
        <v>413</v>
      </c>
      <c r="P24" s="233" t="s">
        <v>407</v>
      </c>
    </row>
    <row r="25" spans="1:16" ht="81">
      <c r="A25" s="235" t="s">
        <v>414</v>
      </c>
      <c r="B25" s="149">
        <v>437.6</v>
      </c>
      <c r="C25" s="149">
        <v>0</v>
      </c>
      <c r="D25" s="149">
        <v>0</v>
      </c>
      <c r="E25" s="149">
        <v>0</v>
      </c>
      <c r="F25" s="149">
        <v>0</v>
      </c>
      <c r="G25" s="222">
        <v>437.6</v>
      </c>
      <c r="H25" s="149">
        <v>420</v>
      </c>
      <c r="I25" s="149">
        <v>0</v>
      </c>
      <c r="J25" s="149">
        <v>0</v>
      </c>
      <c r="K25" s="149">
        <v>0</v>
      </c>
      <c r="L25" s="149">
        <v>0</v>
      </c>
      <c r="M25" s="222">
        <v>420</v>
      </c>
      <c r="N25" s="147">
        <v>-4.0219378427787986E-2</v>
      </c>
      <c r="O25" s="234" t="s">
        <v>415</v>
      </c>
      <c r="P25" s="233" t="s">
        <v>407</v>
      </c>
    </row>
    <row r="26" spans="1:16" ht="81">
      <c r="A26" s="235" t="s">
        <v>416</v>
      </c>
      <c r="B26" s="149">
        <v>327.60000000000002</v>
      </c>
      <c r="C26" s="149">
        <v>0</v>
      </c>
      <c r="D26" s="149">
        <v>0</v>
      </c>
      <c r="E26" s="149">
        <v>0</v>
      </c>
      <c r="F26" s="149">
        <v>0</v>
      </c>
      <c r="G26" s="222">
        <v>327.60000000000002</v>
      </c>
      <c r="H26" s="149">
        <v>450.1</v>
      </c>
      <c r="I26" s="149">
        <v>0</v>
      </c>
      <c r="J26" s="149">
        <v>0</v>
      </c>
      <c r="K26" s="149">
        <v>0</v>
      </c>
      <c r="L26" s="149">
        <v>0</v>
      </c>
      <c r="M26" s="222">
        <v>450.1</v>
      </c>
      <c r="N26" s="147">
        <v>0.37393162393162388</v>
      </c>
      <c r="O26" s="234" t="s">
        <v>417</v>
      </c>
      <c r="P26" s="233" t="s">
        <v>407</v>
      </c>
    </row>
    <row r="27" spans="1:16" ht="81">
      <c r="A27" s="235" t="s">
        <v>418</v>
      </c>
      <c r="B27" s="149">
        <v>84.4</v>
      </c>
      <c r="C27" s="149">
        <v>0</v>
      </c>
      <c r="D27" s="149">
        <v>0</v>
      </c>
      <c r="E27" s="149">
        <v>0</v>
      </c>
      <c r="F27" s="149">
        <v>0</v>
      </c>
      <c r="G27" s="222">
        <v>84.4</v>
      </c>
      <c r="H27" s="149">
        <v>86.6</v>
      </c>
      <c r="I27" s="149">
        <v>0</v>
      </c>
      <c r="J27" s="149">
        <v>0</v>
      </c>
      <c r="K27" s="149">
        <v>0</v>
      </c>
      <c r="L27" s="149">
        <v>0</v>
      </c>
      <c r="M27" s="222">
        <v>86.6</v>
      </c>
      <c r="N27" s="147">
        <v>2.6066350710900337E-2</v>
      </c>
      <c r="O27" s="234" t="s">
        <v>419</v>
      </c>
      <c r="P27" s="233" t="s">
        <v>407</v>
      </c>
    </row>
    <row r="28" spans="1:16" ht="81">
      <c r="A28" s="235" t="s">
        <v>420</v>
      </c>
      <c r="B28" s="149">
        <v>5.8</v>
      </c>
      <c r="C28" s="149">
        <v>0</v>
      </c>
      <c r="D28" s="149">
        <v>0</v>
      </c>
      <c r="E28" s="149">
        <v>0</v>
      </c>
      <c r="F28" s="149">
        <v>0</v>
      </c>
      <c r="G28" s="222">
        <v>5.8</v>
      </c>
      <c r="H28" s="149">
        <v>5.14</v>
      </c>
      <c r="I28" s="149">
        <v>0</v>
      </c>
      <c r="J28" s="149">
        <v>0</v>
      </c>
      <c r="K28" s="149">
        <v>0</v>
      </c>
      <c r="L28" s="149">
        <v>0</v>
      </c>
      <c r="M28" s="222">
        <v>5.14</v>
      </c>
      <c r="N28" s="147">
        <v>-0.1137931034482759</v>
      </c>
      <c r="O28" s="234" t="s">
        <v>421</v>
      </c>
      <c r="P28" s="233" t="s">
        <v>407</v>
      </c>
    </row>
    <row r="29" spans="1:16" ht="97.15">
      <c r="A29" s="235" t="s">
        <v>422</v>
      </c>
      <c r="B29" s="149">
        <v>19.8</v>
      </c>
      <c r="C29" s="149">
        <v>0</v>
      </c>
      <c r="D29" s="149">
        <v>0</v>
      </c>
      <c r="E29" s="149">
        <v>0</v>
      </c>
      <c r="F29" s="149">
        <v>0</v>
      </c>
      <c r="G29" s="222">
        <v>19.8</v>
      </c>
      <c r="H29" s="149">
        <v>21.3</v>
      </c>
      <c r="I29" s="149">
        <v>0</v>
      </c>
      <c r="J29" s="149">
        <v>0</v>
      </c>
      <c r="K29" s="149">
        <v>0</v>
      </c>
      <c r="L29" s="149">
        <v>0</v>
      </c>
      <c r="M29" s="222">
        <v>21.3</v>
      </c>
      <c r="N29" s="147">
        <v>7.575757575757576E-2</v>
      </c>
      <c r="O29" s="234" t="s">
        <v>423</v>
      </c>
      <c r="P29" s="233" t="s">
        <v>424</v>
      </c>
    </row>
    <row r="30" spans="1:16" ht="81">
      <c r="A30" s="235" t="s">
        <v>425</v>
      </c>
      <c r="B30" s="149">
        <v>17</v>
      </c>
      <c r="C30" s="149">
        <v>0</v>
      </c>
      <c r="D30" s="149">
        <v>0</v>
      </c>
      <c r="E30" s="149">
        <v>0</v>
      </c>
      <c r="F30" s="149">
        <v>0</v>
      </c>
      <c r="G30" s="222">
        <v>17</v>
      </c>
      <c r="H30" s="149">
        <v>18.100000000000001</v>
      </c>
      <c r="I30" s="149">
        <v>0</v>
      </c>
      <c r="J30" s="149">
        <v>0</v>
      </c>
      <c r="K30" s="149">
        <v>0</v>
      </c>
      <c r="L30" s="149">
        <v>0</v>
      </c>
      <c r="M30" s="222">
        <v>18.100000000000001</v>
      </c>
      <c r="N30" s="147">
        <v>6.4705882352941266E-2</v>
      </c>
      <c r="O30" s="234" t="s">
        <v>426</v>
      </c>
      <c r="P30" s="233" t="s">
        <v>407</v>
      </c>
    </row>
    <row r="31" spans="1:16" ht="81">
      <c r="A31" s="235" t="s">
        <v>427</v>
      </c>
      <c r="B31" s="149">
        <v>12.1</v>
      </c>
      <c r="C31" s="149">
        <v>0</v>
      </c>
      <c r="D31" s="149">
        <v>0</v>
      </c>
      <c r="E31" s="149">
        <v>0</v>
      </c>
      <c r="F31" s="149">
        <v>0</v>
      </c>
      <c r="G31" s="222">
        <v>12.1</v>
      </c>
      <c r="H31" s="149">
        <v>12.2</v>
      </c>
      <c r="I31" s="149">
        <v>0</v>
      </c>
      <c r="J31" s="149">
        <v>0</v>
      </c>
      <c r="K31" s="149">
        <v>0</v>
      </c>
      <c r="L31" s="149">
        <v>0</v>
      </c>
      <c r="M31" s="222">
        <v>12.2</v>
      </c>
      <c r="N31" s="147">
        <v>8.2644628099173261E-3</v>
      </c>
      <c r="O31" s="234" t="s">
        <v>428</v>
      </c>
      <c r="P31" s="233" t="s">
        <v>407</v>
      </c>
    </row>
    <row r="32" spans="1:16" ht="64.900000000000006">
      <c r="A32" s="235" t="s">
        <v>429</v>
      </c>
      <c r="B32" s="149">
        <v>1.2</v>
      </c>
      <c r="C32" s="149">
        <v>0</v>
      </c>
      <c r="D32" s="149">
        <v>0</v>
      </c>
      <c r="E32" s="149">
        <v>0</v>
      </c>
      <c r="F32" s="149">
        <v>0</v>
      </c>
      <c r="G32" s="222">
        <v>1.2</v>
      </c>
      <c r="H32" s="149">
        <v>0.4</v>
      </c>
      <c r="I32" s="149">
        <v>0</v>
      </c>
      <c r="J32" s="149">
        <v>0</v>
      </c>
      <c r="K32" s="149">
        <v>0</v>
      </c>
      <c r="L32" s="149">
        <v>0</v>
      </c>
      <c r="M32" s="222">
        <v>0.4</v>
      </c>
      <c r="N32" s="147">
        <v>-0.66666666666666663</v>
      </c>
      <c r="O32" s="234" t="s">
        <v>430</v>
      </c>
      <c r="P32" s="233" t="s">
        <v>431</v>
      </c>
    </row>
    <row r="33" spans="1:16" ht="48.6">
      <c r="A33" s="235" t="s">
        <v>432</v>
      </c>
      <c r="B33" s="149">
        <v>1</v>
      </c>
      <c r="C33" s="149">
        <v>0</v>
      </c>
      <c r="D33" s="149">
        <v>0</v>
      </c>
      <c r="E33" s="149">
        <v>0</v>
      </c>
      <c r="F33" s="149">
        <v>0</v>
      </c>
      <c r="G33" s="222">
        <v>1</v>
      </c>
      <c r="H33" s="149">
        <v>1</v>
      </c>
      <c r="I33" s="149">
        <v>0</v>
      </c>
      <c r="J33" s="149">
        <v>0</v>
      </c>
      <c r="K33" s="149">
        <v>0</v>
      </c>
      <c r="L33" s="149">
        <v>0</v>
      </c>
      <c r="M33" s="222">
        <v>1</v>
      </c>
      <c r="N33" s="147">
        <v>0</v>
      </c>
      <c r="O33" s="234" t="s">
        <v>433</v>
      </c>
      <c r="P33" s="233" t="s">
        <v>434</v>
      </c>
    </row>
    <row r="34" spans="1:16" ht="81">
      <c r="A34" s="235" t="s">
        <v>435</v>
      </c>
      <c r="B34" s="149">
        <v>4.7</v>
      </c>
      <c r="C34" s="149">
        <v>0</v>
      </c>
      <c r="D34" s="149">
        <v>0</v>
      </c>
      <c r="E34" s="149">
        <v>0</v>
      </c>
      <c r="F34" s="149">
        <v>0</v>
      </c>
      <c r="G34" s="222">
        <v>4.7</v>
      </c>
      <c r="H34" s="149">
        <v>8.6999999999999993</v>
      </c>
      <c r="I34" s="149">
        <v>0</v>
      </c>
      <c r="J34" s="149">
        <v>0</v>
      </c>
      <c r="K34" s="149">
        <v>0</v>
      </c>
      <c r="L34" s="149">
        <v>0</v>
      </c>
      <c r="M34" s="222">
        <v>8.6999999999999993</v>
      </c>
      <c r="N34" s="147">
        <v>0.85106382978723383</v>
      </c>
      <c r="O34" s="234" t="s">
        <v>436</v>
      </c>
      <c r="P34" s="233" t="s">
        <v>407</v>
      </c>
    </row>
    <row r="35" spans="1:16" ht="81">
      <c r="A35" s="235" t="s">
        <v>437</v>
      </c>
      <c r="B35" s="149">
        <v>442.1</v>
      </c>
      <c r="C35" s="149">
        <v>0</v>
      </c>
      <c r="D35" s="149">
        <v>0</v>
      </c>
      <c r="E35" s="149">
        <v>0</v>
      </c>
      <c r="F35" s="149">
        <v>0</v>
      </c>
      <c r="G35" s="222">
        <v>442.1</v>
      </c>
      <c r="H35" s="149">
        <v>457.34</v>
      </c>
      <c r="I35" s="149">
        <v>0</v>
      </c>
      <c r="J35" s="149">
        <v>0</v>
      </c>
      <c r="K35" s="149">
        <v>0</v>
      </c>
      <c r="L35" s="149">
        <v>0</v>
      </c>
      <c r="M35" s="222">
        <v>457.34</v>
      </c>
      <c r="N35" s="147">
        <v>3.4471838950463587E-2</v>
      </c>
      <c r="O35" s="234" t="s">
        <v>438</v>
      </c>
      <c r="P35" s="233" t="s">
        <v>407</v>
      </c>
    </row>
    <row r="36" spans="1:16" ht="81">
      <c r="A36" s="235" t="s">
        <v>439</v>
      </c>
      <c r="B36" s="149">
        <v>0</v>
      </c>
      <c r="C36" s="149">
        <v>0</v>
      </c>
      <c r="D36" s="149">
        <v>0</v>
      </c>
      <c r="E36" s="149">
        <v>0</v>
      </c>
      <c r="F36" s="149">
        <v>0</v>
      </c>
      <c r="G36" s="222">
        <v>0</v>
      </c>
      <c r="H36" s="149">
        <v>180</v>
      </c>
      <c r="I36" s="149">
        <v>0</v>
      </c>
      <c r="J36" s="149">
        <v>0</v>
      </c>
      <c r="K36" s="149">
        <v>0</v>
      </c>
      <c r="L36" s="149">
        <v>0</v>
      </c>
      <c r="M36" s="222">
        <v>180</v>
      </c>
      <c r="N36" s="147" t="s">
        <v>204</v>
      </c>
      <c r="O36" s="234" t="s">
        <v>440</v>
      </c>
      <c r="P36" s="233" t="s">
        <v>407</v>
      </c>
    </row>
    <row r="37" spans="1:16" ht="81">
      <c r="A37" s="235" t="s">
        <v>441</v>
      </c>
      <c r="B37" s="149">
        <v>23.6</v>
      </c>
      <c r="C37" s="149">
        <v>0</v>
      </c>
      <c r="D37" s="149">
        <v>0</v>
      </c>
      <c r="E37" s="149">
        <v>0</v>
      </c>
      <c r="F37" s="149">
        <v>0</v>
      </c>
      <c r="G37" s="222">
        <v>23.6</v>
      </c>
      <c r="H37" s="149">
        <v>24.4</v>
      </c>
      <c r="I37" s="149">
        <v>0</v>
      </c>
      <c r="J37" s="149">
        <v>0</v>
      </c>
      <c r="K37" s="149">
        <v>0</v>
      </c>
      <c r="L37" s="149">
        <v>0</v>
      </c>
      <c r="M37" s="222">
        <v>24.4</v>
      </c>
      <c r="N37" s="147">
        <v>3.3898305084745638E-2</v>
      </c>
      <c r="O37" s="234" t="s">
        <v>442</v>
      </c>
      <c r="P37" s="233" t="s">
        <v>407</v>
      </c>
    </row>
    <row r="38" spans="1:16" ht="16.149999999999999">
      <c r="A38" s="232" t="s">
        <v>443</v>
      </c>
      <c r="B38" s="231">
        <v>5137.9000000000015</v>
      </c>
      <c r="C38" s="231">
        <v>0</v>
      </c>
      <c r="D38" s="231">
        <v>0</v>
      </c>
      <c r="E38" s="231">
        <v>0</v>
      </c>
      <c r="F38" s="231">
        <v>0</v>
      </c>
      <c r="G38" s="231">
        <v>5137.9000000000015</v>
      </c>
      <c r="H38" s="231">
        <v>6168.880000000001</v>
      </c>
      <c r="I38" s="231">
        <v>0</v>
      </c>
      <c r="J38" s="231">
        <v>0</v>
      </c>
      <c r="K38" s="231">
        <v>0</v>
      </c>
      <c r="L38" s="231">
        <v>0</v>
      </c>
      <c r="M38" s="231">
        <v>6168.880000000001</v>
      </c>
      <c r="N38" s="230">
        <v>0.20066174896358421</v>
      </c>
      <c r="O38" s="229"/>
      <c r="P38" s="228"/>
    </row>
    <row r="39" spans="1:16" ht="16.149999999999999">
      <c r="A39" s="227"/>
      <c r="B39" s="226"/>
      <c r="C39" s="226"/>
      <c r="D39" s="226"/>
      <c r="E39" s="226"/>
      <c r="F39" s="226"/>
      <c r="G39" s="226"/>
      <c r="H39" s="226"/>
      <c r="I39" s="226"/>
      <c r="J39" s="226"/>
      <c r="K39" s="226"/>
      <c r="L39" s="226"/>
      <c r="M39" s="226"/>
      <c r="N39" s="225"/>
      <c r="O39" s="187"/>
      <c r="P39" s="187"/>
    </row>
    <row r="40" spans="1:16" ht="16.149999999999999">
      <c r="A40" s="193" t="s">
        <v>444</v>
      </c>
      <c r="B40" s="192"/>
      <c r="C40" s="192"/>
      <c r="D40" s="192"/>
      <c r="E40" s="192"/>
      <c r="F40" s="192"/>
      <c r="G40" s="192"/>
      <c r="H40" s="192"/>
      <c r="I40" s="192"/>
      <c r="J40" s="192"/>
      <c r="K40" s="192"/>
      <c r="L40" s="192"/>
      <c r="M40" s="192"/>
      <c r="N40" s="191"/>
      <c r="O40" s="182"/>
      <c r="P40" s="182"/>
    </row>
    <row r="41" spans="1:16" ht="64.900000000000006">
      <c r="A41" s="179" t="s">
        <v>444</v>
      </c>
      <c r="B41" s="181">
        <v>21.18</v>
      </c>
      <c r="C41" s="181">
        <v>0</v>
      </c>
      <c r="D41" s="181">
        <v>0</v>
      </c>
      <c r="E41" s="181">
        <v>0</v>
      </c>
      <c r="F41" s="181">
        <v>0</v>
      </c>
      <c r="G41" s="180">
        <v>21.18</v>
      </c>
      <c r="H41" s="149">
        <v>21.076999999999998</v>
      </c>
      <c r="I41" s="149">
        <v>0</v>
      </c>
      <c r="J41" s="149">
        <v>0</v>
      </c>
      <c r="K41" s="149">
        <v>0</v>
      </c>
      <c r="L41" s="149">
        <v>0</v>
      </c>
      <c r="M41" s="180">
        <v>21.076999999999998</v>
      </c>
      <c r="N41" s="147">
        <v>-4.8630783758263239E-3</v>
      </c>
      <c r="O41" s="189" t="s">
        <v>445</v>
      </c>
      <c r="P41" s="188" t="s">
        <v>446</v>
      </c>
    </row>
    <row r="42" spans="1:16" ht="16.149999999999999">
      <c r="A42" s="177" t="s">
        <v>447</v>
      </c>
      <c r="B42" s="176">
        <v>21.18</v>
      </c>
      <c r="C42" s="176">
        <v>0</v>
      </c>
      <c r="D42" s="176">
        <v>0</v>
      </c>
      <c r="E42" s="176">
        <v>0</v>
      </c>
      <c r="F42" s="176">
        <v>0</v>
      </c>
      <c r="G42" s="176">
        <v>21.18</v>
      </c>
      <c r="H42" s="176">
        <v>21.076999999999998</v>
      </c>
      <c r="I42" s="176">
        <v>0</v>
      </c>
      <c r="J42" s="176">
        <v>0</v>
      </c>
      <c r="K42" s="176">
        <v>0</v>
      </c>
      <c r="L42" s="176">
        <v>0</v>
      </c>
      <c r="M42" s="176">
        <v>21.076999999999998</v>
      </c>
      <c r="N42" s="160">
        <v>-4.8630783758263239E-3</v>
      </c>
      <c r="O42" s="218"/>
      <c r="P42" s="218"/>
    </row>
    <row r="44" spans="1:16" ht="16.149999999999999">
      <c r="A44" s="186"/>
      <c r="B44" s="187"/>
      <c r="C44" s="187"/>
      <c r="D44" s="187"/>
      <c r="E44" s="187"/>
      <c r="F44" s="187"/>
      <c r="G44" s="187"/>
      <c r="H44" s="187"/>
      <c r="I44" s="187"/>
      <c r="J44" s="187"/>
      <c r="K44" s="187"/>
      <c r="L44" s="187"/>
      <c r="M44" s="187"/>
      <c r="N44" s="156"/>
      <c r="O44" s="187"/>
      <c r="P44" s="187"/>
    </row>
    <row r="45" spans="1:16" ht="16.149999999999999">
      <c r="A45" s="193" t="s">
        <v>448</v>
      </c>
      <c r="B45" s="184"/>
      <c r="C45" s="184"/>
      <c r="D45" s="184"/>
      <c r="E45" s="184"/>
      <c r="F45" s="184"/>
      <c r="G45" s="184"/>
      <c r="H45" s="184"/>
      <c r="I45" s="184"/>
      <c r="J45" s="184"/>
      <c r="K45" s="184"/>
      <c r="L45" s="184"/>
      <c r="M45" s="184"/>
      <c r="N45" s="183"/>
      <c r="O45" s="182"/>
      <c r="P45" s="182"/>
    </row>
    <row r="46" spans="1:16" ht="16.149999999999999">
      <c r="A46" s="186"/>
      <c r="B46" s="187"/>
      <c r="C46" s="187"/>
      <c r="D46" s="187"/>
      <c r="E46" s="187"/>
      <c r="F46" s="187"/>
      <c r="G46" s="187"/>
      <c r="H46" s="187"/>
      <c r="I46" s="187"/>
      <c r="J46" s="187"/>
      <c r="K46" s="187"/>
      <c r="L46" s="187"/>
      <c r="M46" s="187"/>
      <c r="N46" s="156"/>
      <c r="O46" s="187"/>
      <c r="P46" s="187"/>
    </row>
    <row r="47" spans="1:16" ht="16.149999999999999">
      <c r="A47" s="209" t="s">
        <v>449</v>
      </c>
      <c r="B47" s="208"/>
      <c r="C47" s="208"/>
      <c r="D47" s="208"/>
      <c r="E47" s="208"/>
      <c r="F47" s="208"/>
      <c r="G47" s="208"/>
      <c r="H47" s="208"/>
      <c r="I47" s="208"/>
      <c r="J47" s="208"/>
      <c r="K47" s="208"/>
      <c r="L47" s="208"/>
      <c r="M47" s="208"/>
      <c r="N47" s="207"/>
      <c r="O47" s="224"/>
      <c r="P47" s="224"/>
    </row>
    <row r="48" spans="1:16" ht="172.5" customHeight="1">
      <c r="A48" s="179" t="s">
        <v>450</v>
      </c>
      <c r="B48" s="181">
        <v>0</v>
      </c>
      <c r="C48" s="181">
        <v>0</v>
      </c>
      <c r="D48" s="181">
        <v>489.1</v>
      </c>
      <c r="E48" s="181">
        <v>170.6</v>
      </c>
      <c r="F48" s="181">
        <v>0</v>
      </c>
      <c r="G48" s="180">
        <v>659.7</v>
      </c>
      <c r="H48" s="149">
        <v>0</v>
      </c>
      <c r="I48" s="149">
        <v>0</v>
      </c>
      <c r="J48" s="149">
        <v>414.41699999999997</v>
      </c>
      <c r="K48" s="149">
        <v>49.2</v>
      </c>
      <c r="L48" s="149">
        <v>0</v>
      </c>
      <c r="M48" s="180">
        <v>463.61699999999996</v>
      </c>
      <c r="N48" s="147">
        <v>-0.29723055934515702</v>
      </c>
      <c r="O48" s="189" t="s">
        <v>451</v>
      </c>
      <c r="P48" s="188" t="s">
        <v>452</v>
      </c>
    </row>
    <row r="49" spans="1:16" ht="16.149999999999999">
      <c r="A49" s="223" t="s">
        <v>449</v>
      </c>
      <c r="B49" s="149">
        <v>7.2089999999999996</v>
      </c>
      <c r="C49" s="149">
        <v>0</v>
      </c>
      <c r="D49" s="149">
        <v>0</v>
      </c>
      <c r="E49" s="149">
        <v>0</v>
      </c>
      <c r="F49" s="149">
        <v>0</v>
      </c>
      <c r="G49" s="222">
        <v>7.2089999999999996</v>
      </c>
      <c r="H49" s="149">
        <v>6.4829999999999997</v>
      </c>
      <c r="I49" s="149">
        <v>0</v>
      </c>
      <c r="J49" s="149">
        <v>0</v>
      </c>
      <c r="K49" s="149">
        <v>0</v>
      </c>
      <c r="L49" s="149">
        <v>0</v>
      </c>
      <c r="M49" s="222">
        <v>6.4829999999999997</v>
      </c>
      <c r="N49" s="147">
        <v>-0.10070744902205576</v>
      </c>
      <c r="O49" s="146" t="s">
        <v>238</v>
      </c>
      <c r="P49" s="145" t="s">
        <v>238</v>
      </c>
    </row>
    <row r="50" spans="1:16" ht="32.450000000000003">
      <c r="A50" s="223" t="s">
        <v>453</v>
      </c>
      <c r="B50" s="149">
        <v>0</v>
      </c>
      <c r="C50" s="149">
        <v>0</v>
      </c>
      <c r="D50" s="149">
        <v>-16.3</v>
      </c>
      <c r="E50" s="149">
        <v>-86</v>
      </c>
      <c r="F50" s="149">
        <v>0</v>
      </c>
      <c r="G50" s="222">
        <v>-102.3</v>
      </c>
      <c r="H50" s="149">
        <v>0</v>
      </c>
      <c r="I50" s="149">
        <v>0</v>
      </c>
      <c r="J50" s="149">
        <v>-14.3</v>
      </c>
      <c r="K50" s="149">
        <v>-80</v>
      </c>
      <c r="L50" s="149">
        <v>0</v>
      </c>
      <c r="M50" s="222">
        <v>-94.3</v>
      </c>
      <c r="N50" s="147">
        <v>-7.8201368523949169E-2</v>
      </c>
      <c r="O50" s="146" t="s">
        <v>454</v>
      </c>
      <c r="P50" s="188" t="s">
        <v>455</v>
      </c>
    </row>
    <row r="51" spans="1:16" ht="16.149999999999999" collapsed="1">
      <c r="A51" s="203" t="s">
        <v>456</v>
      </c>
      <c r="B51" s="202">
        <v>7.2089999999999996</v>
      </c>
      <c r="C51" s="202">
        <v>0</v>
      </c>
      <c r="D51" s="202">
        <v>472.8</v>
      </c>
      <c r="E51" s="202">
        <v>84.6</v>
      </c>
      <c r="F51" s="202">
        <v>0</v>
      </c>
      <c r="G51" s="202">
        <v>564.60900000000004</v>
      </c>
      <c r="H51" s="202">
        <v>6.4829999999999997</v>
      </c>
      <c r="I51" s="202">
        <v>0</v>
      </c>
      <c r="J51" s="202">
        <v>400.11699999999996</v>
      </c>
      <c r="K51" s="202">
        <v>-30.799999999999997</v>
      </c>
      <c r="L51" s="202">
        <v>0</v>
      </c>
      <c r="M51" s="202">
        <v>375.79999999999995</v>
      </c>
      <c r="N51" s="201">
        <v>-0.33440664247293272</v>
      </c>
      <c r="O51" s="200"/>
      <c r="P51" s="199"/>
    </row>
    <row r="52" spans="1:16" ht="16.149999999999999">
      <c r="A52" s="186"/>
      <c r="B52" s="187"/>
      <c r="C52" s="187"/>
      <c r="D52" s="187"/>
      <c r="E52" s="187"/>
      <c r="F52" s="187"/>
      <c r="G52" s="187"/>
      <c r="H52" s="187"/>
      <c r="I52" s="187"/>
      <c r="J52" s="187"/>
      <c r="K52" s="187"/>
      <c r="L52" s="187"/>
      <c r="M52" s="187"/>
      <c r="N52" s="156"/>
      <c r="O52" s="187"/>
      <c r="P52" s="187"/>
    </row>
    <row r="53" spans="1:16" ht="32.450000000000003">
      <c r="A53" s="221" t="s">
        <v>457</v>
      </c>
      <c r="B53" s="208"/>
      <c r="C53" s="208"/>
      <c r="D53" s="208"/>
      <c r="E53" s="208"/>
      <c r="F53" s="208"/>
      <c r="G53" s="208"/>
      <c r="H53" s="208"/>
      <c r="I53" s="208"/>
      <c r="J53" s="208"/>
      <c r="K53" s="208"/>
      <c r="L53" s="208"/>
      <c r="M53" s="208"/>
      <c r="N53" s="207"/>
      <c r="O53" s="206"/>
      <c r="P53" s="206"/>
    </row>
    <row r="54" spans="1:16" ht="32.450000000000003">
      <c r="A54" s="220" t="s">
        <v>457</v>
      </c>
      <c r="B54" s="181">
        <v>21.76</v>
      </c>
      <c r="C54" s="181">
        <v>0</v>
      </c>
      <c r="D54" s="181">
        <v>0</v>
      </c>
      <c r="E54" s="181">
        <v>0</v>
      </c>
      <c r="F54" s="181">
        <v>0</v>
      </c>
      <c r="G54" s="180">
        <v>21.76</v>
      </c>
      <c r="H54" s="149">
        <v>1.6879999999999999</v>
      </c>
      <c r="I54" s="149">
        <v>0</v>
      </c>
      <c r="J54" s="149">
        <v>0</v>
      </c>
      <c r="K54" s="149">
        <v>0</v>
      </c>
      <c r="L54" s="149">
        <v>0</v>
      </c>
      <c r="M54" s="180">
        <v>1.6879999999999999</v>
      </c>
      <c r="N54" s="147">
        <v>-0.92242647058823535</v>
      </c>
      <c r="O54" s="189" t="s">
        <v>458</v>
      </c>
      <c r="P54" s="188" t="s">
        <v>459</v>
      </c>
    </row>
    <row r="55" spans="1:16" ht="32.450000000000003" collapsed="1">
      <c r="A55" s="219" t="s">
        <v>460</v>
      </c>
      <c r="B55" s="202">
        <v>21.76</v>
      </c>
      <c r="C55" s="202">
        <v>0</v>
      </c>
      <c r="D55" s="202">
        <v>0</v>
      </c>
      <c r="E55" s="202">
        <v>0</v>
      </c>
      <c r="F55" s="202">
        <v>0</v>
      </c>
      <c r="G55" s="202">
        <v>21.76</v>
      </c>
      <c r="H55" s="202">
        <v>1.6879999999999999</v>
      </c>
      <c r="I55" s="202">
        <v>0</v>
      </c>
      <c r="J55" s="202">
        <v>0</v>
      </c>
      <c r="K55" s="202">
        <v>0</v>
      </c>
      <c r="L55" s="202">
        <v>0</v>
      </c>
      <c r="M55" s="202">
        <v>1.6879999999999999</v>
      </c>
      <c r="N55" s="201">
        <v>-0.92242647058823535</v>
      </c>
      <c r="O55" s="200"/>
      <c r="P55" s="199"/>
    </row>
    <row r="56" spans="1:16" ht="16.149999999999999">
      <c r="A56" s="186"/>
      <c r="B56" s="187"/>
      <c r="C56" s="187"/>
      <c r="D56" s="187"/>
      <c r="E56" s="187"/>
      <c r="F56" s="187"/>
      <c r="G56" s="187"/>
      <c r="H56" s="187"/>
      <c r="I56" s="187"/>
      <c r="J56" s="187"/>
      <c r="K56" s="187"/>
      <c r="L56" s="187"/>
      <c r="M56" s="187"/>
      <c r="N56" s="156"/>
      <c r="O56" s="187"/>
      <c r="P56" s="187"/>
    </row>
    <row r="57" spans="1:16" ht="16.149999999999999">
      <c r="A57" s="209" t="s">
        <v>461</v>
      </c>
      <c r="B57" s="208"/>
      <c r="C57" s="208"/>
      <c r="D57" s="208"/>
      <c r="E57" s="208"/>
      <c r="F57" s="208"/>
      <c r="G57" s="208"/>
      <c r="H57" s="208"/>
      <c r="I57" s="208"/>
      <c r="J57" s="208"/>
      <c r="K57" s="208"/>
      <c r="L57" s="208"/>
      <c r="M57" s="208"/>
      <c r="N57" s="207"/>
      <c r="O57" s="206"/>
      <c r="P57" s="206"/>
    </row>
    <row r="58" spans="1:16" ht="259.14999999999998">
      <c r="A58" s="189" t="s">
        <v>462</v>
      </c>
      <c r="B58" s="181">
        <v>48.597000000000001</v>
      </c>
      <c r="C58" s="181">
        <v>0</v>
      </c>
      <c r="D58" s="181">
        <v>16.2</v>
      </c>
      <c r="E58" s="181">
        <v>0</v>
      </c>
      <c r="F58" s="181">
        <v>0</v>
      </c>
      <c r="G58" s="180">
        <v>64.796999999999997</v>
      </c>
      <c r="H58" s="149">
        <v>48.597000000000001</v>
      </c>
      <c r="I58" s="149">
        <v>0</v>
      </c>
      <c r="J58" s="149">
        <v>14.245000000000001</v>
      </c>
      <c r="K58" s="149">
        <v>0</v>
      </c>
      <c r="L58" s="149">
        <v>0</v>
      </c>
      <c r="M58" s="180">
        <v>62.841999999999999</v>
      </c>
      <c r="N58" s="147">
        <v>-3.0171149898915048E-2</v>
      </c>
      <c r="O58" s="189" t="s">
        <v>463</v>
      </c>
      <c r="P58" s="188" t="s">
        <v>464</v>
      </c>
    </row>
    <row r="59" spans="1:16" ht="129.6">
      <c r="A59" s="189" t="s">
        <v>465</v>
      </c>
      <c r="B59" s="181">
        <v>85.929000000000002</v>
      </c>
      <c r="C59" s="181">
        <v>0</v>
      </c>
      <c r="D59" s="181">
        <v>0</v>
      </c>
      <c r="E59" s="181">
        <v>0</v>
      </c>
      <c r="F59" s="181">
        <v>0</v>
      </c>
      <c r="G59" s="180">
        <v>85.929000000000002</v>
      </c>
      <c r="H59" s="149">
        <v>90.468999999999994</v>
      </c>
      <c r="I59" s="149">
        <v>0</v>
      </c>
      <c r="J59" s="149">
        <v>0</v>
      </c>
      <c r="K59" s="149">
        <v>0</v>
      </c>
      <c r="L59" s="149">
        <v>0</v>
      </c>
      <c r="M59" s="180">
        <v>90.468999999999994</v>
      </c>
      <c r="N59" s="147">
        <v>5.2834316703324745E-2</v>
      </c>
      <c r="O59" s="189" t="s">
        <v>466</v>
      </c>
      <c r="P59" s="188" t="s">
        <v>467</v>
      </c>
    </row>
    <row r="60" spans="1:16" ht="16.149999999999999" collapsed="1">
      <c r="A60" s="203" t="s">
        <v>468</v>
      </c>
      <c r="B60" s="202">
        <v>134.52600000000001</v>
      </c>
      <c r="C60" s="202">
        <v>0</v>
      </c>
      <c r="D60" s="202">
        <v>16.2</v>
      </c>
      <c r="E60" s="202">
        <v>0</v>
      </c>
      <c r="F60" s="202">
        <v>0</v>
      </c>
      <c r="G60" s="202">
        <v>150.726</v>
      </c>
      <c r="H60" s="202">
        <v>139.066</v>
      </c>
      <c r="I60" s="202">
        <v>0</v>
      </c>
      <c r="J60" s="202">
        <v>14.245000000000001</v>
      </c>
      <c r="K60" s="202">
        <v>0</v>
      </c>
      <c r="L60" s="202">
        <v>0</v>
      </c>
      <c r="M60" s="202">
        <v>153.31099999999998</v>
      </c>
      <c r="N60" s="201">
        <v>1.7150325756670911E-2</v>
      </c>
      <c r="O60" s="200"/>
      <c r="P60" s="199"/>
    </row>
    <row r="61" spans="1:16" ht="16.149999999999999">
      <c r="A61" s="186"/>
      <c r="B61" s="187"/>
      <c r="C61" s="187"/>
      <c r="D61" s="187"/>
      <c r="E61" s="187"/>
      <c r="F61" s="187"/>
      <c r="G61" s="187"/>
      <c r="H61" s="187"/>
      <c r="I61" s="187"/>
      <c r="J61" s="187"/>
      <c r="K61" s="187"/>
      <c r="L61" s="187"/>
      <c r="M61" s="187"/>
      <c r="N61" s="156"/>
      <c r="O61" s="187"/>
      <c r="P61" s="187"/>
    </row>
    <row r="62" spans="1:16" ht="16.149999999999999">
      <c r="A62" s="209" t="s">
        <v>469</v>
      </c>
      <c r="B62" s="208"/>
      <c r="C62" s="208"/>
      <c r="D62" s="208"/>
      <c r="E62" s="208"/>
      <c r="F62" s="208"/>
      <c r="G62" s="208"/>
      <c r="H62" s="208"/>
      <c r="I62" s="208"/>
      <c r="J62" s="208"/>
      <c r="K62" s="208"/>
      <c r="L62" s="208"/>
      <c r="M62" s="208"/>
      <c r="N62" s="207"/>
      <c r="O62" s="206"/>
      <c r="P62" s="206"/>
    </row>
    <row r="63" spans="1:16" ht="64.900000000000006">
      <c r="A63" s="189" t="s">
        <v>469</v>
      </c>
      <c r="B63" s="181">
        <v>1.252</v>
      </c>
      <c r="C63" s="181">
        <v>0</v>
      </c>
      <c r="D63" s="181">
        <v>0</v>
      </c>
      <c r="E63" s="181">
        <v>0</v>
      </c>
      <c r="F63" s="181">
        <v>0</v>
      </c>
      <c r="G63" s="180">
        <v>1.252</v>
      </c>
      <c r="H63" s="149">
        <v>2.44</v>
      </c>
      <c r="I63" s="149">
        <v>0</v>
      </c>
      <c r="J63" s="149">
        <v>0</v>
      </c>
      <c r="K63" s="149">
        <v>0</v>
      </c>
      <c r="L63" s="149">
        <v>0</v>
      </c>
      <c r="M63" s="180">
        <v>2.44</v>
      </c>
      <c r="N63" s="147">
        <v>0.94888178913738019</v>
      </c>
      <c r="O63" s="189" t="s">
        <v>470</v>
      </c>
      <c r="P63" s="188" t="s">
        <v>238</v>
      </c>
    </row>
    <row r="64" spans="1:16" ht="16.149999999999999" collapsed="1">
      <c r="A64" s="203" t="s">
        <v>471</v>
      </c>
      <c r="B64" s="202">
        <v>1.252</v>
      </c>
      <c r="C64" s="202">
        <v>0</v>
      </c>
      <c r="D64" s="202">
        <v>0</v>
      </c>
      <c r="E64" s="202">
        <v>0</v>
      </c>
      <c r="F64" s="202">
        <v>0</v>
      </c>
      <c r="G64" s="202">
        <v>1.252</v>
      </c>
      <c r="H64" s="202">
        <v>2.44</v>
      </c>
      <c r="I64" s="202">
        <v>0</v>
      </c>
      <c r="J64" s="202">
        <v>0</v>
      </c>
      <c r="K64" s="202">
        <v>0</v>
      </c>
      <c r="L64" s="202">
        <v>0</v>
      </c>
      <c r="M64" s="202">
        <v>2.44</v>
      </c>
      <c r="N64" s="201">
        <v>0.94888178913738019</v>
      </c>
      <c r="O64" s="200"/>
      <c r="P64" s="199"/>
    </row>
    <row r="65" spans="1:16" ht="16.149999999999999" collapsed="1">
      <c r="A65" s="186"/>
      <c r="B65" s="187"/>
      <c r="C65" s="187"/>
      <c r="D65" s="187"/>
      <c r="E65" s="187"/>
      <c r="F65" s="187"/>
      <c r="G65" s="187"/>
      <c r="H65" s="187"/>
      <c r="I65" s="187"/>
      <c r="J65" s="187"/>
      <c r="K65" s="187"/>
      <c r="L65" s="187"/>
      <c r="M65" s="187"/>
      <c r="N65" s="156"/>
      <c r="O65" s="187"/>
      <c r="P65" s="187"/>
    </row>
    <row r="66" spans="1:16" ht="32.450000000000003">
      <c r="A66" s="177" t="s">
        <v>472</v>
      </c>
      <c r="B66" s="176">
        <v>164.74700000000001</v>
      </c>
      <c r="C66" s="176">
        <v>0</v>
      </c>
      <c r="D66" s="176">
        <v>489</v>
      </c>
      <c r="E66" s="176">
        <v>84.6</v>
      </c>
      <c r="F66" s="176">
        <v>0</v>
      </c>
      <c r="G66" s="176">
        <v>738.34699999999998</v>
      </c>
      <c r="H66" s="176">
        <v>149.67699999999999</v>
      </c>
      <c r="I66" s="176">
        <v>0</v>
      </c>
      <c r="J66" s="176">
        <v>414.36199999999997</v>
      </c>
      <c r="K66" s="176">
        <v>-30.799999999999997</v>
      </c>
      <c r="L66" s="176">
        <v>0</v>
      </c>
      <c r="M66" s="176">
        <v>533.23899999999992</v>
      </c>
      <c r="N66" s="160">
        <v>-0.27779350359654753</v>
      </c>
      <c r="O66" s="175"/>
      <c r="P66" s="174"/>
    </row>
    <row r="67" spans="1:16" ht="16.149999999999999" collapsed="1">
      <c r="A67" s="186"/>
      <c r="B67" s="187"/>
      <c r="C67" s="187"/>
      <c r="D67" s="187"/>
      <c r="E67" s="187"/>
      <c r="F67" s="187"/>
      <c r="G67" s="187"/>
      <c r="H67" s="187"/>
      <c r="I67" s="187"/>
      <c r="J67" s="187"/>
      <c r="K67" s="187"/>
      <c r="L67" s="187"/>
      <c r="M67" s="187"/>
      <c r="N67" s="156"/>
      <c r="O67" s="187"/>
      <c r="P67" s="187"/>
    </row>
    <row r="68" spans="1:16" ht="16.149999999999999">
      <c r="A68" s="177" t="s">
        <v>473</v>
      </c>
      <c r="B68" s="176"/>
      <c r="C68" s="176"/>
      <c r="D68" s="176"/>
      <c r="E68" s="176"/>
      <c r="F68" s="176"/>
      <c r="G68" s="176"/>
      <c r="H68" s="176"/>
      <c r="I68" s="176"/>
      <c r="J68" s="176"/>
      <c r="K68" s="176"/>
      <c r="L68" s="176"/>
      <c r="M68" s="176"/>
      <c r="N68" s="160"/>
      <c r="O68" s="175"/>
      <c r="P68" s="174"/>
    </row>
    <row r="69" spans="1:16" ht="159" customHeight="1">
      <c r="A69" s="189" t="s">
        <v>473</v>
      </c>
      <c r="B69" s="181">
        <v>2</v>
      </c>
      <c r="C69" s="181">
        <v>0</v>
      </c>
      <c r="D69" s="181">
        <v>27</v>
      </c>
      <c r="E69" s="181">
        <v>0</v>
      </c>
      <c r="F69" s="181">
        <v>0</v>
      </c>
      <c r="G69" s="180">
        <v>29</v>
      </c>
      <c r="H69" s="149">
        <v>6.7089999999999996</v>
      </c>
      <c r="I69" s="149">
        <v>0</v>
      </c>
      <c r="J69" s="149">
        <v>34.6</v>
      </c>
      <c r="K69" s="149">
        <v>0</v>
      </c>
      <c r="L69" s="149">
        <v>0</v>
      </c>
      <c r="M69" s="180">
        <v>41.308999999999997</v>
      </c>
      <c r="N69" s="147">
        <v>0.4244482758620689</v>
      </c>
      <c r="O69" s="189" t="s">
        <v>474</v>
      </c>
      <c r="P69" s="188" t="s">
        <v>475</v>
      </c>
    </row>
    <row r="70" spans="1:16" ht="16.149999999999999">
      <c r="A70" s="177" t="s">
        <v>476</v>
      </c>
      <c r="B70" s="176">
        <v>2</v>
      </c>
      <c r="C70" s="176">
        <v>0</v>
      </c>
      <c r="D70" s="176">
        <v>27</v>
      </c>
      <c r="E70" s="176">
        <v>0</v>
      </c>
      <c r="F70" s="176">
        <v>0</v>
      </c>
      <c r="G70" s="176">
        <v>29</v>
      </c>
      <c r="H70" s="176">
        <v>6.7089999999999996</v>
      </c>
      <c r="I70" s="176">
        <v>0</v>
      </c>
      <c r="J70" s="176">
        <v>34.6</v>
      </c>
      <c r="K70" s="176">
        <v>0</v>
      </c>
      <c r="L70" s="176">
        <v>0</v>
      </c>
      <c r="M70" s="176">
        <v>41.308999999999997</v>
      </c>
      <c r="N70" s="160">
        <v>0.4244482758620689</v>
      </c>
      <c r="O70" s="218"/>
      <c r="P70" s="218"/>
    </row>
    <row r="71" spans="1:16" ht="16.149999999999999">
      <c r="A71" s="217"/>
      <c r="B71" s="216"/>
      <c r="C71" s="216"/>
      <c r="D71" s="216"/>
      <c r="E71" s="216"/>
      <c r="F71" s="216"/>
      <c r="G71" s="216"/>
      <c r="H71" s="216"/>
      <c r="I71" s="216"/>
      <c r="J71" s="216"/>
      <c r="K71" s="216"/>
      <c r="L71" s="216"/>
      <c r="M71" s="216"/>
      <c r="N71" s="215"/>
      <c r="O71" s="138"/>
      <c r="P71" s="138"/>
    </row>
    <row r="72" spans="1:16" ht="32.450000000000003">
      <c r="A72" s="193" t="s">
        <v>477</v>
      </c>
      <c r="B72" s="213"/>
      <c r="C72" s="213"/>
      <c r="D72" s="213"/>
      <c r="E72" s="213"/>
      <c r="F72" s="213"/>
      <c r="G72" s="213"/>
      <c r="H72" s="213"/>
      <c r="I72" s="213"/>
      <c r="J72" s="213"/>
      <c r="K72" s="213"/>
      <c r="L72" s="213"/>
      <c r="M72" s="213"/>
      <c r="N72" s="212"/>
      <c r="O72" s="182"/>
      <c r="P72" s="182"/>
    </row>
    <row r="73" spans="1:16" ht="16.149999999999999">
      <c r="A73" s="209" t="s">
        <v>4</v>
      </c>
      <c r="B73" s="208"/>
      <c r="C73" s="208"/>
      <c r="D73" s="208"/>
      <c r="E73" s="208"/>
      <c r="F73" s="208"/>
      <c r="G73" s="208"/>
      <c r="H73" s="208"/>
      <c r="I73" s="208"/>
      <c r="J73" s="208"/>
      <c r="K73" s="208"/>
      <c r="L73" s="208"/>
      <c r="M73" s="208"/>
      <c r="N73" s="207"/>
      <c r="O73" s="206"/>
      <c r="P73" s="206"/>
    </row>
    <row r="74" spans="1:16" ht="81">
      <c r="A74" s="189" t="s">
        <v>4</v>
      </c>
      <c r="B74" s="181">
        <v>28.327999999999999</v>
      </c>
      <c r="C74" s="181">
        <v>0</v>
      </c>
      <c r="D74" s="181">
        <v>2.7</v>
      </c>
      <c r="E74" s="181">
        <v>0</v>
      </c>
      <c r="F74" s="181">
        <v>0</v>
      </c>
      <c r="G74" s="180">
        <v>31.027999999999999</v>
      </c>
      <c r="H74" s="149">
        <v>27.834</v>
      </c>
      <c r="I74" s="149">
        <v>0</v>
      </c>
      <c r="J74" s="149">
        <v>0.16500000000000001</v>
      </c>
      <c r="K74" s="149">
        <v>0</v>
      </c>
      <c r="L74" s="149">
        <v>0</v>
      </c>
      <c r="M74" s="180">
        <v>27.998999999999999</v>
      </c>
      <c r="N74" s="147">
        <v>-9.7621503158437539E-2</v>
      </c>
      <c r="O74" s="189" t="s">
        <v>478</v>
      </c>
      <c r="P74" s="188" t="s">
        <v>238</v>
      </c>
    </row>
    <row r="75" spans="1:16" ht="16.149999999999999">
      <c r="A75" s="189" t="s">
        <v>479</v>
      </c>
      <c r="B75" s="181">
        <v>9.0399999999999991</v>
      </c>
      <c r="C75" s="181">
        <v>0</v>
      </c>
      <c r="D75" s="181">
        <v>0</v>
      </c>
      <c r="E75" s="181">
        <v>0</v>
      </c>
      <c r="F75" s="181">
        <v>0</v>
      </c>
      <c r="G75" s="180">
        <v>9.0399999999999991</v>
      </c>
      <c r="H75" s="149">
        <v>9.0399999999999991</v>
      </c>
      <c r="I75" s="149">
        <v>0</v>
      </c>
      <c r="J75" s="149">
        <v>0</v>
      </c>
      <c r="K75" s="149">
        <v>0</v>
      </c>
      <c r="L75" s="149">
        <v>0</v>
      </c>
      <c r="M75" s="180">
        <v>9.0399999999999991</v>
      </c>
      <c r="N75" s="147">
        <v>0</v>
      </c>
      <c r="O75" s="189" t="s">
        <v>480</v>
      </c>
      <c r="P75" s="188" t="s">
        <v>47</v>
      </c>
    </row>
    <row r="76" spans="1:16" ht="16.149999999999999" collapsed="1">
      <c r="A76" s="203" t="s">
        <v>481</v>
      </c>
      <c r="B76" s="202">
        <v>37.367999999999995</v>
      </c>
      <c r="C76" s="202">
        <v>0</v>
      </c>
      <c r="D76" s="202">
        <v>2.7</v>
      </c>
      <c r="E76" s="202">
        <v>0</v>
      </c>
      <c r="F76" s="202">
        <v>0</v>
      </c>
      <c r="G76" s="202">
        <v>40.067999999999998</v>
      </c>
      <c r="H76" s="202">
        <v>36.873999999999995</v>
      </c>
      <c r="I76" s="202">
        <v>0</v>
      </c>
      <c r="J76" s="202">
        <v>0.16500000000000001</v>
      </c>
      <c r="K76" s="202">
        <v>0</v>
      </c>
      <c r="L76" s="202">
        <v>0</v>
      </c>
      <c r="M76" s="202">
        <v>37.039000000000001</v>
      </c>
      <c r="N76" s="201">
        <v>-7.5596485973844371E-2</v>
      </c>
      <c r="O76" s="200"/>
      <c r="P76" s="199"/>
    </row>
    <row r="77" spans="1:16" ht="16.149999999999999">
      <c r="A77" s="188"/>
      <c r="B77" s="198"/>
      <c r="C77" s="198"/>
      <c r="D77" s="198"/>
      <c r="E77" s="198"/>
      <c r="F77" s="198"/>
      <c r="G77" s="196"/>
      <c r="H77" s="197"/>
      <c r="I77" s="197"/>
      <c r="J77" s="197"/>
      <c r="K77" s="197"/>
      <c r="L77" s="197"/>
      <c r="M77" s="196"/>
      <c r="N77" s="195"/>
      <c r="O77" s="194"/>
      <c r="P77" s="194"/>
    </row>
    <row r="78" spans="1:16" ht="16.149999999999999">
      <c r="A78" s="209" t="s">
        <v>482</v>
      </c>
      <c r="B78" s="208"/>
      <c r="C78" s="208"/>
      <c r="D78" s="208"/>
      <c r="E78" s="208"/>
      <c r="F78" s="208"/>
      <c r="G78" s="208"/>
      <c r="H78" s="208"/>
      <c r="I78" s="208"/>
      <c r="J78" s="208"/>
      <c r="K78" s="208"/>
      <c r="L78" s="208"/>
      <c r="M78" s="208"/>
      <c r="N78" s="207"/>
      <c r="O78" s="206"/>
      <c r="P78" s="206"/>
    </row>
    <row r="79" spans="1:16" ht="64.900000000000006">
      <c r="A79" s="189" t="s">
        <v>482</v>
      </c>
      <c r="B79" s="181">
        <v>5.6749999999999998</v>
      </c>
      <c r="C79" s="181">
        <v>0</v>
      </c>
      <c r="D79" s="181">
        <v>0</v>
      </c>
      <c r="E79" s="181">
        <v>0</v>
      </c>
      <c r="F79" s="181">
        <v>0</v>
      </c>
      <c r="G79" s="180">
        <v>5.6749999999999998</v>
      </c>
      <c r="H79" s="149">
        <v>5.9799999999999995</v>
      </c>
      <c r="I79" s="149">
        <v>0</v>
      </c>
      <c r="J79" s="149">
        <v>0</v>
      </c>
      <c r="K79" s="149">
        <v>0</v>
      </c>
      <c r="L79" s="149">
        <v>0</v>
      </c>
      <c r="M79" s="180">
        <v>5.9799999999999995</v>
      </c>
      <c r="N79" s="147">
        <v>5.3744493392070436E-2</v>
      </c>
      <c r="O79" s="189" t="s">
        <v>483</v>
      </c>
      <c r="P79" s="188" t="s">
        <v>377</v>
      </c>
    </row>
    <row r="80" spans="1:16" ht="16.149999999999999" collapsed="1">
      <c r="A80" s="203" t="s">
        <v>484</v>
      </c>
      <c r="B80" s="202">
        <v>5.6749999999999998</v>
      </c>
      <c r="C80" s="202">
        <v>0</v>
      </c>
      <c r="D80" s="202">
        <v>0</v>
      </c>
      <c r="E80" s="202">
        <v>0</v>
      </c>
      <c r="F80" s="202">
        <v>0</v>
      </c>
      <c r="G80" s="202">
        <v>5.6749999999999998</v>
      </c>
      <c r="H80" s="202">
        <v>5.9799999999999995</v>
      </c>
      <c r="I80" s="202">
        <v>0</v>
      </c>
      <c r="J80" s="202">
        <v>0</v>
      </c>
      <c r="K80" s="202">
        <v>0</v>
      </c>
      <c r="L80" s="202">
        <v>0</v>
      </c>
      <c r="M80" s="202">
        <v>5.9799999999999995</v>
      </c>
      <c r="N80" s="201">
        <v>5.3744493392070436E-2</v>
      </c>
      <c r="O80" s="200"/>
      <c r="P80" s="199"/>
    </row>
    <row r="81" spans="1:16" ht="16.149999999999999">
      <c r="A81" s="188"/>
      <c r="B81" s="198"/>
      <c r="C81" s="198"/>
      <c r="D81" s="198"/>
      <c r="E81" s="198"/>
      <c r="F81" s="198"/>
      <c r="G81" s="196"/>
      <c r="H81" s="197"/>
      <c r="I81" s="197"/>
      <c r="J81" s="197"/>
      <c r="K81" s="197"/>
      <c r="L81" s="197"/>
      <c r="M81" s="196"/>
      <c r="N81" s="195"/>
      <c r="O81" s="194"/>
      <c r="P81" s="194"/>
    </row>
    <row r="82" spans="1:16" ht="32.450000000000003">
      <c r="A82" s="177" t="s">
        <v>485</v>
      </c>
      <c r="B82" s="176">
        <v>43.042999999999992</v>
      </c>
      <c r="C82" s="176">
        <v>0</v>
      </c>
      <c r="D82" s="176">
        <v>2.7</v>
      </c>
      <c r="E82" s="176">
        <v>0</v>
      </c>
      <c r="F82" s="176">
        <v>0</v>
      </c>
      <c r="G82" s="176">
        <v>45.742999999999995</v>
      </c>
      <c r="H82" s="176">
        <v>42.853999999999992</v>
      </c>
      <c r="I82" s="176">
        <v>0</v>
      </c>
      <c r="J82" s="176">
        <v>0.16500000000000001</v>
      </c>
      <c r="K82" s="176">
        <v>0</v>
      </c>
      <c r="L82" s="176">
        <v>0</v>
      </c>
      <c r="M82" s="176">
        <v>43.018999999999998</v>
      </c>
      <c r="N82" s="160">
        <v>-5.955009509651743E-2</v>
      </c>
      <c r="O82" s="175"/>
      <c r="P82" s="174"/>
    </row>
    <row r="83" spans="1:16" ht="16.149999999999999">
      <c r="A83" s="186"/>
      <c r="B83" s="187"/>
      <c r="C83" s="187"/>
      <c r="D83" s="187"/>
      <c r="E83" s="187"/>
      <c r="F83" s="187"/>
      <c r="G83" s="187"/>
      <c r="H83" s="187"/>
      <c r="I83" s="187"/>
      <c r="J83" s="187"/>
      <c r="K83" s="187"/>
      <c r="L83" s="187"/>
      <c r="M83" s="187"/>
      <c r="N83" s="156"/>
      <c r="O83" s="187"/>
      <c r="P83" s="187"/>
    </row>
    <row r="84" spans="1:16" ht="32.450000000000003">
      <c r="A84" s="193" t="s">
        <v>486</v>
      </c>
      <c r="B84" s="192"/>
      <c r="C84" s="192"/>
      <c r="D84" s="192"/>
      <c r="E84" s="192"/>
      <c r="F84" s="192"/>
      <c r="G84" s="192"/>
      <c r="H84" s="192"/>
      <c r="I84" s="192"/>
      <c r="J84" s="192"/>
      <c r="K84" s="192"/>
      <c r="L84" s="192"/>
      <c r="M84" s="192"/>
      <c r="N84" s="191"/>
      <c r="O84" s="182"/>
      <c r="P84" s="182"/>
    </row>
    <row r="85" spans="1:16" ht="32.450000000000003">
      <c r="A85" s="190" t="s">
        <v>486</v>
      </c>
      <c r="B85" s="181">
        <v>3.3</v>
      </c>
      <c r="C85" s="181">
        <v>0</v>
      </c>
      <c r="D85" s="181">
        <v>0</v>
      </c>
      <c r="E85" s="181">
        <v>0</v>
      </c>
      <c r="F85" s="181">
        <v>0</v>
      </c>
      <c r="G85" s="180">
        <v>3.3</v>
      </c>
      <c r="H85" s="149">
        <v>3.6389999999999998</v>
      </c>
      <c r="I85" s="149">
        <v>0</v>
      </c>
      <c r="J85" s="149">
        <v>0</v>
      </c>
      <c r="K85" s="149">
        <v>0</v>
      </c>
      <c r="L85" s="149">
        <v>0</v>
      </c>
      <c r="M85" s="180">
        <v>3.6389999999999998</v>
      </c>
      <c r="N85" s="147">
        <v>0.10272727272727272</v>
      </c>
      <c r="O85" s="189" t="s">
        <v>487</v>
      </c>
      <c r="P85" s="188" t="s">
        <v>238</v>
      </c>
    </row>
    <row r="86" spans="1:16" ht="32.450000000000003">
      <c r="A86" s="177" t="s">
        <v>488</v>
      </c>
      <c r="B86" s="176">
        <v>3.3</v>
      </c>
      <c r="C86" s="176">
        <v>0</v>
      </c>
      <c r="D86" s="176">
        <v>0</v>
      </c>
      <c r="E86" s="176">
        <v>0</v>
      </c>
      <c r="F86" s="176">
        <v>0</v>
      </c>
      <c r="G86" s="176">
        <v>3.3</v>
      </c>
      <c r="H86" s="176">
        <v>3.6389999999999998</v>
      </c>
      <c r="I86" s="176">
        <v>0</v>
      </c>
      <c r="J86" s="176">
        <v>0</v>
      </c>
      <c r="K86" s="176">
        <v>0</v>
      </c>
      <c r="L86" s="176">
        <v>0</v>
      </c>
      <c r="M86" s="176">
        <v>3.6389999999999998</v>
      </c>
      <c r="N86" s="160">
        <v>0.10272727272727272</v>
      </c>
      <c r="O86" s="175"/>
      <c r="P86" s="174"/>
    </row>
    <row r="87" spans="1:16" ht="16.149999999999999">
      <c r="A87" s="186"/>
      <c r="B87" s="187"/>
      <c r="C87" s="187"/>
      <c r="D87" s="187"/>
      <c r="E87" s="187"/>
      <c r="F87" s="187"/>
      <c r="G87" s="187"/>
      <c r="H87" s="187"/>
      <c r="I87" s="187"/>
      <c r="J87" s="187"/>
      <c r="K87" s="187"/>
      <c r="L87" s="187"/>
      <c r="M87" s="187"/>
      <c r="N87" s="156"/>
      <c r="O87" s="186"/>
      <c r="P87" s="186"/>
    </row>
    <row r="88" spans="1:16" ht="16.149999999999999">
      <c r="A88" s="185" t="s">
        <v>489</v>
      </c>
      <c r="B88" s="184"/>
      <c r="C88" s="184"/>
      <c r="D88" s="184"/>
      <c r="E88" s="184"/>
      <c r="F88" s="184"/>
      <c r="G88" s="184"/>
      <c r="H88" s="184"/>
      <c r="I88" s="184"/>
      <c r="J88" s="184"/>
      <c r="K88" s="184"/>
      <c r="L88" s="184"/>
      <c r="M88" s="184"/>
      <c r="N88" s="183"/>
      <c r="O88" s="182"/>
      <c r="P88" s="182"/>
    </row>
    <row r="89" spans="1:16" ht="32.450000000000003">
      <c r="A89" s="179" t="s">
        <v>489</v>
      </c>
      <c r="B89" s="181">
        <v>5.15</v>
      </c>
      <c r="C89" s="181">
        <v>0.28799999999999998</v>
      </c>
      <c r="D89" s="181">
        <v>1.173</v>
      </c>
      <c r="E89" s="181">
        <v>0</v>
      </c>
      <c r="F89" s="181">
        <v>0</v>
      </c>
      <c r="G89" s="180">
        <v>6.6110000000000007</v>
      </c>
      <c r="H89" s="149">
        <v>5.2069999999999999</v>
      </c>
      <c r="I89" s="149">
        <v>8.1000000000000003E-2</v>
      </c>
      <c r="J89" s="149">
        <v>0.1</v>
      </c>
      <c r="K89" s="149">
        <v>0</v>
      </c>
      <c r="L89" s="149">
        <v>0.19400000000000001</v>
      </c>
      <c r="M89" s="180">
        <v>5.5819999999999999</v>
      </c>
      <c r="N89" s="147">
        <v>-0.15564967478445027</v>
      </c>
      <c r="O89" s="179" t="s">
        <v>490</v>
      </c>
      <c r="P89" s="178" t="s">
        <v>491</v>
      </c>
    </row>
    <row r="90" spans="1:16" ht="32.450000000000003">
      <c r="A90" s="177" t="s">
        <v>492</v>
      </c>
      <c r="B90" s="176">
        <v>5.15</v>
      </c>
      <c r="C90" s="176">
        <v>0.28799999999999998</v>
      </c>
      <c r="D90" s="176">
        <v>1.173</v>
      </c>
      <c r="E90" s="176">
        <v>0</v>
      </c>
      <c r="F90" s="176">
        <v>0</v>
      </c>
      <c r="G90" s="176">
        <v>6.6110000000000007</v>
      </c>
      <c r="H90" s="176">
        <v>5.2069999999999999</v>
      </c>
      <c r="I90" s="176">
        <v>8.1000000000000003E-2</v>
      </c>
      <c r="J90" s="176">
        <v>0.1</v>
      </c>
      <c r="K90" s="176">
        <v>0</v>
      </c>
      <c r="L90" s="176">
        <v>0.19400000000000001</v>
      </c>
      <c r="M90" s="176">
        <v>5.5819999999999999</v>
      </c>
      <c r="N90" s="160">
        <v>-0.15564967478445027</v>
      </c>
      <c r="O90" s="175"/>
      <c r="P90" s="174"/>
    </row>
    <row r="91" spans="1:16" ht="16.149999999999999">
      <c r="A91" s="186"/>
      <c r="B91" s="187"/>
      <c r="C91" s="187"/>
      <c r="D91" s="187"/>
      <c r="E91" s="187"/>
      <c r="F91" s="187"/>
      <c r="G91" s="187"/>
      <c r="H91" s="187"/>
      <c r="I91" s="187"/>
      <c r="J91" s="187"/>
      <c r="K91" s="187"/>
      <c r="L91" s="187"/>
      <c r="M91" s="187"/>
      <c r="N91" s="156"/>
      <c r="O91" s="186"/>
      <c r="P91" s="186"/>
    </row>
    <row r="92" spans="1:16" ht="16.149999999999999">
      <c r="A92" s="185" t="s">
        <v>493</v>
      </c>
      <c r="B92" s="184"/>
      <c r="C92" s="184"/>
      <c r="D92" s="184"/>
      <c r="E92" s="184"/>
      <c r="F92" s="184"/>
      <c r="G92" s="184"/>
      <c r="H92" s="184"/>
      <c r="I92" s="184"/>
      <c r="J92" s="184"/>
      <c r="K92" s="184"/>
      <c r="L92" s="184"/>
      <c r="M92" s="184"/>
      <c r="N92" s="183"/>
      <c r="O92" s="182"/>
      <c r="P92" s="182"/>
    </row>
    <row r="93" spans="1:16" ht="105.6" customHeight="1">
      <c r="A93" s="179" t="s">
        <v>493</v>
      </c>
      <c r="B93" s="181">
        <v>70</v>
      </c>
      <c r="C93" s="181">
        <v>0</v>
      </c>
      <c r="D93" s="181">
        <v>0</v>
      </c>
      <c r="E93" s="181">
        <v>0</v>
      </c>
      <c r="F93" s="181">
        <v>0</v>
      </c>
      <c r="G93" s="180">
        <v>70</v>
      </c>
      <c r="H93" s="149">
        <v>39.818999999999996</v>
      </c>
      <c r="I93" s="149">
        <v>0</v>
      </c>
      <c r="J93" s="149">
        <v>5</v>
      </c>
      <c r="K93" s="149">
        <v>0</v>
      </c>
      <c r="L93" s="149">
        <v>0</v>
      </c>
      <c r="M93" s="180">
        <v>44.818999999999996</v>
      </c>
      <c r="N93" s="147">
        <v>-0.35972857142857151</v>
      </c>
      <c r="O93" s="179" t="s">
        <v>494</v>
      </c>
      <c r="P93" s="178" t="s">
        <v>495</v>
      </c>
    </row>
    <row r="94" spans="1:16" ht="16.149999999999999">
      <c r="A94" s="177" t="s">
        <v>496</v>
      </c>
      <c r="B94" s="176">
        <v>70</v>
      </c>
      <c r="C94" s="176">
        <v>0</v>
      </c>
      <c r="D94" s="176">
        <v>0</v>
      </c>
      <c r="E94" s="176">
        <v>0</v>
      </c>
      <c r="F94" s="176">
        <v>0</v>
      </c>
      <c r="G94" s="176">
        <v>70</v>
      </c>
      <c r="H94" s="176">
        <v>39.818999999999996</v>
      </c>
      <c r="I94" s="176">
        <v>0</v>
      </c>
      <c r="J94" s="176">
        <v>5</v>
      </c>
      <c r="K94" s="176">
        <v>0</v>
      </c>
      <c r="L94" s="176">
        <v>0</v>
      </c>
      <c r="M94" s="176">
        <v>44.818999999999996</v>
      </c>
      <c r="N94" s="160">
        <v>-0.35972857142857151</v>
      </c>
      <c r="O94" s="175"/>
      <c r="P94" s="174"/>
    </row>
    <row r="95" spans="1:16" ht="16.149999999999999">
      <c r="A95" s="173"/>
      <c r="B95" s="172"/>
      <c r="C95" s="172"/>
      <c r="D95" s="172"/>
      <c r="E95" s="172"/>
      <c r="F95" s="172"/>
      <c r="G95" s="172"/>
      <c r="H95" s="172"/>
      <c r="I95" s="172"/>
      <c r="J95" s="172"/>
      <c r="K95" s="172"/>
      <c r="L95" s="172"/>
      <c r="M95" s="172"/>
      <c r="N95" s="171"/>
      <c r="O95" s="138"/>
      <c r="P95" s="138"/>
    </row>
    <row r="96" spans="1:16" ht="16.149999999999999">
      <c r="A96" s="170" t="s">
        <v>372</v>
      </c>
      <c r="B96" s="169">
        <v>0</v>
      </c>
      <c r="C96" s="169">
        <v>0</v>
      </c>
      <c r="D96" s="169">
        <v>0</v>
      </c>
      <c r="E96" s="169">
        <v>0</v>
      </c>
      <c r="F96" s="169">
        <v>0</v>
      </c>
      <c r="G96" s="168">
        <v>0</v>
      </c>
      <c r="H96" s="168">
        <v>0</v>
      </c>
      <c r="I96" s="168">
        <v>0</v>
      </c>
      <c r="J96" s="168">
        <v>0</v>
      </c>
      <c r="K96" s="168">
        <v>0</v>
      </c>
      <c r="L96" s="168">
        <v>0</v>
      </c>
      <c r="M96" s="168">
        <v>0</v>
      </c>
      <c r="N96" s="167"/>
      <c r="O96" s="138"/>
      <c r="P96" s="138"/>
    </row>
    <row r="97" spans="1:16" s="161" customFormat="1" ht="18.600000000000001">
      <c r="A97" s="166"/>
      <c r="B97" s="165"/>
      <c r="C97" s="165"/>
      <c r="D97" s="165"/>
      <c r="E97" s="165"/>
      <c r="F97" s="165"/>
      <c r="G97" s="165"/>
      <c r="H97" s="165"/>
      <c r="I97" s="165"/>
      <c r="J97" s="165"/>
      <c r="K97" s="165"/>
      <c r="L97" s="165"/>
      <c r="M97" s="165"/>
      <c r="N97" s="164"/>
      <c r="O97" s="163"/>
      <c r="P97" s="163"/>
    </row>
    <row r="98" spans="1:16" ht="16.149999999999999">
      <c r="A98" s="141" t="s">
        <v>481</v>
      </c>
      <c r="B98" s="140">
        <v>5867.2610000000022</v>
      </c>
      <c r="C98" s="140">
        <v>70.039000000000001</v>
      </c>
      <c r="D98" s="140">
        <v>587.11199999999997</v>
      </c>
      <c r="E98" s="140">
        <v>84.6</v>
      </c>
      <c r="F98" s="140">
        <v>0.16900000000000001</v>
      </c>
      <c r="G98" s="140">
        <v>6609.1810000000014</v>
      </c>
      <c r="H98" s="140">
        <v>6901.0690000000004</v>
      </c>
      <c r="I98" s="140">
        <v>84.841000000000008</v>
      </c>
      <c r="J98" s="140">
        <v>525.51699999999994</v>
      </c>
      <c r="K98" s="140">
        <v>-30.799999999999997</v>
      </c>
      <c r="L98" s="140">
        <v>0.36299999999999999</v>
      </c>
      <c r="M98" s="140">
        <v>7480.9900000000007</v>
      </c>
      <c r="N98" s="160">
        <v>0.13190877962034919</v>
      </c>
      <c r="O98" s="138"/>
      <c r="P98" s="138"/>
    </row>
    <row r="99" spans="1:16" ht="16.149999999999999">
      <c r="A99" s="159"/>
      <c r="B99" s="138"/>
      <c r="C99" s="138"/>
      <c r="D99" s="138"/>
      <c r="E99" s="138"/>
      <c r="F99" s="138"/>
      <c r="G99" s="138"/>
      <c r="H99" s="138"/>
      <c r="I99" s="138"/>
      <c r="J99" s="138"/>
      <c r="K99" s="138"/>
      <c r="L99" s="138"/>
      <c r="M99" s="138"/>
      <c r="N99" s="158"/>
      <c r="O99" s="138"/>
      <c r="P99" s="138"/>
    </row>
    <row r="100" spans="1:16" ht="16.149999999999999">
      <c r="A100" s="155"/>
      <c r="B100" s="157"/>
      <c r="C100" s="157"/>
      <c r="D100" s="157"/>
      <c r="E100" s="157"/>
      <c r="F100" s="157"/>
      <c r="G100" s="157"/>
      <c r="H100" s="157"/>
      <c r="I100" s="157"/>
      <c r="J100" s="157"/>
      <c r="K100" s="157"/>
      <c r="L100" s="157"/>
      <c r="M100" s="157"/>
      <c r="N100" s="156"/>
      <c r="O100" s="155"/>
      <c r="P100" s="155"/>
    </row>
    <row r="101" spans="1:16" ht="16.149999999999999">
      <c r="A101" s="141" t="s">
        <v>374</v>
      </c>
      <c r="B101" s="140"/>
      <c r="C101" s="140"/>
      <c r="D101" s="140"/>
      <c r="E101" s="140"/>
      <c r="F101" s="140"/>
      <c r="G101" s="140"/>
      <c r="H101" s="140"/>
      <c r="I101" s="140"/>
      <c r="J101" s="140"/>
      <c r="K101" s="140"/>
      <c r="L101" s="140"/>
      <c r="M101" s="140"/>
      <c r="N101" s="139"/>
      <c r="O101" s="138"/>
      <c r="P101" s="138"/>
    </row>
    <row r="102" spans="1:16" ht="16.149999999999999">
      <c r="A102" s="154"/>
      <c r="B102" s="153"/>
      <c r="C102" s="153"/>
      <c r="D102" s="153"/>
      <c r="E102" s="153"/>
      <c r="F102" s="153"/>
      <c r="G102" s="153"/>
      <c r="H102" s="153"/>
      <c r="I102" s="153"/>
      <c r="J102" s="153"/>
      <c r="K102" s="153"/>
      <c r="L102" s="153"/>
      <c r="M102" s="153"/>
      <c r="N102" s="152"/>
      <c r="O102" s="138"/>
      <c r="P102" s="138"/>
    </row>
    <row r="103" spans="1:16" ht="64.900000000000006">
      <c r="A103" s="151" t="s">
        <v>497</v>
      </c>
      <c r="B103" s="149">
        <v>0</v>
      </c>
      <c r="C103" s="149">
        <v>0</v>
      </c>
      <c r="D103" s="149">
        <v>92.245000000000005</v>
      </c>
      <c r="E103" s="149">
        <v>0</v>
      </c>
      <c r="F103" s="149">
        <v>0</v>
      </c>
      <c r="G103" s="148">
        <v>92.245000000000005</v>
      </c>
      <c r="H103" s="149">
        <v>0</v>
      </c>
      <c r="I103" s="149">
        <v>0</v>
      </c>
      <c r="J103" s="149">
        <v>92.245000000000005</v>
      </c>
      <c r="K103" s="149">
        <v>0</v>
      </c>
      <c r="L103" s="149">
        <v>0</v>
      </c>
      <c r="M103" s="148">
        <v>92.245000000000005</v>
      </c>
      <c r="N103" s="147">
        <v>0</v>
      </c>
      <c r="O103" s="146" t="s">
        <v>498</v>
      </c>
      <c r="P103" s="145" t="s">
        <v>377</v>
      </c>
    </row>
    <row r="104" spans="1:16" ht="16.149999999999999">
      <c r="A104" s="144"/>
      <c r="B104" s="143"/>
      <c r="C104" s="143"/>
      <c r="D104" s="143"/>
      <c r="E104" s="143"/>
      <c r="F104" s="143"/>
      <c r="G104" s="143"/>
      <c r="H104" s="143"/>
      <c r="I104" s="143"/>
      <c r="J104" s="143"/>
      <c r="K104" s="143"/>
      <c r="L104" s="143"/>
      <c r="M104" s="143"/>
      <c r="N104" s="142"/>
      <c r="O104" s="138"/>
      <c r="P104" s="138"/>
    </row>
    <row r="105" spans="1:16" ht="16.149999999999999">
      <c r="A105" s="141" t="s">
        <v>374</v>
      </c>
      <c r="B105" s="140">
        <v>0</v>
      </c>
      <c r="C105" s="140">
        <v>0</v>
      </c>
      <c r="D105" s="140">
        <v>92.245000000000005</v>
      </c>
      <c r="E105" s="140">
        <v>0</v>
      </c>
      <c r="F105" s="140">
        <v>0</v>
      </c>
      <c r="G105" s="140">
        <v>92.245000000000005</v>
      </c>
      <c r="H105" s="140">
        <v>0</v>
      </c>
      <c r="I105" s="140">
        <v>0</v>
      </c>
      <c r="J105" s="140">
        <v>92.245000000000005</v>
      </c>
      <c r="K105" s="140">
        <v>0</v>
      </c>
      <c r="L105" s="140">
        <v>0</v>
      </c>
      <c r="M105" s="140">
        <v>92.245000000000005</v>
      </c>
      <c r="N105" s="139">
        <v>0</v>
      </c>
      <c r="O105" s="138"/>
      <c r="P105" s="138"/>
    </row>
  </sheetData>
  <protectedRanges>
    <protectedRange algorithmName="SHA-512" hashValue="g2HyvLsN07Nu6y8JA3usNp2VPgXtF20SfpIwOl9+XaJ33F47jQ3cPM/dshclv3u6MLMZbqz25Soe63alDgScAg==" saltValue="Lw38YPClH2LuoXlcNLzT3A==" spinCount="100000" sqref="H99:L1048576 B99:F1048576 B1:F63 H1:L63 B91:F97 H91:L97 B65:F89 H65:L89 B90:M90 B64:N64" name="Range1_3"/>
  </protectedRange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6590-9068-431D-A02B-DDDC8A986693}">
  <sheetPr>
    <tabColor theme="8" tint="-0.499984740745262"/>
  </sheetPr>
  <dimension ref="A1:Z122"/>
  <sheetViews>
    <sheetView showGridLines="0" zoomScale="55" zoomScaleNormal="55" workbookViewId="0">
      <pane xSplit="1" ySplit="4" topLeftCell="O47" activePane="bottomRight" state="frozen"/>
      <selection pane="bottomRight" activeCell="O15" sqref="O15"/>
      <selection pane="bottomLeft" activeCell="B18" sqref="B18:D21"/>
      <selection pane="topRight" activeCell="B18" sqref="B18:D21"/>
    </sheetView>
  </sheetViews>
  <sheetFormatPr defaultColWidth="9.28515625" defaultRowHeight="14.45" outlineLevelCol="1"/>
  <cols>
    <col min="1" max="1" width="40.7109375" style="3" customWidth="1"/>
    <col min="2" max="14" width="17.7109375" customWidth="1" outlineLevel="1"/>
    <col min="15" max="16" width="75.7109375" customWidth="1" outlineLevel="1"/>
    <col min="17" max="17" width="2.5703125" style="134" customWidth="1"/>
    <col min="18" max="24" width="15.28515625" hidden="1" customWidth="1" outlineLevel="1"/>
    <col min="25" max="25" width="15.28515625" style="25" hidden="1" customWidth="1" outlineLevel="1"/>
    <col min="26" max="26" width="2.7109375" customWidth="1" collapsed="1"/>
  </cols>
  <sheetData>
    <row r="1" spans="1:25" ht="28.15" customHeight="1" thickBot="1">
      <c r="R1" s="1027" t="s">
        <v>499</v>
      </c>
      <c r="S1" s="1028"/>
      <c r="T1" s="1028"/>
      <c r="U1" s="1028"/>
      <c r="V1" s="1028"/>
      <c r="W1" s="1028"/>
      <c r="X1" s="1028"/>
      <c r="Y1" s="1028"/>
    </row>
    <row r="2" spans="1:25" ht="28.15" customHeight="1">
      <c r="A2" s="574"/>
      <c r="B2" s="576"/>
      <c r="C2" s="577"/>
      <c r="D2" s="577"/>
      <c r="E2" s="577"/>
      <c r="F2" s="577"/>
      <c r="G2" s="575"/>
      <c r="H2" s="576"/>
      <c r="I2" s="577"/>
      <c r="J2" s="577"/>
      <c r="K2" s="577"/>
      <c r="L2" s="577"/>
      <c r="M2" s="575"/>
      <c r="N2" s="578"/>
      <c r="O2" s="579"/>
      <c r="P2" s="580"/>
      <c r="R2" s="1029" t="s">
        <v>500</v>
      </c>
      <c r="S2" s="1029"/>
      <c r="T2" s="1029"/>
      <c r="U2" s="1029"/>
      <c r="V2" s="1029"/>
      <c r="W2" s="1029"/>
      <c r="X2" s="1029"/>
      <c r="Y2" s="1029"/>
    </row>
    <row r="3" spans="1:25" ht="21.75" customHeight="1">
      <c r="A3" s="10" t="s">
        <v>5</v>
      </c>
      <c r="B3" s="11" t="s">
        <v>11</v>
      </c>
      <c r="C3" s="11" t="s">
        <v>12</v>
      </c>
      <c r="D3" s="11" t="s">
        <v>13</v>
      </c>
      <c r="E3" s="11" t="s">
        <v>14</v>
      </c>
      <c r="F3" s="11" t="s">
        <v>15</v>
      </c>
      <c r="G3" s="11" t="s">
        <v>16</v>
      </c>
      <c r="H3" s="11" t="s">
        <v>17</v>
      </c>
      <c r="I3" s="11" t="s">
        <v>18</v>
      </c>
      <c r="J3" s="11" t="s">
        <v>19</v>
      </c>
      <c r="K3" s="11" t="s">
        <v>20</v>
      </c>
      <c r="L3" s="11" t="s">
        <v>21</v>
      </c>
      <c r="M3" s="11" t="s">
        <v>22</v>
      </c>
      <c r="N3" s="12" t="s">
        <v>23</v>
      </c>
      <c r="O3" s="13" t="s">
        <v>24</v>
      </c>
      <c r="P3" s="276" t="s">
        <v>25</v>
      </c>
      <c r="R3" s="275" t="s">
        <v>501</v>
      </c>
      <c r="S3" s="274" t="s">
        <v>502</v>
      </c>
      <c r="T3" s="274" t="s">
        <v>503</v>
      </c>
      <c r="U3" s="274" t="s">
        <v>504</v>
      </c>
      <c r="V3" s="274" t="s">
        <v>505</v>
      </c>
      <c r="W3" s="274" t="s">
        <v>506</v>
      </c>
      <c r="X3" s="274" t="s">
        <v>507</v>
      </c>
      <c r="Y3" s="274" t="s">
        <v>508</v>
      </c>
    </row>
    <row r="4" spans="1:25" ht="22.9" thickBot="1">
      <c r="A4" s="273"/>
      <c r="B4" s="272"/>
      <c r="C4" s="272"/>
      <c r="D4" s="272"/>
      <c r="E4" s="272"/>
      <c r="F4" s="272"/>
      <c r="G4" s="272"/>
      <c r="H4" s="272"/>
      <c r="I4" s="272"/>
      <c r="J4" s="272"/>
      <c r="K4" s="272"/>
      <c r="L4" s="272"/>
      <c r="M4" s="272"/>
      <c r="N4" s="581"/>
      <c r="O4" s="270"/>
      <c r="P4" s="270"/>
    </row>
    <row r="5" spans="1:25" s="285" customFormat="1" ht="16.149999999999999">
      <c r="A5" s="305"/>
      <c r="B5" s="773"/>
      <c r="C5" s="773"/>
      <c r="D5" s="773"/>
      <c r="E5" s="773"/>
      <c r="F5" s="773"/>
      <c r="G5" s="774"/>
      <c r="H5" s="773"/>
      <c r="I5" s="773"/>
      <c r="J5" s="773"/>
      <c r="K5" s="773"/>
      <c r="L5" s="773"/>
      <c r="M5" s="774"/>
      <c r="N5" s="775"/>
      <c r="O5" s="377"/>
      <c r="P5" s="377"/>
      <c r="Q5" s="286"/>
      <c r="R5" s="776"/>
      <c r="S5" s="776"/>
      <c r="T5" s="776"/>
      <c r="U5" s="776"/>
      <c r="V5" s="776"/>
      <c r="W5" s="776"/>
      <c r="X5" s="776"/>
      <c r="Y5" s="777"/>
    </row>
    <row r="6" spans="1:25" ht="16.149999999999999">
      <c r="A6" s="308" t="s">
        <v>509</v>
      </c>
      <c r="B6" s="213"/>
      <c r="C6" s="213"/>
      <c r="D6" s="213"/>
      <c r="E6" s="213"/>
      <c r="F6" s="213"/>
      <c r="G6" s="213"/>
      <c r="H6" s="213"/>
      <c r="I6" s="213"/>
      <c r="J6" s="213"/>
      <c r="K6" s="213"/>
      <c r="L6" s="213"/>
      <c r="M6" s="213"/>
      <c r="N6" s="322"/>
      <c r="O6" s="323"/>
      <c r="P6" s="323"/>
      <c r="R6" s="211"/>
      <c r="S6" s="211"/>
      <c r="T6" s="211"/>
      <c r="U6" s="211"/>
      <c r="V6" s="211"/>
      <c r="W6" s="211"/>
      <c r="X6" s="211"/>
      <c r="Y6" s="210"/>
    </row>
    <row r="7" spans="1:25" ht="32.450000000000003">
      <c r="A7" s="778" t="s">
        <v>510</v>
      </c>
      <c r="B7" s="779">
        <v>0</v>
      </c>
      <c r="C7" s="779">
        <v>0</v>
      </c>
      <c r="D7" s="779">
        <v>155.815</v>
      </c>
      <c r="E7" s="779">
        <v>0</v>
      </c>
      <c r="F7" s="779">
        <v>0</v>
      </c>
      <c r="G7" s="780">
        <v>155.815</v>
      </c>
      <c r="H7" s="779">
        <v>0</v>
      </c>
      <c r="I7" s="779">
        <v>0</v>
      </c>
      <c r="J7" s="779">
        <v>146.9434</v>
      </c>
      <c r="K7" s="779">
        <v>0</v>
      </c>
      <c r="L7" s="779">
        <v>0</v>
      </c>
      <c r="M7" s="780">
        <v>146.9434</v>
      </c>
      <c r="N7" s="315">
        <v>-5.6936751917337873E-2</v>
      </c>
      <c r="O7" s="332" t="s">
        <v>511</v>
      </c>
      <c r="P7" s="333" t="s">
        <v>512</v>
      </c>
      <c r="R7" s="361" t="e">
        <f>#REF!*1000</f>
        <v>#REF!</v>
      </c>
      <c r="S7" s="361" t="e">
        <f>#REF!*1000</f>
        <v>#REF!</v>
      </c>
      <c r="T7" s="361" t="e">
        <f>#REF!*1000</f>
        <v>#REF!</v>
      </c>
      <c r="U7" s="361" t="e">
        <f>#REF!*1000</f>
        <v>#REF!</v>
      </c>
      <c r="V7" s="361" t="e">
        <f>#REF!*1000</f>
        <v>#REF!</v>
      </c>
      <c r="W7" s="361" t="e">
        <f>#REF!*1000</f>
        <v>#REF!</v>
      </c>
      <c r="X7" s="361" t="e">
        <f>#REF!*1000</f>
        <v>#REF!</v>
      </c>
      <c r="Y7" s="361" t="e">
        <f>#REF!*1000</f>
        <v>#REF!</v>
      </c>
    </row>
    <row r="8" spans="1:25" ht="32.450000000000003">
      <c r="A8" s="781" t="s">
        <v>513</v>
      </c>
      <c r="B8" s="782">
        <v>0</v>
      </c>
      <c r="C8" s="782">
        <v>0</v>
      </c>
      <c r="D8" s="782">
        <v>0</v>
      </c>
      <c r="E8" s="782">
        <v>0</v>
      </c>
      <c r="F8" s="782">
        <v>0</v>
      </c>
      <c r="G8" s="783">
        <v>0</v>
      </c>
      <c r="H8" s="782">
        <v>0</v>
      </c>
      <c r="I8" s="782">
        <v>0</v>
      </c>
      <c r="J8" s="782">
        <v>0</v>
      </c>
      <c r="K8" s="782">
        <v>0</v>
      </c>
      <c r="L8" s="782">
        <v>0</v>
      </c>
      <c r="M8" s="783">
        <v>0</v>
      </c>
      <c r="N8" s="315" t="s">
        <v>204</v>
      </c>
      <c r="O8" s="32" t="s">
        <v>514</v>
      </c>
      <c r="P8" s="233" t="s">
        <v>515</v>
      </c>
      <c r="R8" s="368" t="e">
        <f>#REF!*1000</f>
        <v>#REF!</v>
      </c>
      <c r="S8" s="368" t="e">
        <f>#REF!*1000</f>
        <v>#REF!</v>
      </c>
      <c r="T8" s="368" t="e">
        <f>#REF!*1000</f>
        <v>#REF!</v>
      </c>
      <c r="U8" s="368" t="e">
        <f>#REF!*1000</f>
        <v>#REF!</v>
      </c>
      <c r="V8" s="368" t="e">
        <f>#REF!*1000</f>
        <v>#REF!</v>
      </c>
      <c r="W8" s="368" t="e">
        <f>#REF!*1000</f>
        <v>#REF!</v>
      </c>
      <c r="X8" s="368" t="e">
        <f>#REF!*1000</f>
        <v>#REF!</v>
      </c>
      <c r="Y8" s="368" t="e">
        <f>#REF!*1000</f>
        <v>#REF!</v>
      </c>
    </row>
    <row r="9" spans="1:25" ht="87" customHeight="1">
      <c r="A9" s="781" t="s">
        <v>509</v>
      </c>
      <c r="B9" s="259">
        <v>360.947</v>
      </c>
      <c r="C9" s="782">
        <v>118.66500000000001</v>
      </c>
      <c r="D9" s="782">
        <v>602.9</v>
      </c>
      <c r="E9" s="782">
        <v>0</v>
      </c>
      <c r="F9" s="782">
        <v>0.56999999999999995</v>
      </c>
      <c r="G9" s="783">
        <v>1083.0819999999999</v>
      </c>
      <c r="H9" s="259">
        <v>337.25099999999998</v>
      </c>
      <c r="I9" s="782">
        <v>124.26399999999998</v>
      </c>
      <c r="J9" s="782">
        <v>503.64</v>
      </c>
      <c r="K9" s="782">
        <v>0</v>
      </c>
      <c r="L9" s="782">
        <v>0.54</v>
      </c>
      <c r="M9" s="783">
        <v>965.69499999999994</v>
      </c>
      <c r="N9" s="315">
        <v>-0.10838237548034217</v>
      </c>
      <c r="O9" s="32" t="s">
        <v>516</v>
      </c>
      <c r="P9" s="233" t="s">
        <v>517</v>
      </c>
      <c r="R9" s="368" t="e">
        <f>#REF!*1000</f>
        <v>#REF!</v>
      </c>
      <c r="S9" s="368" t="e">
        <f>#REF!*1000</f>
        <v>#REF!</v>
      </c>
      <c r="T9" s="368" t="e">
        <f>#REF!*1000</f>
        <v>#REF!</v>
      </c>
      <c r="U9" s="368" t="e">
        <f>#REF!*1000</f>
        <v>#REF!</v>
      </c>
      <c r="V9" s="368" t="e">
        <f>#REF!*1000</f>
        <v>#REF!</v>
      </c>
      <c r="W9" s="368" t="e">
        <f>#REF!*1000</f>
        <v>#REF!</v>
      </c>
      <c r="X9" s="368" t="e">
        <f>#REF!*1000</f>
        <v>#REF!</v>
      </c>
      <c r="Y9" s="368" t="e">
        <f>#REF!*1000</f>
        <v>#REF!</v>
      </c>
    </row>
    <row r="10" spans="1:25" ht="64.900000000000006">
      <c r="A10" s="781" t="s">
        <v>518</v>
      </c>
      <c r="B10" s="782">
        <v>0</v>
      </c>
      <c r="C10" s="782">
        <v>0</v>
      </c>
      <c r="D10" s="782">
        <v>442</v>
      </c>
      <c r="E10" s="782">
        <v>0</v>
      </c>
      <c r="F10" s="782">
        <v>0</v>
      </c>
      <c r="G10" s="783">
        <v>442</v>
      </c>
      <c r="H10" s="782">
        <v>0</v>
      </c>
      <c r="I10" s="782">
        <v>0</v>
      </c>
      <c r="J10" s="782">
        <v>488.36</v>
      </c>
      <c r="K10" s="782">
        <v>0</v>
      </c>
      <c r="L10" s="782">
        <v>0</v>
      </c>
      <c r="M10" s="783">
        <v>488.36</v>
      </c>
      <c r="N10" s="315">
        <v>0.10488687782805432</v>
      </c>
      <c r="O10" s="32" t="s">
        <v>519</v>
      </c>
      <c r="P10" s="233" t="s">
        <v>520</v>
      </c>
      <c r="R10" s="368" t="e">
        <f>#REF!*1000</f>
        <v>#REF!</v>
      </c>
      <c r="S10" s="368" t="e">
        <f>#REF!*1000</f>
        <v>#REF!</v>
      </c>
      <c r="T10" s="368" t="e">
        <f>#REF!*1000</f>
        <v>#REF!</v>
      </c>
      <c r="U10" s="368" t="e">
        <f>#REF!*1000</f>
        <v>#REF!</v>
      </c>
      <c r="V10" s="368" t="e">
        <f>#REF!*1000</f>
        <v>#REF!</v>
      </c>
      <c r="W10" s="368" t="e">
        <f>#REF!*1000</f>
        <v>#REF!</v>
      </c>
      <c r="X10" s="368" t="e">
        <f>#REF!*1000</f>
        <v>#REF!</v>
      </c>
      <c r="Y10" s="368" t="e">
        <f>#REF!*1000</f>
        <v>#REF!</v>
      </c>
    </row>
    <row r="11" spans="1:25" ht="16.149999999999999">
      <c r="A11" s="318" t="s">
        <v>521</v>
      </c>
      <c r="B11" s="319">
        <v>360.947</v>
      </c>
      <c r="C11" s="319">
        <v>118.66500000000001</v>
      </c>
      <c r="D11" s="319">
        <v>1200.7149999999999</v>
      </c>
      <c r="E11" s="319">
        <v>0</v>
      </c>
      <c r="F11" s="319">
        <v>0.56999999999999995</v>
      </c>
      <c r="G11" s="319">
        <v>1680.8969999999999</v>
      </c>
      <c r="H11" s="319">
        <v>337.25099999999998</v>
      </c>
      <c r="I11" s="319">
        <v>124.26399999999998</v>
      </c>
      <c r="J11" s="319">
        <v>1138.9434000000001</v>
      </c>
      <c r="K11" s="319">
        <v>0</v>
      </c>
      <c r="L11" s="319">
        <v>0.54</v>
      </c>
      <c r="M11" s="319">
        <v>1600.9983999999999</v>
      </c>
      <c r="N11" s="320">
        <v>-4.7533311083308487E-2</v>
      </c>
      <c r="O11" s="321"/>
      <c r="P11" s="344"/>
      <c r="R11" s="345"/>
      <c r="S11" s="345"/>
      <c r="T11" s="345"/>
      <c r="U11" s="345"/>
      <c r="V11" s="345"/>
      <c r="W11" s="345"/>
      <c r="X11" s="345"/>
      <c r="Y11" s="345"/>
    </row>
    <row r="12" spans="1:25" ht="16.149999999999999">
      <c r="A12" s="784"/>
      <c r="B12" s="785"/>
      <c r="C12" s="785"/>
      <c r="D12" s="785"/>
      <c r="E12" s="785"/>
      <c r="F12" s="785"/>
      <c r="G12" s="785"/>
      <c r="H12" s="785"/>
      <c r="I12" s="785"/>
      <c r="J12" s="785"/>
      <c r="K12" s="785"/>
      <c r="L12" s="785"/>
      <c r="M12" s="785"/>
      <c r="N12" s="786"/>
      <c r="O12" s="488"/>
      <c r="P12" s="488"/>
      <c r="R12" s="787"/>
      <c r="S12" s="787"/>
      <c r="T12" s="787"/>
      <c r="U12" s="787"/>
      <c r="V12" s="787"/>
      <c r="W12" s="787"/>
      <c r="X12" s="787"/>
      <c r="Y12" s="788"/>
    </row>
    <row r="13" spans="1:25" ht="32.450000000000003">
      <c r="A13" s="308" t="s">
        <v>522</v>
      </c>
      <c r="B13" s="213"/>
      <c r="C13" s="213"/>
      <c r="D13" s="213"/>
      <c r="E13" s="213"/>
      <c r="F13" s="213"/>
      <c r="G13" s="213"/>
      <c r="H13" s="213"/>
      <c r="I13" s="213"/>
      <c r="J13" s="213"/>
      <c r="K13" s="213"/>
      <c r="L13" s="213"/>
      <c r="M13" s="213"/>
      <c r="N13" s="443"/>
      <c r="O13" s="789"/>
      <c r="P13" s="789"/>
      <c r="R13" s="211"/>
      <c r="S13" s="211"/>
      <c r="T13" s="211"/>
      <c r="U13" s="211"/>
      <c r="V13" s="211"/>
      <c r="W13" s="211"/>
      <c r="X13" s="211"/>
      <c r="Y13" s="210"/>
    </row>
    <row r="14" spans="1:25" ht="48.6">
      <c r="A14" s="778" t="s">
        <v>523</v>
      </c>
      <c r="B14" s="790">
        <v>359.30099999999999</v>
      </c>
      <c r="C14" s="779">
        <v>0</v>
      </c>
      <c r="D14" s="779">
        <v>0</v>
      </c>
      <c r="E14" s="779">
        <v>0</v>
      </c>
      <c r="F14" s="779">
        <v>0</v>
      </c>
      <c r="G14" s="780">
        <v>359.30099999999999</v>
      </c>
      <c r="H14" s="790">
        <v>370.36399999999998</v>
      </c>
      <c r="I14" s="779">
        <v>0</v>
      </c>
      <c r="J14" s="779">
        <v>0</v>
      </c>
      <c r="K14" s="779">
        <v>0</v>
      </c>
      <c r="L14" s="779">
        <v>0</v>
      </c>
      <c r="M14" s="780">
        <v>370.36399999999998</v>
      </c>
      <c r="N14" s="315">
        <v>3.0790340132646411E-2</v>
      </c>
      <c r="O14" s="332" t="s">
        <v>524</v>
      </c>
      <c r="P14" s="333" t="s">
        <v>525</v>
      </c>
      <c r="R14" s="361" t="e">
        <f>#REF!*1000</f>
        <v>#REF!</v>
      </c>
      <c r="S14" s="361" t="e">
        <f>#REF!*1000</f>
        <v>#REF!</v>
      </c>
      <c r="T14" s="361" t="e">
        <f>#REF!*1000</f>
        <v>#REF!</v>
      </c>
      <c r="U14" s="361" t="e">
        <f>#REF!*1000</f>
        <v>#REF!</v>
      </c>
      <c r="V14" s="361" t="e">
        <f>#REF!*1000</f>
        <v>#REF!</v>
      </c>
      <c r="W14" s="361" t="e">
        <f>#REF!*1000</f>
        <v>#REF!</v>
      </c>
      <c r="X14" s="361" t="e">
        <f>#REF!*1000</f>
        <v>#REF!</v>
      </c>
      <c r="Y14" s="361" t="e">
        <f>#REF!*1000</f>
        <v>#REF!</v>
      </c>
    </row>
    <row r="15" spans="1:25" ht="97.15">
      <c r="A15" s="781" t="s">
        <v>526</v>
      </c>
      <c r="B15" s="782">
        <v>1.8839999999999999</v>
      </c>
      <c r="C15" s="782">
        <v>0</v>
      </c>
      <c r="D15" s="782">
        <v>2</v>
      </c>
      <c r="E15" s="782">
        <v>0</v>
      </c>
      <c r="F15" s="782">
        <v>0</v>
      </c>
      <c r="G15" s="783">
        <v>3.8839999999999999</v>
      </c>
      <c r="H15" s="782">
        <v>1.85</v>
      </c>
      <c r="I15" s="782">
        <v>0</v>
      </c>
      <c r="J15" s="782">
        <v>2</v>
      </c>
      <c r="K15" s="782">
        <v>0</v>
      </c>
      <c r="L15" s="782">
        <v>0</v>
      </c>
      <c r="M15" s="783">
        <v>3.85</v>
      </c>
      <c r="N15" s="315">
        <v>-8.7538619979402182E-3</v>
      </c>
      <c r="O15" s="32" t="s">
        <v>527</v>
      </c>
      <c r="P15" s="233" t="s">
        <v>528</v>
      </c>
      <c r="R15" s="368" t="e">
        <f>#REF!*1000</f>
        <v>#REF!</v>
      </c>
      <c r="S15" s="368" t="e">
        <f>#REF!*1000</f>
        <v>#REF!</v>
      </c>
      <c r="T15" s="368" t="e">
        <f>#REF!*1000</f>
        <v>#REF!</v>
      </c>
      <c r="U15" s="368" t="e">
        <f>#REF!*1000</f>
        <v>#REF!</v>
      </c>
      <c r="V15" s="368" t="e">
        <f>#REF!*1000</f>
        <v>#REF!</v>
      </c>
      <c r="W15" s="368" t="e">
        <f>#REF!*1000</f>
        <v>#REF!</v>
      </c>
      <c r="X15" s="368" t="e">
        <f>#REF!*1000</f>
        <v>#REF!</v>
      </c>
      <c r="Y15" s="368" t="e">
        <f>#REF!*1000</f>
        <v>#REF!</v>
      </c>
    </row>
    <row r="16" spans="1:25" ht="145.9">
      <c r="A16" s="781" t="s">
        <v>529</v>
      </c>
      <c r="B16" s="782">
        <v>57.508000000000003</v>
      </c>
      <c r="C16" s="782">
        <v>0</v>
      </c>
      <c r="D16" s="782">
        <v>5</v>
      </c>
      <c r="E16" s="782">
        <v>0</v>
      </c>
      <c r="F16" s="782">
        <v>0</v>
      </c>
      <c r="G16" s="783">
        <v>62.508000000000003</v>
      </c>
      <c r="H16" s="782">
        <v>50.514000000000003</v>
      </c>
      <c r="I16" s="782">
        <v>0</v>
      </c>
      <c r="J16" s="782">
        <v>5</v>
      </c>
      <c r="K16" s="782">
        <v>0</v>
      </c>
      <c r="L16" s="782">
        <v>0</v>
      </c>
      <c r="M16" s="783">
        <v>55.514000000000003</v>
      </c>
      <c r="N16" s="315">
        <v>-0.11188967812120047</v>
      </c>
      <c r="O16" s="32" t="s">
        <v>530</v>
      </c>
      <c r="P16" s="233" t="s">
        <v>531</v>
      </c>
      <c r="R16" s="368" t="e">
        <f>#REF!*1000</f>
        <v>#REF!</v>
      </c>
      <c r="S16" s="368" t="e">
        <f>#REF!*1000</f>
        <v>#REF!</v>
      </c>
      <c r="T16" s="368" t="e">
        <f>#REF!*1000</f>
        <v>#REF!</v>
      </c>
      <c r="U16" s="368" t="e">
        <f>#REF!*1000</f>
        <v>#REF!</v>
      </c>
      <c r="V16" s="368" t="e">
        <f>#REF!*1000</f>
        <v>#REF!</v>
      </c>
      <c r="W16" s="368" t="e">
        <f>#REF!*1000</f>
        <v>#REF!</v>
      </c>
      <c r="X16" s="368" t="e">
        <f>#REF!*1000</f>
        <v>#REF!</v>
      </c>
      <c r="Y16" s="368" t="e">
        <f>#REF!*1000</f>
        <v>#REF!</v>
      </c>
    </row>
    <row r="17" spans="1:25" ht="32.450000000000003">
      <c r="A17" s="318" t="s">
        <v>532</v>
      </c>
      <c r="B17" s="319">
        <v>418.69299999999998</v>
      </c>
      <c r="C17" s="319">
        <v>0</v>
      </c>
      <c r="D17" s="319">
        <v>7</v>
      </c>
      <c r="E17" s="319">
        <v>0</v>
      </c>
      <c r="F17" s="319">
        <v>0</v>
      </c>
      <c r="G17" s="319">
        <v>425.69299999999998</v>
      </c>
      <c r="H17" s="319">
        <v>422.72800000000001</v>
      </c>
      <c r="I17" s="319">
        <v>0</v>
      </c>
      <c r="J17" s="319">
        <v>7</v>
      </c>
      <c r="K17" s="319">
        <v>0</v>
      </c>
      <c r="L17" s="319">
        <v>0</v>
      </c>
      <c r="M17" s="319">
        <v>429.72800000000001</v>
      </c>
      <c r="N17" s="320">
        <v>9.4786618525557736E-3</v>
      </c>
      <c r="O17" s="321"/>
      <c r="P17" s="344"/>
      <c r="R17" s="345"/>
      <c r="S17" s="345"/>
      <c r="T17" s="345"/>
      <c r="U17" s="345"/>
      <c r="V17" s="345"/>
      <c r="W17" s="345"/>
      <c r="X17" s="345"/>
      <c r="Y17" s="345"/>
    </row>
    <row r="18" spans="1:25" ht="16.149999999999999">
      <c r="A18" s="791"/>
      <c r="B18" s="792"/>
      <c r="C18" s="792"/>
      <c r="D18" s="792"/>
      <c r="E18" s="792"/>
      <c r="F18" s="792"/>
      <c r="G18" s="792"/>
      <c r="H18" s="792"/>
      <c r="I18" s="792"/>
      <c r="J18" s="792"/>
      <c r="K18" s="792"/>
      <c r="L18" s="792"/>
      <c r="M18" s="792"/>
      <c r="N18" s="304"/>
      <c r="O18" s="488"/>
      <c r="P18" s="488"/>
      <c r="R18" s="306"/>
      <c r="S18" s="306"/>
      <c r="T18" s="306"/>
      <c r="U18" s="306"/>
      <c r="V18" s="306"/>
      <c r="W18" s="306"/>
      <c r="X18" s="306"/>
      <c r="Y18" s="307"/>
    </row>
    <row r="19" spans="1:25" ht="32.450000000000003">
      <c r="A19" s="308" t="s">
        <v>533</v>
      </c>
      <c r="B19" s="213"/>
      <c r="C19" s="213"/>
      <c r="D19" s="213"/>
      <c r="E19" s="213"/>
      <c r="F19" s="213"/>
      <c r="G19" s="213"/>
      <c r="H19" s="213"/>
      <c r="I19" s="213"/>
      <c r="J19" s="213"/>
      <c r="K19" s="213"/>
      <c r="L19" s="213"/>
      <c r="M19" s="213"/>
      <c r="N19" s="443"/>
      <c r="O19" s="789"/>
      <c r="P19" s="789"/>
      <c r="R19" s="211"/>
      <c r="S19" s="211"/>
      <c r="T19" s="211"/>
      <c r="U19" s="211"/>
      <c r="V19" s="211"/>
      <c r="W19" s="211"/>
      <c r="X19" s="211"/>
      <c r="Y19" s="210"/>
    </row>
    <row r="20" spans="1:25" ht="16.149999999999999">
      <c r="A20" s="791"/>
      <c r="B20" s="792"/>
      <c r="C20" s="792"/>
      <c r="D20" s="792"/>
      <c r="E20" s="792"/>
      <c r="F20" s="792"/>
      <c r="G20" s="792"/>
      <c r="H20" s="792"/>
      <c r="I20" s="792"/>
      <c r="J20" s="792"/>
      <c r="K20" s="792"/>
      <c r="L20" s="792"/>
      <c r="M20" s="792"/>
      <c r="N20" s="304"/>
      <c r="O20" s="488"/>
      <c r="P20" s="488"/>
      <c r="R20" s="306"/>
      <c r="S20" s="306"/>
      <c r="T20" s="306"/>
      <c r="U20" s="306"/>
      <c r="V20" s="306"/>
      <c r="W20" s="306"/>
      <c r="X20" s="306"/>
      <c r="Y20" s="307"/>
    </row>
    <row r="21" spans="1:25" ht="16.149999999999999">
      <c r="A21" s="793"/>
      <c r="B21" s="794"/>
      <c r="C21" s="794"/>
      <c r="D21" s="794"/>
      <c r="E21" s="794"/>
      <c r="F21" s="794"/>
      <c r="G21" s="795"/>
      <c r="H21" s="794"/>
      <c r="I21" s="794"/>
      <c r="J21" s="794"/>
      <c r="K21" s="794"/>
      <c r="L21" s="794"/>
      <c r="M21" s="795"/>
      <c r="N21" s="796"/>
      <c r="O21" s="797"/>
      <c r="P21" s="793"/>
      <c r="R21" s="378"/>
      <c r="S21" s="378"/>
      <c r="T21" s="378"/>
      <c r="U21" s="378"/>
      <c r="V21" s="378"/>
      <c r="W21" s="378"/>
      <c r="X21" s="378"/>
      <c r="Y21" s="379"/>
    </row>
    <row r="22" spans="1:25" ht="16.149999999999999">
      <c r="A22" s="607" t="s">
        <v>534</v>
      </c>
      <c r="B22" s="168"/>
      <c r="C22" s="168"/>
      <c r="D22" s="168"/>
      <c r="E22" s="168"/>
      <c r="F22" s="168"/>
      <c r="G22" s="168"/>
      <c r="H22" s="168"/>
      <c r="I22" s="168"/>
      <c r="J22" s="168"/>
      <c r="K22" s="168"/>
      <c r="L22" s="168"/>
      <c r="M22" s="168"/>
      <c r="N22" s="640"/>
      <c r="O22" s="338"/>
      <c r="P22" s="798"/>
      <c r="R22" s="396"/>
      <c r="S22" s="396"/>
      <c r="T22" s="396"/>
      <c r="U22" s="396"/>
      <c r="V22" s="396"/>
      <c r="W22" s="396"/>
      <c r="X22" s="396"/>
      <c r="Y22" s="396"/>
    </row>
    <row r="23" spans="1:25" ht="32.450000000000003">
      <c r="A23" s="781" t="s">
        <v>535</v>
      </c>
      <c r="B23" s="782">
        <v>16.603000000000002</v>
      </c>
      <c r="C23" s="782">
        <v>0</v>
      </c>
      <c r="D23" s="782">
        <v>0</v>
      </c>
      <c r="E23" s="782">
        <v>0</v>
      </c>
      <c r="F23" s="782">
        <v>0</v>
      </c>
      <c r="G23" s="783">
        <v>16.603000000000002</v>
      </c>
      <c r="H23" s="782">
        <v>16.670999999999999</v>
      </c>
      <c r="I23" s="782">
        <v>0</v>
      </c>
      <c r="J23" s="782">
        <v>0</v>
      </c>
      <c r="K23" s="782">
        <v>0</v>
      </c>
      <c r="L23" s="782">
        <v>0</v>
      </c>
      <c r="M23" s="783">
        <v>16.670999999999999</v>
      </c>
      <c r="N23" s="315">
        <v>4.0956453652952977E-3</v>
      </c>
      <c r="O23" s="32" t="s">
        <v>536</v>
      </c>
      <c r="P23" s="233" t="s">
        <v>528</v>
      </c>
      <c r="R23" s="368" t="e">
        <f>#REF!*1000</f>
        <v>#REF!</v>
      </c>
      <c r="S23" s="368" t="e">
        <f>#REF!*1000</f>
        <v>#REF!</v>
      </c>
      <c r="T23" s="368" t="e">
        <f>#REF!*1000</f>
        <v>#REF!</v>
      </c>
      <c r="U23" s="368" t="e">
        <f>#REF!*1000</f>
        <v>#REF!</v>
      </c>
      <c r="V23" s="368" t="e">
        <f>#REF!*1000</f>
        <v>#REF!</v>
      </c>
      <c r="W23" s="368" t="e">
        <f>#REF!*1000</f>
        <v>#REF!</v>
      </c>
      <c r="X23" s="368" t="e">
        <f>#REF!*1000</f>
        <v>#REF!</v>
      </c>
      <c r="Y23" s="368" t="e">
        <f>#REF!*1000</f>
        <v>#REF!</v>
      </c>
    </row>
    <row r="24" spans="1:25" ht="32.450000000000003">
      <c r="A24" s="781" t="s">
        <v>537</v>
      </c>
      <c r="B24" s="782">
        <v>5.7510000000000003</v>
      </c>
      <c r="C24" s="782">
        <v>3.028</v>
      </c>
      <c r="D24" s="782">
        <v>1.1499999999999999</v>
      </c>
      <c r="E24" s="782">
        <v>0</v>
      </c>
      <c r="F24" s="782">
        <v>0</v>
      </c>
      <c r="G24" s="783">
        <v>9.9290000000000003</v>
      </c>
      <c r="H24" s="782">
        <v>4.9029999999999996</v>
      </c>
      <c r="I24" s="782">
        <v>4.1260000000000003</v>
      </c>
      <c r="J24" s="782">
        <v>3.5</v>
      </c>
      <c r="K24" s="782">
        <v>0</v>
      </c>
      <c r="L24" s="782">
        <v>0</v>
      </c>
      <c r="M24" s="783">
        <v>12.529</v>
      </c>
      <c r="N24" s="315">
        <v>0.26185920032228821</v>
      </c>
      <c r="O24" s="32" t="s">
        <v>538</v>
      </c>
      <c r="P24" s="233" t="s">
        <v>539</v>
      </c>
      <c r="R24" s="368" t="e">
        <f>#REF!*1000</f>
        <v>#REF!</v>
      </c>
      <c r="S24" s="368" t="e">
        <f>#REF!*1000</f>
        <v>#REF!</v>
      </c>
      <c r="T24" s="368" t="e">
        <f>#REF!*1000</f>
        <v>#REF!</v>
      </c>
      <c r="U24" s="368" t="e">
        <f>#REF!*1000</f>
        <v>#REF!</v>
      </c>
      <c r="V24" s="368" t="e">
        <f>#REF!*1000</f>
        <v>#REF!</v>
      </c>
      <c r="W24" s="368" t="e">
        <f>#REF!*1000</f>
        <v>#REF!</v>
      </c>
      <c r="X24" s="368" t="e">
        <f>#REF!*1000</f>
        <v>#REF!</v>
      </c>
      <c r="Y24" s="368" t="e">
        <f>#REF!*1000</f>
        <v>#REF!</v>
      </c>
    </row>
    <row r="25" spans="1:25" ht="32.450000000000003">
      <c r="A25" s="655" t="s">
        <v>540</v>
      </c>
      <c r="B25" s="782">
        <v>0</v>
      </c>
      <c r="C25" s="782">
        <v>0</v>
      </c>
      <c r="D25" s="782">
        <v>0</v>
      </c>
      <c r="E25" s="782">
        <v>0</v>
      </c>
      <c r="F25" s="782">
        <v>0</v>
      </c>
      <c r="G25" s="783">
        <v>0</v>
      </c>
      <c r="H25" s="782">
        <v>0</v>
      </c>
      <c r="I25" s="782">
        <v>0</v>
      </c>
      <c r="J25" s="782">
        <v>0</v>
      </c>
      <c r="K25" s="782">
        <v>0</v>
      </c>
      <c r="L25" s="782">
        <v>0</v>
      </c>
      <c r="M25" s="783">
        <v>0</v>
      </c>
      <c r="N25" s="315" t="s">
        <v>204</v>
      </c>
      <c r="O25" s="32" t="s">
        <v>541</v>
      </c>
      <c r="P25" s="233" t="s">
        <v>238</v>
      </c>
      <c r="R25" s="368" t="e">
        <f>#REF!*1000</f>
        <v>#REF!</v>
      </c>
      <c r="S25" s="368" t="e">
        <f>#REF!*1000</f>
        <v>#REF!</v>
      </c>
      <c r="T25" s="368" t="e">
        <f>#REF!*1000</f>
        <v>#REF!</v>
      </c>
      <c r="U25" s="368" t="e">
        <f>#REF!*1000</f>
        <v>#REF!</v>
      </c>
      <c r="V25" s="368" t="e">
        <f>#REF!*1000</f>
        <v>#REF!</v>
      </c>
      <c r="W25" s="368" t="e">
        <f>#REF!*1000</f>
        <v>#REF!</v>
      </c>
      <c r="X25" s="368" t="e">
        <f>#REF!*1000</f>
        <v>#REF!</v>
      </c>
      <c r="Y25" s="368" t="e">
        <f>#REF!*1000</f>
        <v>#REF!</v>
      </c>
    </row>
    <row r="26" spans="1:25" ht="32.450000000000003">
      <c r="A26" s="607" t="s">
        <v>542</v>
      </c>
      <c r="B26" s="168">
        <v>22.354000000000003</v>
      </c>
      <c r="C26" s="168">
        <v>3.028</v>
      </c>
      <c r="D26" s="168">
        <v>1.1499999999999999</v>
      </c>
      <c r="E26" s="168">
        <v>0</v>
      </c>
      <c r="F26" s="168">
        <v>0</v>
      </c>
      <c r="G26" s="168">
        <v>26.532000000000004</v>
      </c>
      <c r="H26" s="168">
        <v>21.573999999999998</v>
      </c>
      <c r="I26" s="168">
        <v>4.1260000000000003</v>
      </c>
      <c r="J26" s="168">
        <v>3.5</v>
      </c>
      <c r="K26" s="168">
        <v>0</v>
      </c>
      <c r="L26" s="168">
        <v>0</v>
      </c>
      <c r="M26" s="168">
        <v>29.2</v>
      </c>
      <c r="N26" s="337">
        <v>0.10055781697572724</v>
      </c>
      <c r="O26" s="338" t="s">
        <v>54</v>
      </c>
      <c r="P26" s="798"/>
      <c r="R26" s="396"/>
      <c r="S26" s="396"/>
      <c r="T26" s="396"/>
      <c r="U26" s="396"/>
      <c r="V26" s="396"/>
      <c r="W26" s="396"/>
      <c r="X26" s="396"/>
      <c r="Y26" s="396"/>
    </row>
    <row r="27" spans="1:25" ht="16.149999999999999">
      <c r="A27" s="799"/>
      <c r="B27" s="792"/>
      <c r="C27" s="792"/>
      <c r="D27" s="792"/>
      <c r="E27" s="792"/>
      <c r="F27" s="792"/>
      <c r="G27" s="792"/>
      <c r="H27" s="792"/>
      <c r="I27" s="792"/>
      <c r="J27" s="792"/>
      <c r="K27" s="792"/>
      <c r="L27" s="792"/>
      <c r="M27" s="792"/>
      <c r="N27" s="800"/>
      <c r="O27" s="488"/>
      <c r="P27" s="488"/>
      <c r="R27" s="306"/>
      <c r="S27" s="306"/>
      <c r="T27" s="306"/>
      <c r="U27" s="306"/>
      <c r="V27" s="306"/>
      <c r="W27" s="306"/>
      <c r="X27" s="306"/>
      <c r="Y27" s="307"/>
    </row>
    <row r="28" spans="1:25" ht="16.149999999999999">
      <c r="A28" s="799"/>
      <c r="B28" s="792"/>
      <c r="C28" s="792"/>
      <c r="D28" s="792"/>
      <c r="E28" s="792"/>
      <c r="F28" s="792"/>
      <c r="G28" s="792"/>
      <c r="H28" s="792"/>
      <c r="I28" s="792"/>
      <c r="J28" s="792"/>
      <c r="K28" s="792"/>
      <c r="L28" s="792"/>
      <c r="M28" s="792"/>
      <c r="N28" s="304"/>
      <c r="O28" s="488"/>
      <c r="P28" s="485"/>
      <c r="R28" s="306"/>
      <c r="S28" s="306"/>
      <c r="T28" s="306"/>
      <c r="U28" s="306"/>
      <c r="V28" s="306"/>
      <c r="W28" s="306"/>
      <c r="X28" s="306"/>
      <c r="Y28" s="307"/>
    </row>
    <row r="29" spans="1:25" ht="16.149999999999999">
      <c r="A29" s="592" t="s">
        <v>543</v>
      </c>
      <c r="B29" s="208"/>
      <c r="C29" s="208"/>
      <c r="D29" s="208"/>
      <c r="E29" s="208"/>
      <c r="F29" s="208"/>
      <c r="G29" s="208"/>
      <c r="H29" s="208"/>
      <c r="I29" s="208"/>
      <c r="J29" s="208"/>
      <c r="K29" s="208"/>
      <c r="L29" s="208"/>
      <c r="M29" s="208"/>
      <c r="N29" s="593"/>
      <c r="O29" s="801"/>
      <c r="P29" s="801"/>
      <c r="R29" s="205"/>
      <c r="S29" s="205"/>
      <c r="T29" s="205"/>
      <c r="U29" s="205"/>
      <c r="V29" s="205"/>
      <c r="W29" s="205"/>
      <c r="X29" s="205"/>
      <c r="Y29" s="204"/>
    </row>
    <row r="30" spans="1:25" ht="64.900000000000006">
      <c r="A30" s="778" t="s">
        <v>544</v>
      </c>
      <c r="B30" s="779">
        <v>11.292</v>
      </c>
      <c r="C30" s="779">
        <v>2.7</v>
      </c>
      <c r="D30" s="779">
        <v>0</v>
      </c>
      <c r="E30" s="779">
        <v>0</v>
      </c>
      <c r="F30" s="779">
        <v>0</v>
      </c>
      <c r="G30" s="780">
        <v>13.992000000000001</v>
      </c>
      <c r="H30" s="779">
        <v>11.845000000000001</v>
      </c>
      <c r="I30" s="779">
        <v>8.6</v>
      </c>
      <c r="J30" s="779">
        <v>0</v>
      </c>
      <c r="K30" s="779">
        <v>0</v>
      </c>
      <c r="L30" s="779">
        <v>0</v>
      </c>
      <c r="M30" s="780">
        <v>20.445</v>
      </c>
      <c r="N30" s="315">
        <v>0.46119210977701536</v>
      </c>
      <c r="O30" s="332" t="s">
        <v>545</v>
      </c>
      <c r="P30" s="333" t="s">
        <v>546</v>
      </c>
      <c r="R30" s="361" t="e">
        <f>#REF!*1000</f>
        <v>#REF!</v>
      </c>
      <c r="S30" s="361" t="e">
        <f>#REF!*1000</f>
        <v>#REF!</v>
      </c>
      <c r="T30" s="361" t="e">
        <f>#REF!*1000</f>
        <v>#REF!</v>
      </c>
      <c r="U30" s="361" t="e">
        <f>#REF!*1000</f>
        <v>#REF!</v>
      </c>
      <c r="V30" s="361" t="e">
        <f>#REF!*1000</f>
        <v>#REF!</v>
      </c>
      <c r="W30" s="361" t="e">
        <f>#REF!*1000</f>
        <v>#REF!</v>
      </c>
      <c r="X30" s="361" t="e">
        <f>#REF!*1000</f>
        <v>#REF!</v>
      </c>
      <c r="Y30" s="361" t="e">
        <f>#REF!*1000</f>
        <v>#REF!</v>
      </c>
    </row>
    <row r="31" spans="1:25" ht="16.149999999999999">
      <c r="A31" s="781" t="s">
        <v>547</v>
      </c>
      <c r="B31" s="782">
        <v>0</v>
      </c>
      <c r="C31" s="782">
        <v>0</v>
      </c>
      <c r="D31" s="782">
        <v>12.2</v>
      </c>
      <c r="E31" s="782">
        <v>0</v>
      </c>
      <c r="F31" s="782">
        <v>0</v>
      </c>
      <c r="G31" s="783">
        <v>12.2</v>
      </c>
      <c r="H31" s="782">
        <v>0</v>
      </c>
      <c r="I31" s="782">
        <v>0</v>
      </c>
      <c r="J31" s="782">
        <v>12.2</v>
      </c>
      <c r="K31" s="782">
        <v>0</v>
      </c>
      <c r="L31" s="782">
        <v>0</v>
      </c>
      <c r="M31" s="783">
        <v>12.2</v>
      </c>
      <c r="N31" s="315">
        <v>0</v>
      </c>
      <c r="O31" s="32" t="s">
        <v>548</v>
      </c>
      <c r="P31" s="233" t="s">
        <v>65</v>
      </c>
      <c r="R31" s="368" t="e">
        <f>#REF!*1000</f>
        <v>#REF!</v>
      </c>
      <c r="S31" s="368" t="e">
        <f>#REF!*1000</f>
        <v>#REF!</v>
      </c>
      <c r="T31" s="368" t="e">
        <f>#REF!*1000</f>
        <v>#REF!</v>
      </c>
      <c r="U31" s="368" t="e">
        <f>#REF!*1000</f>
        <v>#REF!</v>
      </c>
      <c r="V31" s="368" t="e">
        <f>#REF!*1000</f>
        <v>#REF!</v>
      </c>
      <c r="W31" s="368" t="e">
        <f>#REF!*1000</f>
        <v>#REF!</v>
      </c>
      <c r="X31" s="368" t="e">
        <f>#REF!*1000</f>
        <v>#REF!</v>
      </c>
      <c r="Y31" s="368" t="e">
        <f>#REF!*1000</f>
        <v>#REF!</v>
      </c>
    </row>
    <row r="32" spans="1:25" ht="16.149999999999999">
      <c r="A32" s="607" t="s">
        <v>549</v>
      </c>
      <c r="B32" s="168">
        <v>11.292</v>
      </c>
      <c r="C32" s="168">
        <v>2.7</v>
      </c>
      <c r="D32" s="168">
        <v>12.2</v>
      </c>
      <c r="E32" s="168">
        <v>0</v>
      </c>
      <c r="F32" s="168">
        <v>0</v>
      </c>
      <c r="G32" s="168">
        <v>26.192</v>
      </c>
      <c r="H32" s="168">
        <v>11.845000000000001</v>
      </c>
      <c r="I32" s="168">
        <v>8.6</v>
      </c>
      <c r="J32" s="168">
        <v>12.2</v>
      </c>
      <c r="K32" s="168">
        <v>0</v>
      </c>
      <c r="L32" s="168">
        <v>0</v>
      </c>
      <c r="M32" s="168">
        <v>32.644999999999996</v>
      </c>
      <c r="N32" s="337">
        <v>0.24637293830177137</v>
      </c>
      <c r="O32" s="338" t="s">
        <v>238</v>
      </c>
      <c r="P32" s="339" t="s">
        <v>238</v>
      </c>
      <c r="R32" s="396"/>
      <c r="S32" s="396"/>
      <c r="T32" s="396"/>
      <c r="U32" s="396"/>
      <c r="V32" s="396"/>
      <c r="W32" s="396"/>
      <c r="X32" s="396"/>
      <c r="Y32" s="396"/>
    </row>
    <row r="33" spans="1:25" ht="16.149999999999999">
      <c r="A33" s="799"/>
      <c r="B33" s="792"/>
      <c r="C33" s="792"/>
      <c r="D33" s="792"/>
      <c r="E33" s="792"/>
      <c r="F33" s="792"/>
      <c r="G33" s="792"/>
      <c r="H33" s="792"/>
      <c r="I33" s="792"/>
      <c r="J33" s="792"/>
      <c r="K33" s="792"/>
      <c r="L33" s="792"/>
      <c r="M33" s="792"/>
      <c r="N33" s="802"/>
      <c r="O33" s="488"/>
      <c r="P33" s="485"/>
      <c r="R33" s="306"/>
      <c r="S33" s="306"/>
      <c r="T33" s="306"/>
      <c r="U33" s="306"/>
      <c r="V33" s="306"/>
      <c r="W33" s="306"/>
      <c r="X33" s="306"/>
      <c r="Y33" s="307"/>
    </row>
    <row r="34" spans="1:25" ht="81">
      <c r="A34" s="781" t="s">
        <v>550</v>
      </c>
      <c r="B34" s="259">
        <v>1.514</v>
      </c>
      <c r="C34" s="259">
        <v>0</v>
      </c>
      <c r="D34" s="259">
        <v>0</v>
      </c>
      <c r="E34" s="259">
        <v>0</v>
      </c>
      <c r="F34" s="259">
        <v>0</v>
      </c>
      <c r="G34" s="783">
        <v>1.514</v>
      </c>
      <c r="H34" s="259">
        <v>0</v>
      </c>
      <c r="I34" s="259">
        <v>0</v>
      </c>
      <c r="J34" s="259">
        <v>0</v>
      </c>
      <c r="K34" s="259">
        <v>0</v>
      </c>
      <c r="L34" s="259">
        <v>0</v>
      </c>
      <c r="M34" s="783">
        <v>0</v>
      </c>
      <c r="N34" s="315">
        <v>-1</v>
      </c>
      <c r="O34" s="32" t="s">
        <v>551</v>
      </c>
      <c r="P34" s="233" t="s">
        <v>552</v>
      </c>
      <c r="R34" s="803" t="e">
        <f>#REF!*1000</f>
        <v>#REF!</v>
      </c>
      <c r="S34" s="803" t="e">
        <f>#REF!*1000</f>
        <v>#REF!</v>
      </c>
      <c r="T34" s="803" t="e">
        <f>#REF!*1000</f>
        <v>#REF!</v>
      </c>
      <c r="U34" s="803" t="e">
        <f>#REF!*1000</f>
        <v>#REF!</v>
      </c>
      <c r="V34" s="803" t="e">
        <f>#REF!*1000</f>
        <v>#REF!</v>
      </c>
      <c r="W34" s="803" t="e">
        <f>#REF!*1000</f>
        <v>#REF!</v>
      </c>
      <c r="X34" s="803" t="e">
        <f>#REF!*1000</f>
        <v>#REF!</v>
      </c>
      <c r="Y34" s="803" t="e">
        <f>#REF!*1000</f>
        <v>#REF!</v>
      </c>
    </row>
    <row r="35" spans="1:25" ht="14.65" customHeight="1">
      <c r="A35" s="793"/>
      <c r="B35" s="794"/>
      <c r="C35" s="794"/>
      <c r="D35" s="794"/>
      <c r="E35" s="794"/>
      <c r="F35" s="794"/>
      <c r="G35" s="795"/>
      <c r="H35" s="794"/>
      <c r="I35" s="794"/>
      <c r="J35" s="794"/>
      <c r="K35" s="794"/>
      <c r="L35" s="794"/>
      <c r="M35" s="795"/>
      <c r="N35" s="796"/>
      <c r="O35" s="804"/>
      <c r="P35" s="240"/>
      <c r="R35" s="378"/>
      <c r="S35" s="378"/>
      <c r="T35" s="378"/>
      <c r="U35" s="378"/>
      <c r="V35" s="378"/>
      <c r="W35" s="378"/>
      <c r="X35" s="378"/>
      <c r="Y35" s="379"/>
    </row>
    <row r="36" spans="1:25" ht="16.149999999999999">
      <c r="A36" s="805" t="s">
        <v>553</v>
      </c>
      <c r="B36" s="806"/>
      <c r="C36" s="806"/>
      <c r="D36" s="806"/>
      <c r="E36" s="806"/>
      <c r="F36" s="806"/>
      <c r="G36" s="806"/>
      <c r="H36" s="806"/>
      <c r="I36" s="806"/>
      <c r="J36" s="806"/>
      <c r="K36" s="806"/>
      <c r="L36" s="806"/>
      <c r="M36" s="806"/>
      <c r="N36" s="806"/>
      <c r="O36" s="806"/>
      <c r="P36" s="806"/>
      <c r="R36" s="310"/>
      <c r="S36" s="310"/>
      <c r="T36" s="310"/>
      <c r="U36" s="310"/>
      <c r="V36" s="310"/>
      <c r="W36" s="310"/>
      <c r="X36" s="310"/>
      <c r="Y36" s="311"/>
    </row>
    <row r="37" spans="1:25" ht="48.6">
      <c r="A37" s="778" t="s">
        <v>554</v>
      </c>
      <c r="B37" s="779">
        <v>0</v>
      </c>
      <c r="C37" s="779">
        <v>0</v>
      </c>
      <c r="D37" s="790">
        <v>152.9</v>
      </c>
      <c r="E37" s="779">
        <v>0</v>
      </c>
      <c r="F37" s="779">
        <v>0</v>
      </c>
      <c r="G37" s="780">
        <v>152.9</v>
      </c>
      <c r="H37" s="779">
        <v>0</v>
      </c>
      <c r="I37" s="779">
        <v>0</v>
      </c>
      <c r="J37" s="790">
        <v>160.01599999999999</v>
      </c>
      <c r="K37" s="779">
        <v>0</v>
      </c>
      <c r="L37" s="779">
        <v>0</v>
      </c>
      <c r="M37" s="780">
        <v>160.01599999999999</v>
      </c>
      <c r="N37" s="315">
        <v>4.6540222367560398E-2</v>
      </c>
      <c r="O37" s="332" t="s">
        <v>555</v>
      </c>
      <c r="P37" s="333" t="s">
        <v>556</v>
      </c>
      <c r="R37" s="361" t="e">
        <f>#REF!*1000</f>
        <v>#REF!</v>
      </c>
      <c r="S37" s="361" t="e">
        <f>#REF!*1000</f>
        <v>#REF!</v>
      </c>
      <c r="T37" s="361" t="e">
        <f>#REF!*1000</f>
        <v>#REF!</v>
      </c>
      <c r="U37" s="361" t="e">
        <f>#REF!*1000</f>
        <v>#REF!</v>
      </c>
      <c r="V37" s="361" t="e">
        <f>#REF!*1000</f>
        <v>#REF!</v>
      </c>
      <c r="W37" s="361" t="e">
        <f>#REF!*1000</f>
        <v>#REF!</v>
      </c>
      <c r="X37" s="361" t="e">
        <f>#REF!*1000</f>
        <v>#REF!</v>
      </c>
      <c r="Y37" s="361" t="e">
        <f>#REF!*1000</f>
        <v>#REF!</v>
      </c>
    </row>
    <row r="38" spans="1:25" ht="48.6">
      <c r="A38" s="781" t="s">
        <v>557</v>
      </c>
      <c r="B38" s="782">
        <v>12.382999999999999</v>
      </c>
      <c r="C38" s="782">
        <v>0</v>
      </c>
      <c r="D38" s="782">
        <v>0</v>
      </c>
      <c r="E38" s="782">
        <v>0</v>
      </c>
      <c r="F38" s="782">
        <v>0</v>
      </c>
      <c r="G38" s="783">
        <v>12.382999999999999</v>
      </c>
      <c r="H38" s="782">
        <v>36</v>
      </c>
      <c r="I38" s="782">
        <v>0</v>
      </c>
      <c r="J38" s="782">
        <v>0</v>
      </c>
      <c r="K38" s="782">
        <v>0</v>
      </c>
      <c r="L38" s="782">
        <v>0</v>
      </c>
      <c r="M38" s="783">
        <v>36</v>
      </c>
      <c r="N38" s="315">
        <v>1.9072114996365988</v>
      </c>
      <c r="O38" s="32" t="s">
        <v>558</v>
      </c>
      <c r="P38" s="233" t="s">
        <v>559</v>
      </c>
      <c r="R38" s="368" t="e">
        <f>#REF!*1000</f>
        <v>#REF!</v>
      </c>
      <c r="S38" s="368" t="e">
        <f>#REF!*1000</f>
        <v>#REF!</v>
      </c>
      <c r="T38" s="368" t="e">
        <f>#REF!*1000</f>
        <v>#REF!</v>
      </c>
      <c r="U38" s="368" t="e">
        <f>#REF!*1000</f>
        <v>#REF!</v>
      </c>
      <c r="V38" s="368" t="e">
        <f>#REF!*1000</f>
        <v>#REF!</v>
      </c>
      <c r="W38" s="368" t="e">
        <f>#REF!*1000</f>
        <v>#REF!</v>
      </c>
      <c r="X38" s="368" t="e">
        <f>#REF!*1000</f>
        <v>#REF!</v>
      </c>
      <c r="Y38" s="368" t="e">
        <f>#REF!*1000</f>
        <v>#REF!</v>
      </c>
    </row>
    <row r="39" spans="1:25" ht="32.450000000000003">
      <c r="A39" s="607" t="s">
        <v>560</v>
      </c>
      <c r="B39" s="168">
        <v>12.382999999999999</v>
      </c>
      <c r="C39" s="168">
        <v>0</v>
      </c>
      <c r="D39" s="168">
        <v>152.9</v>
      </c>
      <c r="E39" s="168">
        <v>0</v>
      </c>
      <c r="F39" s="168">
        <v>0</v>
      </c>
      <c r="G39" s="168">
        <v>165.28300000000002</v>
      </c>
      <c r="H39" s="168">
        <v>36</v>
      </c>
      <c r="I39" s="168">
        <v>0</v>
      </c>
      <c r="J39" s="168">
        <v>160.01599999999999</v>
      </c>
      <c r="K39" s="168">
        <v>0</v>
      </c>
      <c r="L39" s="168">
        <v>0</v>
      </c>
      <c r="M39" s="168">
        <v>196.01599999999999</v>
      </c>
      <c r="N39" s="337">
        <v>0.18594168789288659</v>
      </c>
      <c r="O39" s="807"/>
      <c r="P39" s="798"/>
      <c r="R39" s="396"/>
      <c r="S39" s="396"/>
      <c r="T39" s="396"/>
      <c r="U39" s="396"/>
      <c r="V39" s="396"/>
      <c r="W39" s="396"/>
      <c r="X39" s="396"/>
      <c r="Y39" s="396"/>
    </row>
    <row r="40" spans="1:25" ht="16.149999999999999">
      <c r="A40" s="808"/>
      <c r="B40" s="809"/>
      <c r="C40" s="809"/>
      <c r="D40" s="809"/>
      <c r="E40" s="809"/>
      <c r="F40" s="809"/>
      <c r="G40" s="809"/>
      <c r="H40" s="809"/>
      <c r="I40" s="809"/>
      <c r="J40" s="809"/>
      <c r="K40" s="809"/>
      <c r="L40" s="809"/>
      <c r="M40" s="809"/>
      <c r="N40" s="810"/>
      <c r="O40" s="811"/>
      <c r="P40" s="812"/>
      <c r="R40" s="813"/>
      <c r="S40" s="813"/>
      <c r="T40" s="813"/>
      <c r="U40" s="813"/>
      <c r="V40" s="813"/>
      <c r="W40" s="813"/>
      <c r="X40" s="813"/>
      <c r="Y40" s="814"/>
    </row>
    <row r="41" spans="1:25" ht="16.149999999999999">
      <c r="A41" s="805" t="s">
        <v>561</v>
      </c>
      <c r="B41" s="806"/>
      <c r="C41" s="806"/>
      <c r="D41" s="806"/>
      <c r="E41" s="806"/>
      <c r="F41" s="806"/>
      <c r="G41" s="806"/>
      <c r="H41" s="806"/>
      <c r="I41" s="806"/>
      <c r="J41" s="806"/>
      <c r="K41" s="806"/>
      <c r="L41" s="806"/>
      <c r="M41" s="806"/>
      <c r="N41" s="806"/>
      <c r="O41" s="806"/>
      <c r="P41" s="806"/>
      <c r="R41" s="310"/>
      <c r="S41" s="310"/>
      <c r="T41" s="310"/>
      <c r="U41" s="310"/>
      <c r="V41" s="310"/>
      <c r="W41" s="310"/>
      <c r="X41" s="310"/>
      <c r="Y41" s="311"/>
    </row>
    <row r="42" spans="1:25" ht="64.900000000000006">
      <c r="A42" s="781" t="s">
        <v>562</v>
      </c>
      <c r="B42" s="782">
        <v>0</v>
      </c>
      <c r="C42" s="782">
        <v>0</v>
      </c>
      <c r="D42" s="782">
        <v>0</v>
      </c>
      <c r="E42" s="782">
        <v>0</v>
      </c>
      <c r="F42" s="782">
        <v>0</v>
      </c>
      <c r="G42" s="783">
        <v>0</v>
      </c>
      <c r="H42" s="782">
        <v>0</v>
      </c>
      <c r="I42" s="782">
        <v>0</v>
      </c>
      <c r="J42" s="782">
        <v>0</v>
      </c>
      <c r="K42" s="782">
        <v>0</v>
      </c>
      <c r="L42" s="782">
        <v>0</v>
      </c>
      <c r="M42" s="783">
        <v>0</v>
      </c>
      <c r="N42" s="315" t="s">
        <v>204</v>
      </c>
      <c r="O42" s="32" t="s">
        <v>563</v>
      </c>
      <c r="P42" s="233" t="s">
        <v>238</v>
      </c>
      <c r="R42" s="368" t="e">
        <f>#REF!*1000</f>
        <v>#REF!</v>
      </c>
      <c r="S42" s="368" t="e">
        <f>#REF!*1000</f>
        <v>#REF!</v>
      </c>
      <c r="T42" s="368" t="e">
        <f>#REF!*1000</f>
        <v>#REF!</v>
      </c>
      <c r="U42" s="368" t="e">
        <f>#REF!*1000</f>
        <v>#REF!</v>
      </c>
      <c r="V42" s="368" t="e">
        <f>#REF!*1000</f>
        <v>#REF!</v>
      </c>
      <c r="W42" s="368" t="e">
        <f>#REF!*1000</f>
        <v>#REF!</v>
      </c>
      <c r="X42" s="368" t="e">
        <f>#REF!*1000</f>
        <v>#REF!</v>
      </c>
      <c r="Y42" s="368" t="e">
        <f>#REF!*1000</f>
        <v>#REF!</v>
      </c>
    </row>
    <row r="43" spans="1:25" ht="32.450000000000003">
      <c r="A43" s="781" t="s">
        <v>564</v>
      </c>
      <c r="B43" s="782">
        <v>0</v>
      </c>
      <c r="C43" s="782">
        <v>0</v>
      </c>
      <c r="D43" s="782">
        <v>0</v>
      </c>
      <c r="E43" s="782">
        <v>0</v>
      </c>
      <c r="F43" s="782">
        <v>0</v>
      </c>
      <c r="G43" s="783">
        <v>0</v>
      </c>
      <c r="H43" s="782">
        <v>0</v>
      </c>
      <c r="I43" s="782">
        <v>0</v>
      </c>
      <c r="J43" s="782">
        <v>0</v>
      </c>
      <c r="K43" s="782">
        <v>0</v>
      </c>
      <c r="L43" s="782">
        <v>0</v>
      </c>
      <c r="M43" s="783">
        <v>0</v>
      </c>
      <c r="N43" s="315" t="s">
        <v>204</v>
      </c>
      <c r="O43" s="32" t="s">
        <v>565</v>
      </c>
      <c r="P43" s="233" t="s">
        <v>238</v>
      </c>
      <c r="R43" s="368" t="e">
        <f>#REF!*1000</f>
        <v>#REF!</v>
      </c>
      <c r="S43" s="368" t="e">
        <f>#REF!*1000</f>
        <v>#REF!</v>
      </c>
      <c r="T43" s="368" t="e">
        <f>#REF!*1000</f>
        <v>#REF!</v>
      </c>
      <c r="U43" s="368" t="e">
        <f>#REF!*1000</f>
        <v>#REF!</v>
      </c>
      <c r="V43" s="368" t="e">
        <f>#REF!*1000</f>
        <v>#REF!</v>
      </c>
      <c r="W43" s="368" t="e">
        <f>#REF!*1000</f>
        <v>#REF!</v>
      </c>
      <c r="X43" s="368" t="e">
        <f>#REF!*1000</f>
        <v>#REF!</v>
      </c>
      <c r="Y43" s="368" t="e">
        <f>#REF!*1000</f>
        <v>#REF!</v>
      </c>
    </row>
    <row r="44" spans="1:25" ht="48.6">
      <c r="A44" s="781" t="s">
        <v>566</v>
      </c>
      <c r="B44" s="782">
        <v>7.3010000000000002</v>
      </c>
      <c r="C44" s="782">
        <v>0</v>
      </c>
      <c r="D44" s="782">
        <v>0</v>
      </c>
      <c r="E44" s="782">
        <v>0</v>
      </c>
      <c r="F44" s="782">
        <v>0</v>
      </c>
      <c r="G44" s="783">
        <v>7.3010000000000002</v>
      </c>
      <c r="H44" s="782">
        <v>4.5</v>
      </c>
      <c r="I44" s="782">
        <v>0</v>
      </c>
      <c r="J44" s="782">
        <v>0</v>
      </c>
      <c r="K44" s="782">
        <v>0</v>
      </c>
      <c r="L44" s="782">
        <v>0</v>
      </c>
      <c r="M44" s="783">
        <v>4.5</v>
      </c>
      <c r="N44" s="315">
        <v>-0.38364607588001642</v>
      </c>
      <c r="O44" s="32" t="s">
        <v>567</v>
      </c>
      <c r="P44" s="233" t="s">
        <v>568</v>
      </c>
      <c r="R44" s="368" t="e">
        <f>#REF!*1000</f>
        <v>#REF!</v>
      </c>
      <c r="S44" s="368" t="e">
        <f>#REF!*1000</f>
        <v>#REF!</v>
      </c>
      <c r="T44" s="368" t="e">
        <f>#REF!*1000</f>
        <v>#REF!</v>
      </c>
      <c r="U44" s="368" t="e">
        <f>#REF!*1000</f>
        <v>#REF!</v>
      </c>
      <c r="V44" s="368" t="e">
        <f>#REF!*1000</f>
        <v>#REF!</v>
      </c>
      <c r="W44" s="368" t="e">
        <f>#REF!*1000</f>
        <v>#REF!</v>
      </c>
      <c r="X44" s="368" t="e">
        <f>#REF!*1000</f>
        <v>#REF!</v>
      </c>
      <c r="Y44" s="368" t="e">
        <f>#REF!*1000</f>
        <v>#REF!</v>
      </c>
    </row>
    <row r="45" spans="1:25" ht="32.450000000000003">
      <c r="A45" s="607" t="s">
        <v>569</v>
      </c>
      <c r="B45" s="168">
        <v>7.3010000000000002</v>
      </c>
      <c r="C45" s="168">
        <v>0</v>
      </c>
      <c r="D45" s="168">
        <v>0</v>
      </c>
      <c r="E45" s="168">
        <v>0</v>
      </c>
      <c r="F45" s="168">
        <v>0</v>
      </c>
      <c r="G45" s="168">
        <v>7.3010000000000002</v>
      </c>
      <c r="H45" s="168">
        <v>4.5</v>
      </c>
      <c r="I45" s="168">
        <v>0</v>
      </c>
      <c r="J45" s="168">
        <v>0</v>
      </c>
      <c r="K45" s="168">
        <v>0</v>
      </c>
      <c r="L45" s="168">
        <v>0</v>
      </c>
      <c r="M45" s="168">
        <v>4.5</v>
      </c>
      <c r="N45" s="337">
        <v>-0.38364607588001642</v>
      </c>
      <c r="O45" s="807"/>
      <c r="P45" s="798"/>
      <c r="R45" s="396"/>
      <c r="S45" s="396"/>
      <c r="T45" s="396"/>
      <c r="U45" s="396"/>
      <c r="V45" s="396"/>
      <c r="W45" s="396"/>
      <c r="X45" s="396"/>
      <c r="Y45" s="396"/>
    </row>
    <row r="46" spans="1:25" ht="16.149999999999999">
      <c r="A46" s="815"/>
      <c r="B46" s="486"/>
      <c r="C46" s="486"/>
      <c r="D46" s="486"/>
      <c r="E46" s="486"/>
      <c r="F46" s="486"/>
      <c r="G46" s="486"/>
      <c r="H46" s="486"/>
      <c r="I46" s="486"/>
      <c r="J46" s="486"/>
      <c r="K46" s="486"/>
      <c r="L46" s="486"/>
      <c r="M46" s="486"/>
      <c r="N46" s="816"/>
      <c r="O46" s="485"/>
      <c r="P46" s="488"/>
      <c r="R46" s="489"/>
      <c r="S46" s="489"/>
      <c r="T46" s="489"/>
      <c r="U46" s="489"/>
      <c r="V46" s="489"/>
      <c r="W46" s="489"/>
      <c r="X46" s="489"/>
      <c r="Y46" s="490"/>
    </row>
    <row r="47" spans="1:25" ht="48.6">
      <c r="A47" s="781" t="s">
        <v>570</v>
      </c>
      <c r="B47" s="259">
        <v>0.67900000000000005</v>
      </c>
      <c r="C47" s="259">
        <v>0</v>
      </c>
      <c r="D47" s="259">
        <v>0</v>
      </c>
      <c r="E47" s="259">
        <v>0</v>
      </c>
      <c r="F47" s="259">
        <v>0</v>
      </c>
      <c r="G47" s="783">
        <v>0.67900000000000005</v>
      </c>
      <c r="H47" s="259">
        <v>0</v>
      </c>
      <c r="I47" s="259">
        <v>0</v>
      </c>
      <c r="J47" s="259">
        <v>0</v>
      </c>
      <c r="K47" s="259">
        <v>0</v>
      </c>
      <c r="L47" s="259">
        <v>0</v>
      </c>
      <c r="M47" s="783">
        <v>0</v>
      </c>
      <c r="N47" s="315">
        <v>-1</v>
      </c>
      <c r="O47" s="32" t="s">
        <v>571</v>
      </c>
      <c r="P47" s="233" t="s">
        <v>568</v>
      </c>
      <c r="R47" s="803" t="e">
        <f>#REF!*1000</f>
        <v>#REF!</v>
      </c>
      <c r="S47" s="803" t="e">
        <f>#REF!*1000</f>
        <v>#REF!</v>
      </c>
      <c r="T47" s="803" t="e">
        <f>#REF!*1000</f>
        <v>#REF!</v>
      </c>
      <c r="U47" s="803" t="e">
        <f>#REF!*1000</f>
        <v>#REF!</v>
      </c>
      <c r="V47" s="803" t="e">
        <f>#REF!*1000</f>
        <v>#REF!</v>
      </c>
      <c r="W47" s="803" t="e">
        <f>#REF!*1000</f>
        <v>#REF!</v>
      </c>
      <c r="X47" s="803" t="e">
        <f>#REF!*1000</f>
        <v>#REF!</v>
      </c>
      <c r="Y47" s="803" t="e">
        <f>#REF!*1000</f>
        <v>#REF!</v>
      </c>
    </row>
    <row r="48" spans="1:25" ht="81">
      <c r="A48" s="781" t="s">
        <v>572</v>
      </c>
      <c r="B48" s="782">
        <v>0</v>
      </c>
      <c r="C48" s="782">
        <v>0</v>
      </c>
      <c r="D48" s="782">
        <v>99.4</v>
      </c>
      <c r="E48" s="782">
        <v>0</v>
      </c>
      <c r="F48" s="782">
        <v>0</v>
      </c>
      <c r="G48" s="783">
        <v>99.4</v>
      </c>
      <c r="H48" s="782">
        <v>0</v>
      </c>
      <c r="I48" s="782">
        <v>0</v>
      </c>
      <c r="J48" s="782">
        <v>35.956000000000003</v>
      </c>
      <c r="K48" s="782">
        <v>0</v>
      </c>
      <c r="L48" s="782">
        <v>0</v>
      </c>
      <c r="M48" s="783">
        <v>35.956000000000003</v>
      </c>
      <c r="N48" s="315">
        <v>-0.63826961770623747</v>
      </c>
      <c r="O48" s="32" t="s">
        <v>573</v>
      </c>
      <c r="P48" s="233" t="s">
        <v>574</v>
      </c>
      <c r="R48" s="368" t="e">
        <f>#REF!*1000</f>
        <v>#REF!</v>
      </c>
      <c r="S48" s="368" t="e">
        <f>#REF!*1000</f>
        <v>#REF!</v>
      </c>
      <c r="T48" s="368" t="e">
        <f>#REF!*1000</f>
        <v>#REF!</v>
      </c>
      <c r="U48" s="368" t="e">
        <f>#REF!*1000</f>
        <v>#REF!</v>
      </c>
      <c r="V48" s="368" t="e">
        <f>#REF!*1000</f>
        <v>#REF!</v>
      </c>
      <c r="W48" s="368" t="e">
        <f>#REF!*1000</f>
        <v>#REF!</v>
      </c>
      <c r="X48" s="368" t="e">
        <f>#REF!*1000</f>
        <v>#REF!</v>
      </c>
      <c r="Y48" s="368" t="e">
        <f>#REF!*1000</f>
        <v>#REF!</v>
      </c>
    </row>
    <row r="49" spans="1:25" ht="16.149999999999999">
      <c r="A49" s="781" t="s">
        <v>575</v>
      </c>
      <c r="B49" s="259">
        <v>0.25</v>
      </c>
      <c r="C49" s="259">
        <v>0</v>
      </c>
      <c r="D49" s="259">
        <v>0</v>
      </c>
      <c r="E49" s="259">
        <v>0</v>
      </c>
      <c r="F49" s="259">
        <v>0</v>
      </c>
      <c r="G49" s="783">
        <v>0.25</v>
      </c>
      <c r="H49" s="259">
        <v>0</v>
      </c>
      <c r="I49" s="259">
        <v>0</v>
      </c>
      <c r="J49" s="259">
        <v>0</v>
      </c>
      <c r="K49" s="259">
        <v>0</v>
      </c>
      <c r="L49" s="259">
        <v>0</v>
      </c>
      <c r="M49" s="783">
        <v>0</v>
      </c>
      <c r="N49" s="315">
        <v>-1</v>
      </c>
      <c r="O49" s="32" t="s">
        <v>576</v>
      </c>
      <c r="P49" s="233" t="s">
        <v>577</v>
      </c>
      <c r="R49" s="803" t="e">
        <f>#REF!*1000</f>
        <v>#REF!</v>
      </c>
      <c r="S49" s="803" t="e">
        <f>#REF!*1000</f>
        <v>#REF!</v>
      </c>
      <c r="T49" s="803" t="e">
        <f>#REF!*1000</f>
        <v>#REF!</v>
      </c>
      <c r="U49" s="803" t="e">
        <f>#REF!*1000</f>
        <v>#REF!</v>
      </c>
      <c r="V49" s="803" t="e">
        <f>#REF!*1000</f>
        <v>#REF!</v>
      </c>
      <c r="W49" s="803" t="e">
        <f>#REF!*1000</f>
        <v>#REF!</v>
      </c>
      <c r="X49" s="803" t="e">
        <f>#REF!*1000</f>
        <v>#REF!</v>
      </c>
      <c r="Y49" s="803" t="e">
        <f>#REF!*1000</f>
        <v>#REF!</v>
      </c>
    </row>
    <row r="50" spans="1:25" ht="97.15">
      <c r="A50" s="781" t="s">
        <v>578</v>
      </c>
      <c r="B50" s="782">
        <v>8.5640000000000001</v>
      </c>
      <c r="C50" s="782">
        <v>0</v>
      </c>
      <c r="D50" s="782">
        <v>12.882</v>
      </c>
      <c r="E50" s="782">
        <v>0</v>
      </c>
      <c r="F50" s="782">
        <v>0</v>
      </c>
      <c r="G50" s="783">
        <v>21.445999999999998</v>
      </c>
      <c r="H50" s="782">
        <v>9.4420000000000002</v>
      </c>
      <c r="I50" s="782">
        <v>0</v>
      </c>
      <c r="J50" s="782">
        <v>0</v>
      </c>
      <c r="K50" s="782">
        <v>0</v>
      </c>
      <c r="L50" s="782">
        <v>0</v>
      </c>
      <c r="M50" s="783">
        <v>9.4420000000000002</v>
      </c>
      <c r="N50" s="315">
        <v>-0.55973141844633023</v>
      </c>
      <c r="O50" s="32" t="s">
        <v>579</v>
      </c>
      <c r="P50" s="233" t="s">
        <v>580</v>
      </c>
      <c r="R50" s="368" t="e">
        <f>#REF!*1000</f>
        <v>#REF!</v>
      </c>
      <c r="S50" s="368" t="e">
        <f>#REF!*1000</f>
        <v>#REF!</v>
      </c>
      <c r="T50" s="368" t="e">
        <f>#REF!*1000</f>
        <v>#REF!</v>
      </c>
      <c r="U50" s="368" t="e">
        <f>#REF!*1000</f>
        <v>#REF!</v>
      </c>
      <c r="V50" s="368" t="e">
        <f>#REF!*1000</f>
        <v>#REF!</v>
      </c>
      <c r="W50" s="368" t="e">
        <f>#REF!*1000</f>
        <v>#REF!</v>
      </c>
      <c r="X50" s="368" t="e">
        <f>#REF!*1000</f>
        <v>#REF!</v>
      </c>
      <c r="Y50" s="368" t="e">
        <f>#REF!*1000</f>
        <v>#REF!</v>
      </c>
    </row>
    <row r="51" spans="1:25" ht="32.450000000000003">
      <c r="A51" s="318" t="s">
        <v>581</v>
      </c>
      <c r="B51" s="319">
        <v>64.337000000000003</v>
      </c>
      <c r="C51" s="319">
        <v>5.7279999999999998</v>
      </c>
      <c r="D51" s="319">
        <v>278.53200000000004</v>
      </c>
      <c r="E51" s="319">
        <v>0</v>
      </c>
      <c r="F51" s="319">
        <v>0</v>
      </c>
      <c r="G51" s="319">
        <v>348.59700000000004</v>
      </c>
      <c r="H51" s="319">
        <v>83.36099999999999</v>
      </c>
      <c r="I51" s="319">
        <v>12.725999999999999</v>
      </c>
      <c r="J51" s="319">
        <v>211.672</v>
      </c>
      <c r="K51" s="319">
        <v>0</v>
      </c>
      <c r="L51" s="319">
        <v>0</v>
      </c>
      <c r="M51" s="319">
        <v>307.75900000000001</v>
      </c>
      <c r="N51" s="320">
        <v>-0.11714960254964907</v>
      </c>
      <c r="O51" s="321"/>
      <c r="P51" s="344"/>
      <c r="R51" s="345"/>
      <c r="S51" s="345"/>
      <c r="T51" s="345"/>
      <c r="U51" s="345"/>
      <c r="V51" s="345"/>
      <c r="W51" s="345"/>
      <c r="X51" s="345"/>
      <c r="Y51" s="345"/>
    </row>
    <row r="52" spans="1:25" ht="16.149999999999999">
      <c r="A52" s="791"/>
      <c r="B52" s="792"/>
      <c r="C52" s="792"/>
      <c r="D52" s="792"/>
      <c r="E52" s="792"/>
      <c r="F52" s="792"/>
      <c r="G52" s="792"/>
      <c r="H52" s="792"/>
      <c r="I52" s="792"/>
      <c r="J52" s="792"/>
      <c r="K52" s="792"/>
      <c r="L52" s="792"/>
      <c r="M52" s="792"/>
      <c r="N52" s="304"/>
      <c r="O52" s="488"/>
      <c r="P52" s="488"/>
      <c r="R52" s="306"/>
      <c r="S52" s="306"/>
      <c r="T52" s="306"/>
      <c r="U52" s="306"/>
      <c r="V52" s="306"/>
      <c r="W52" s="306"/>
      <c r="X52" s="306"/>
      <c r="Y52" s="307"/>
    </row>
    <row r="53" spans="1:25" ht="48.6">
      <c r="A53" s="308" t="s">
        <v>582</v>
      </c>
      <c r="B53" s="817"/>
      <c r="C53" s="817"/>
      <c r="D53" s="817"/>
      <c r="E53" s="817"/>
      <c r="F53" s="817"/>
      <c r="G53" s="817"/>
      <c r="H53" s="817"/>
      <c r="I53" s="817"/>
      <c r="J53" s="817"/>
      <c r="K53" s="817"/>
      <c r="L53" s="817"/>
      <c r="M53" s="817"/>
      <c r="N53" s="818"/>
      <c r="O53" s="819"/>
      <c r="P53" s="819"/>
      <c r="R53" s="820"/>
      <c r="S53" s="820"/>
      <c r="T53" s="820"/>
      <c r="U53" s="820"/>
      <c r="V53" s="820"/>
      <c r="W53" s="820"/>
      <c r="X53" s="820"/>
      <c r="Y53" s="821"/>
    </row>
    <row r="54" spans="1:25" ht="16.149999999999999">
      <c r="A54" s="791"/>
      <c r="B54" s="792"/>
      <c r="C54" s="792"/>
      <c r="D54" s="792"/>
      <c r="E54" s="792"/>
      <c r="F54" s="792"/>
      <c r="G54" s="792"/>
      <c r="H54" s="792"/>
      <c r="I54" s="792"/>
      <c r="J54" s="792"/>
      <c r="K54" s="792"/>
      <c r="L54" s="792"/>
      <c r="M54" s="792"/>
      <c r="N54" s="802"/>
      <c r="O54" s="488"/>
      <c r="P54" s="488"/>
      <c r="R54" s="306"/>
      <c r="S54" s="306"/>
      <c r="T54" s="306"/>
      <c r="U54" s="306"/>
      <c r="V54" s="306"/>
      <c r="W54" s="306"/>
      <c r="X54" s="306"/>
      <c r="Y54" s="307"/>
    </row>
    <row r="55" spans="1:25" ht="105" customHeight="1">
      <c r="A55" s="781" t="s">
        <v>583</v>
      </c>
      <c r="B55" s="782">
        <v>0</v>
      </c>
      <c r="C55" s="782">
        <v>0</v>
      </c>
      <c r="D55" s="782">
        <v>121.89100000000001</v>
      </c>
      <c r="E55" s="782">
        <v>0</v>
      </c>
      <c r="F55" s="782">
        <v>0</v>
      </c>
      <c r="G55" s="783">
        <v>121.89100000000001</v>
      </c>
      <c r="H55" s="782">
        <v>0</v>
      </c>
      <c r="I55" s="782">
        <v>0</v>
      </c>
      <c r="J55" s="782">
        <v>133.5976</v>
      </c>
      <c r="K55" s="782">
        <v>0</v>
      </c>
      <c r="L55" s="782">
        <v>0</v>
      </c>
      <c r="M55" s="783">
        <v>133.5976</v>
      </c>
      <c r="N55" s="315">
        <v>9.604154531507654E-2</v>
      </c>
      <c r="O55" s="32" t="s">
        <v>584</v>
      </c>
      <c r="P55" s="233" t="s">
        <v>585</v>
      </c>
      <c r="R55" s="368" t="e">
        <f>#REF!*1000</f>
        <v>#REF!</v>
      </c>
      <c r="S55" s="368" t="e">
        <f>#REF!*1000</f>
        <v>#REF!</v>
      </c>
      <c r="T55" s="368" t="e">
        <f>#REF!*1000</f>
        <v>#REF!</v>
      </c>
      <c r="U55" s="368" t="e">
        <f>#REF!*1000</f>
        <v>#REF!</v>
      </c>
      <c r="V55" s="368" t="e">
        <f>#REF!*1000</f>
        <v>#REF!</v>
      </c>
      <c r="W55" s="368" t="e">
        <f>#REF!*1000</f>
        <v>#REF!</v>
      </c>
      <c r="X55" s="368" t="e">
        <f>#REF!*1000</f>
        <v>#REF!</v>
      </c>
      <c r="Y55" s="368" t="e">
        <f>#REF!*1000</f>
        <v>#REF!</v>
      </c>
    </row>
    <row r="56" spans="1:25" ht="16.149999999999999">
      <c r="A56" s="815"/>
      <c r="B56" s="486"/>
      <c r="C56" s="486"/>
      <c r="D56" s="486"/>
      <c r="E56" s="486"/>
      <c r="F56" s="486"/>
      <c r="G56" s="486"/>
      <c r="H56" s="486"/>
      <c r="I56" s="486"/>
      <c r="J56" s="486"/>
      <c r="K56" s="486"/>
      <c r="L56" s="486"/>
      <c r="M56" s="486"/>
      <c r="N56" s="487"/>
      <c r="O56" s="488"/>
      <c r="P56" s="485"/>
      <c r="R56" s="489"/>
      <c r="S56" s="489"/>
      <c r="T56" s="489"/>
      <c r="U56" s="489"/>
      <c r="V56" s="489"/>
      <c r="W56" s="489"/>
      <c r="X56" s="489"/>
      <c r="Y56" s="490"/>
    </row>
    <row r="57" spans="1:25" ht="16.149999999999999">
      <c r="A57" s="592" t="s">
        <v>586</v>
      </c>
      <c r="B57" s="208"/>
      <c r="C57" s="208"/>
      <c r="D57" s="208"/>
      <c r="E57" s="208"/>
      <c r="F57" s="208"/>
      <c r="G57" s="208"/>
      <c r="H57" s="208"/>
      <c r="I57" s="208"/>
      <c r="J57" s="208"/>
      <c r="K57" s="208"/>
      <c r="L57" s="208"/>
      <c r="M57" s="208"/>
      <c r="N57" s="593"/>
      <c r="O57" s="822"/>
      <c r="P57" s="822"/>
      <c r="R57" s="205"/>
      <c r="S57" s="205"/>
      <c r="T57" s="205"/>
      <c r="U57" s="205"/>
      <c r="V57" s="205"/>
      <c r="W57" s="205"/>
      <c r="X57" s="205"/>
      <c r="Y57" s="204"/>
    </row>
    <row r="58" spans="1:25" ht="32.450000000000003">
      <c r="A58" s="778" t="s">
        <v>587</v>
      </c>
      <c r="B58" s="779">
        <v>0</v>
      </c>
      <c r="C58" s="779">
        <v>0</v>
      </c>
      <c r="D58" s="779">
        <v>6.53</v>
      </c>
      <c r="E58" s="779">
        <v>0</v>
      </c>
      <c r="F58" s="779">
        <v>0</v>
      </c>
      <c r="G58" s="780">
        <v>6.53</v>
      </c>
      <c r="H58" s="779">
        <v>0</v>
      </c>
      <c r="I58" s="779">
        <v>0</v>
      </c>
      <c r="J58" s="779">
        <v>7.9</v>
      </c>
      <c r="K58" s="779">
        <v>0</v>
      </c>
      <c r="L58" s="779">
        <v>0</v>
      </c>
      <c r="M58" s="780">
        <v>7.9</v>
      </c>
      <c r="N58" s="315">
        <v>0.20980091883614091</v>
      </c>
      <c r="O58" s="332" t="s">
        <v>588</v>
      </c>
      <c r="P58" s="333" t="s">
        <v>589</v>
      </c>
      <c r="R58" s="361" t="e">
        <f>#REF!*1000</f>
        <v>#REF!</v>
      </c>
      <c r="S58" s="361" t="e">
        <f>#REF!*1000</f>
        <v>#REF!</v>
      </c>
      <c r="T58" s="361" t="e">
        <f>#REF!*1000</f>
        <v>#REF!</v>
      </c>
      <c r="U58" s="361" t="e">
        <f>#REF!*1000</f>
        <v>#REF!</v>
      </c>
      <c r="V58" s="361" t="e">
        <f>#REF!*1000</f>
        <v>#REF!</v>
      </c>
      <c r="W58" s="361" t="e">
        <f>#REF!*1000</f>
        <v>#REF!</v>
      </c>
      <c r="X58" s="361" t="e">
        <f>#REF!*1000</f>
        <v>#REF!</v>
      </c>
      <c r="Y58" s="361" t="e">
        <f>#REF!*1000</f>
        <v>#REF!</v>
      </c>
    </row>
    <row r="59" spans="1:25" ht="32.450000000000003">
      <c r="A59" s="781" t="s">
        <v>590</v>
      </c>
      <c r="B59" s="782">
        <v>1.6120000000000001</v>
      </c>
      <c r="C59" s="782">
        <v>0</v>
      </c>
      <c r="D59" s="782">
        <v>0</v>
      </c>
      <c r="E59" s="782">
        <v>0</v>
      </c>
      <c r="F59" s="782">
        <v>0</v>
      </c>
      <c r="G59" s="783">
        <v>1.6120000000000001</v>
      </c>
      <c r="H59" s="782">
        <v>1.83</v>
      </c>
      <c r="I59" s="782">
        <v>0</v>
      </c>
      <c r="J59" s="782">
        <v>0</v>
      </c>
      <c r="K59" s="782">
        <v>0</v>
      </c>
      <c r="L59" s="782">
        <v>0</v>
      </c>
      <c r="M59" s="783">
        <v>1.83</v>
      </c>
      <c r="N59" s="315">
        <v>0.13523573200992553</v>
      </c>
      <c r="O59" s="32" t="s">
        <v>591</v>
      </c>
      <c r="P59" s="233" t="s">
        <v>592</v>
      </c>
      <c r="R59" s="368" t="e">
        <f>#REF!*1000</f>
        <v>#REF!</v>
      </c>
      <c r="S59" s="368" t="e">
        <f>#REF!*1000</f>
        <v>#REF!</v>
      </c>
      <c r="T59" s="368" t="e">
        <f>#REF!*1000</f>
        <v>#REF!</v>
      </c>
      <c r="U59" s="368" t="e">
        <f>#REF!*1000</f>
        <v>#REF!</v>
      </c>
      <c r="V59" s="368" t="e">
        <f>#REF!*1000</f>
        <v>#REF!</v>
      </c>
      <c r="W59" s="368" t="e">
        <f>#REF!*1000</f>
        <v>#REF!</v>
      </c>
      <c r="X59" s="368" t="e">
        <f>#REF!*1000</f>
        <v>#REF!</v>
      </c>
      <c r="Y59" s="368" t="e">
        <f>#REF!*1000</f>
        <v>#REF!</v>
      </c>
    </row>
    <row r="60" spans="1:25" ht="32.450000000000003">
      <c r="A60" s="607" t="s">
        <v>593</v>
      </c>
      <c r="B60" s="168">
        <v>1.6120000000000001</v>
      </c>
      <c r="C60" s="168">
        <v>0</v>
      </c>
      <c r="D60" s="168">
        <v>6.53</v>
      </c>
      <c r="E60" s="168">
        <v>0</v>
      </c>
      <c r="F60" s="168">
        <v>0</v>
      </c>
      <c r="G60" s="168">
        <v>8.1419999999999995</v>
      </c>
      <c r="H60" s="168">
        <v>1.83</v>
      </c>
      <c r="I60" s="168">
        <v>0</v>
      </c>
      <c r="J60" s="168">
        <v>7.9</v>
      </c>
      <c r="K60" s="168">
        <v>0</v>
      </c>
      <c r="L60" s="168">
        <v>0</v>
      </c>
      <c r="M60" s="168">
        <v>9.73</v>
      </c>
      <c r="N60" s="337">
        <v>0.19503807418324748</v>
      </c>
      <c r="O60" s="338"/>
      <c r="P60" s="339"/>
      <c r="R60" s="396"/>
      <c r="S60" s="396"/>
      <c r="T60" s="396"/>
      <c r="U60" s="396"/>
      <c r="V60" s="396"/>
      <c r="W60" s="396"/>
      <c r="X60" s="396"/>
      <c r="Y60" s="396"/>
    </row>
    <row r="61" spans="1:25" ht="16.149999999999999">
      <c r="A61" s="815"/>
      <c r="B61" s="486"/>
      <c r="C61" s="486"/>
      <c r="D61" s="486"/>
      <c r="E61" s="486"/>
      <c r="F61" s="486"/>
      <c r="G61" s="486"/>
      <c r="H61" s="486"/>
      <c r="I61" s="486"/>
      <c r="J61" s="486"/>
      <c r="K61" s="486"/>
      <c r="L61" s="486"/>
      <c r="M61" s="486"/>
      <c r="N61" s="816"/>
      <c r="O61" s="488"/>
      <c r="P61" s="485"/>
      <c r="R61" s="489"/>
      <c r="S61" s="489"/>
      <c r="T61" s="489"/>
      <c r="U61" s="489"/>
      <c r="V61" s="489"/>
      <c r="W61" s="489"/>
      <c r="X61" s="489"/>
      <c r="Y61" s="490"/>
    </row>
    <row r="62" spans="1:25" ht="32.450000000000003">
      <c r="A62" s="781" t="s">
        <v>594</v>
      </c>
      <c r="B62" s="782">
        <v>0</v>
      </c>
      <c r="C62" s="782">
        <v>0</v>
      </c>
      <c r="D62" s="782">
        <v>0</v>
      </c>
      <c r="E62" s="782">
        <v>0</v>
      </c>
      <c r="F62" s="782">
        <v>0</v>
      </c>
      <c r="G62" s="783">
        <v>0</v>
      </c>
      <c r="H62" s="782">
        <v>0</v>
      </c>
      <c r="I62" s="782">
        <v>0</v>
      </c>
      <c r="J62" s="782">
        <v>0</v>
      </c>
      <c r="K62" s="782">
        <v>0</v>
      </c>
      <c r="L62" s="782">
        <v>0</v>
      </c>
      <c r="M62" s="783">
        <v>0</v>
      </c>
      <c r="N62" s="315" t="s">
        <v>204</v>
      </c>
      <c r="O62" s="32" t="s">
        <v>595</v>
      </c>
      <c r="P62" s="233" t="s">
        <v>596</v>
      </c>
      <c r="R62" s="368" t="e">
        <f>#REF!*1000</f>
        <v>#REF!</v>
      </c>
      <c r="S62" s="368" t="e">
        <f>#REF!*1000</f>
        <v>#REF!</v>
      </c>
      <c r="T62" s="368" t="e">
        <f>#REF!*1000</f>
        <v>#REF!</v>
      </c>
      <c r="U62" s="368" t="e">
        <f>#REF!*1000</f>
        <v>#REF!</v>
      </c>
      <c r="V62" s="368" t="e">
        <f>#REF!*1000</f>
        <v>#REF!</v>
      </c>
      <c r="W62" s="368" t="e">
        <f>#REF!*1000</f>
        <v>#REF!</v>
      </c>
      <c r="X62" s="368" t="e">
        <f>#REF!*1000</f>
        <v>#REF!</v>
      </c>
      <c r="Y62" s="368" t="e">
        <f>#REF!*1000</f>
        <v>#REF!</v>
      </c>
    </row>
    <row r="63" spans="1:25" ht="16.149999999999999">
      <c r="A63" s="815"/>
      <c r="B63" s="486"/>
      <c r="C63" s="486"/>
      <c r="D63" s="486"/>
      <c r="E63" s="486"/>
      <c r="F63" s="486"/>
      <c r="G63" s="486"/>
      <c r="H63" s="486"/>
      <c r="I63" s="486"/>
      <c r="J63" s="486"/>
      <c r="K63" s="486"/>
      <c r="L63" s="486"/>
      <c r="M63" s="486"/>
      <c r="N63" s="487"/>
      <c r="O63" s="488"/>
      <c r="P63" s="485"/>
      <c r="R63" s="489"/>
      <c r="S63" s="489"/>
      <c r="T63" s="489"/>
      <c r="U63" s="489"/>
      <c r="V63" s="489"/>
      <c r="W63" s="489"/>
      <c r="X63" s="489"/>
      <c r="Y63" s="490"/>
    </row>
    <row r="64" spans="1:25" ht="32.450000000000003">
      <c r="A64" s="592" t="s">
        <v>597</v>
      </c>
      <c r="B64" s="208"/>
      <c r="C64" s="208"/>
      <c r="D64" s="208"/>
      <c r="E64" s="208"/>
      <c r="F64" s="208"/>
      <c r="G64" s="208"/>
      <c r="H64" s="208"/>
      <c r="I64" s="208"/>
      <c r="J64" s="208"/>
      <c r="K64" s="208"/>
      <c r="L64" s="208"/>
      <c r="M64" s="208"/>
      <c r="N64" s="593"/>
      <c r="O64" s="801"/>
      <c r="P64" s="822"/>
      <c r="R64" s="205"/>
      <c r="S64" s="205"/>
      <c r="T64" s="205"/>
      <c r="U64" s="205"/>
      <c r="V64" s="205"/>
      <c r="W64" s="205"/>
      <c r="X64" s="205"/>
      <c r="Y64" s="204"/>
    </row>
    <row r="65" spans="1:25" ht="16.149999999999999">
      <c r="A65" s="778" t="s">
        <v>598</v>
      </c>
      <c r="B65" s="779">
        <v>7.0810000000000004</v>
      </c>
      <c r="C65" s="779">
        <v>0</v>
      </c>
      <c r="D65" s="779">
        <v>0</v>
      </c>
      <c r="E65" s="779">
        <v>0</v>
      </c>
      <c r="F65" s="779">
        <v>0</v>
      </c>
      <c r="G65" s="780">
        <v>7.0810000000000004</v>
      </c>
      <c r="H65" s="779">
        <v>7.53</v>
      </c>
      <c r="I65" s="779">
        <v>0</v>
      </c>
      <c r="J65" s="779">
        <v>0</v>
      </c>
      <c r="K65" s="779">
        <v>0</v>
      </c>
      <c r="L65" s="779">
        <v>0</v>
      </c>
      <c r="M65" s="780">
        <v>7.53</v>
      </c>
      <c r="N65" s="315">
        <v>6.3409123005225221E-2</v>
      </c>
      <c r="O65" s="332" t="s">
        <v>599</v>
      </c>
      <c r="P65" s="333" t="s">
        <v>600</v>
      </c>
      <c r="R65" s="361" t="e">
        <f>#REF!*1000</f>
        <v>#REF!</v>
      </c>
      <c r="S65" s="361" t="e">
        <f>#REF!*1000</f>
        <v>#REF!</v>
      </c>
      <c r="T65" s="361" t="e">
        <f>#REF!*1000</f>
        <v>#REF!</v>
      </c>
      <c r="U65" s="361" t="e">
        <f>#REF!*1000</f>
        <v>#REF!</v>
      </c>
      <c r="V65" s="361" t="e">
        <f>#REF!*1000</f>
        <v>#REF!</v>
      </c>
      <c r="W65" s="361" t="e">
        <f>#REF!*1000</f>
        <v>#REF!</v>
      </c>
      <c r="X65" s="361" t="e">
        <f>#REF!*1000</f>
        <v>#REF!</v>
      </c>
      <c r="Y65" s="361" t="e">
        <f>#REF!*1000</f>
        <v>#REF!</v>
      </c>
    </row>
    <row r="66" spans="1:25" ht="162">
      <c r="A66" s="781" t="s">
        <v>601</v>
      </c>
      <c r="B66" s="259">
        <v>121.55200000000001</v>
      </c>
      <c r="C66" s="259">
        <v>0</v>
      </c>
      <c r="D66" s="259">
        <v>227.09700000000001</v>
      </c>
      <c r="E66" s="259">
        <v>0</v>
      </c>
      <c r="F66" s="259">
        <v>0</v>
      </c>
      <c r="G66" s="783">
        <v>348.649</v>
      </c>
      <c r="H66" s="259">
        <v>149.10300000000001</v>
      </c>
      <c r="I66" s="259">
        <v>0</v>
      </c>
      <c r="J66" s="259">
        <v>307.06299999999999</v>
      </c>
      <c r="K66" s="259">
        <v>0</v>
      </c>
      <c r="L66" s="259">
        <v>0</v>
      </c>
      <c r="M66" s="783">
        <v>456.166</v>
      </c>
      <c r="N66" s="315">
        <v>0.30838178225091711</v>
      </c>
      <c r="O66" s="32" t="s">
        <v>602</v>
      </c>
      <c r="P66" s="233" t="s">
        <v>603</v>
      </c>
      <c r="R66" s="803" t="e">
        <f>#REF!*1000</f>
        <v>#REF!</v>
      </c>
      <c r="S66" s="803" t="e">
        <f>#REF!*1000</f>
        <v>#REF!</v>
      </c>
      <c r="T66" s="803" t="e">
        <f>#REF!*1000</f>
        <v>#REF!</v>
      </c>
      <c r="U66" s="803" t="e">
        <f>#REF!*1000</f>
        <v>#REF!</v>
      </c>
      <c r="V66" s="803" t="e">
        <f>#REF!*1000</f>
        <v>#REF!</v>
      </c>
      <c r="W66" s="803" t="e">
        <f>#REF!*1000</f>
        <v>#REF!</v>
      </c>
      <c r="X66" s="803" t="e">
        <f>#REF!*1000</f>
        <v>#REF!</v>
      </c>
      <c r="Y66" s="803" t="e">
        <f>#REF!*1000</f>
        <v>#REF!</v>
      </c>
    </row>
    <row r="67" spans="1:25" ht="48.6">
      <c r="A67" s="781" t="s">
        <v>604</v>
      </c>
      <c r="B67" s="782">
        <v>0</v>
      </c>
      <c r="C67" s="782">
        <v>0</v>
      </c>
      <c r="D67" s="782">
        <v>0</v>
      </c>
      <c r="E67" s="782">
        <v>0</v>
      </c>
      <c r="F67" s="782">
        <v>0</v>
      </c>
      <c r="G67" s="783">
        <v>0</v>
      </c>
      <c r="H67" s="782">
        <v>0</v>
      </c>
      <c r="I67" s="782">
        <v>0</v>
      </c>
      <c r="J67" s="782">
        <v>46.969000000000001</v>
      </c>
      <c r="K67" s="782">
        <v>0</v>
      </c>
      <c r="L67" s="782">
        <v>0</v>
      </c>
      <c r="M67" s="783">
        <v>46.969000000000001</v>
      </c>
      <c r="N67" s="315" t="s">
        <v>204</v>
      </c>
      <c r="O67" s="32" t="s">
        <v>605</v>
      </c>
      <c r="P67" s="233" t="s">
        <v>606</v>
      </c>
      <c r="R67" s="368"/>
      <c r="S67" s="368"/>
      <c r="T67" s="368"/>
      <c r="U67" s="368"/>
      <c r="V67" s="368"/>
      <c r="W67" s="368"/>
      <c r="X67" s="368"/>
      <c r="Y67" s="368"/>
    </row>
    <row r="68" spans="1:25" ht="64.900000000000006">
      <c r="A68" s="781" t="s">
        <v>607</v>
      </c>
      <c r="B68" s="782">
        <v>16.832999999999998</v>
      </c>
      <c r="C68" s="782">
        <v>0</v>
      </c>
      <c r="D68" s="782">
        <v>0</v>
      </c>
      <c r="E68" s="782">
        <v>0</v>
      </c>
      <c r="F68" s="782">
        <v>0</v>
      </c>
      <c r="G68" s="783">
        <v>16.832999999999998</v>
      </c>
      <c r="H68" s="782">
        <v>14.002000000000001</v>
      </c>
      <c r="I68" s="782">
        <v>0</v>
      </c>
      <c r="J68" s="782">
        <v>0</v>
      </c>
      <c r="K68" s="782">
        <v>0</v>
      </c>
      <c r="L68" s="782">
        <v>0</v>
      </c>
      <c r="M68" s="783">
        <v>14.002000000000001</v>
      </c>
      <c r="N68" s="315">
        <v>-0.16818154814946817</v>
      </c>
      <c r="O68" s="32" t="s">
        <v>608</v>
      </c>
      <c r="P68" s="233" t="s">
        <v>609</v>
      </c>
      <c r="R68" s="368" t="e">
        <f>#REF!*1000</f>
        <v>#REF!</v>
      </c>
      <c r="S68" s="368" t="e">
        <f>#REF!*1000</f>
        <v>#REF!</v>
      </c>
      <c r="T68" s="368" t="e">
        <f>#REF!*1000</f>
        <v>#REF!</v>
      </c>
      <c r="U68" s="368" t="e">
        <f>#REF!*1000</f>
        <v>#REF!</v>
      </c>
      <c r="V68" s="368" t="e">
        <f>#REF!*1000</f>
        <v>#REF!</v>
      </c>
      <c r="W68" s="368" t="e">
        <f>#REF!*1000</f>
        <v>#REF!</v>
      </c>
      <c r="X68" s="368" t="e">
        <f>#REF!*1000</f>
        <v>#REF!</v>
      </c>
      <c r="Y68" s="368" t="e">
        <f>#REF!*1000</f>
        <v>#REF!</v>
      </c>
    </row>
    <row r="69" spans="1:25" ht="32.450000000000003">
      <c r="A69" s="607" t="s">
        <v>610</v>
      </c>
      <c r="B69" s="168">
        <v>145.46600000000001</v>
      </c>
      <c r="C69" s="168">
        <v>0</v>
      </c>
      <c r="D69" s="168">
        <v>227.09700000000001</v>
      </c>
      <c r="E69" s="168">
        <v>0</v>
      </c>
      <c r="F69" s="168">
        <v>0</v>
      </c>
      <c r="G69" s="168">
        <v>372.56299999999999</v>
      </c>
      <c r="H69" s="168">
        <v>170.63500000000002</v>
      </c>
      <c r="I69" s="168">
        <v>0</v>
      </c>
      <c r="J69" s="168">
        <v>354.03199999999998</v>
      </c>
      <c r="K69" s="168">
        <v>0</v>
      </c>
      <c r="L69" s="168">
        <v>0</v>
      </c>
      <c r="M69" s="168">
        <v>524.66699999999992</v>
      </c>
      <c r="N69" s="337">
        <v>0.40826383725705434</v>
      </c>
      <c r="O69" s="807"/>
      <c r="P69" s="339"/>
      <c r="R69" s="396"/>
      <c r="S69" s="396"/>
      <c r="T69" s="396"/>
      <c r="U69" s="396"/>
      <c r="V69" s="396"/>
      <c r="W69" s="396"/>
      <c r="X69" s="396"/>
      <c r="Y69" s="396"/>
    </row>
    <row r="70" spans="1:25" ht="16.149999999999999">
      <c r="A70" s="793"/>
      <c r="B70" s="794"/>
      <c r="C70" s="794"/>
      <c r="D70" s="794"/>
      <c r="E70" s="794"/>
      <c r="F70" s="794"/>
      <c r="G70" s="795"/>
      <c r="H70" s="794"/>
      <c r="I70" s="794"/>
      <c r="J70" s="794"/>
      <c r="K70" s="794"/>
      <c r="L70" s="794"/>
      <c r="M70" s="795"/>
      <c r="N70" s="823"/>
      <c r="O70" s="797"/>
      <c r="P70" s="793"/>
      <c r="R70" s="378"/>
      <c r="S70" s="378"/>
      <c r="T70" s="378"/>
      <c r="U70" s="378"/>
      <c r="V70" s="378"/>
      <c r="W70" s="378"/>
      <c r="X70" s="378"/>
      <c r="Y70" s="379"/>
    </row>
    <row r="71" spans="1:25" ht="48.6">
      <c r="A71" s="781" t="s">
        <v>611</v>
      </c>
      <c r="B71" s="782">
        <v>0</v>
      </c>
      <c r="C71" s="782">
        <v>168.6</v>
      </c>
      <c r="D71" s="782">
        <v>0</v>
      </c>
      <c r="E71" s="782">
        <v>0</v>
      </c>
      <c r="F71" s="782">
        <v>0</v>
      </c>
      <c r="G71" s="783">
        <v>168.6</v>
      </c>
      <c r="H71" s="782">
        <v>0</v>
      </c>
      <c r="I71" s="782">
        <v>209.5</v>
      </c>
      <c r="J71" s="782">
        <v>0</v>
      </c>
      <c r="K71" s="782">
        <v>0</v>
      </c>
      <c r="L71" s="782">
        <v>0</v>
      </c>
      <c r="M71" s="783">
        <v>209.5</v>
      </c>
      <c r="N71" s="315">
        <v>0.24258600237247929</v>
      </c>
      <c r="O71" s="32" t="s">
        <v>612</v>
      </c>
      <c r="P71" s="233" t="s">
        <v>613</v>
      </c>
      <c r="R71" s="368" t="e">
        <f>#REF!*1000</f>
        <v>#REF!</v>
      </c>
      <c r="S71" s="368" t="e">
        <f>#REF!*1000</f>
        <v>#REF!</v>
      </c>
      <c r="T71" s="368" t="e">
        <f>#REF!*1000</f>
        <v>#REF!</v>
      </c>
      <c r="U71" s="368" t="e">
        <f>#REF!*1000</f>
        <v>#REF!</v>
      </c>
      <c r="V71" s="368" t="e">
        <f>#REF!*1000</f>
        <v>#REF!</v>
      </c>
      <c r="W71" s="368" t="e">
        <f>#REF!*1000</f>
        <v>#REF!</v>
      </c>
      <c r="X71" s="368" t="e">
        <f>#REF!*1000</f>
        <v>#REF!</v>
      </c>
      <c r="Y71" s="368" t="e">
        <f>#REF!*1000</f>
        <v>#REF!</v>
      </c>
    </row>
    <row r="72" spans="1:25" ht="16.149999999999999">
      <c r="A72" s="793"/>
      <c r="B72" s="794"/>
      <c r="C72" s="794"/>
      <c r="D72" s="794"/>
      <c r="E72" s="794"/>
      <c r="F72" s="794"/>
      <c r="G72" s="795"/>
      <c r="H72" s="794"/>
      <c r="I72" s="794"/>
      <c r="J72" s="794"/>
      <c r="K72" s="794"/>
      <c r="L72" s="794"/>
      <c r="M72" s="795"/>
      <c r="N72" s="796"/>
      <c r="O72" s="797"/>
      <c r="P72" s="793"/>
      <c r="R72" s="378"/>
      <c r="S72" s="378"/>
      <c r="T72" s="378"/>
      <c r="U72" s="378"/>
      <c r="V72" s="378"/>
      <c r="W72" s="378"/>
      <c r="X72" s="378"/>
      <c r="Y72" s="379"/>
    </row>
    <row r="73" spans="1:25" ht="16.149999999999999">
      <c r="A73" s="592" t="s">
        <v>614</v>
      </c>
      <c r="B73" s="208"/>
      <c r="C73" s="208"/>
      <c r="D73" s="208"/>
      <c r="E73" s="208"/>
      <c r="F73" s="208"/>
      <c r="G73" s="208"/>
      <c r="H73" s="208"/>
      <c r="I73" s="208"/>
      <c r="J73" s="208"/>
      <c r="K73" s="208"/>
      <c r="L73" s="208"/>
      <c r="M73" s="208"/>
      <c r="N73" s="593"/>
      <c r="O73" s="801"/>
      <c r="P73" s="801"/>
      <c r="R73" s="205"/>
      <c r="S73" s="205"/>
      <c r="T73" s="205"/>
      <c r="U73" s="205"/>
      <c r="V73" s="205"/>
      <c r="W73" s="205"/>
      <c r="X73" s="205"/>
      <c r="Y73" s="204"/>
    </row>
    <row r="74" spans="1:25" ht="48.6">
      <c r="A74" s="778" t="s">
        <v>615</v>
      </c>
      <c r="B74" s="779">
        <v>25.445</v>
      </c>
      <c r="C74" s="779">
        <v>0</v>
      </c>
      <c r="D74" s="779">
        <v>0</v>
      </c>
      <c r="E74" s="779">
        <v>0</v>
      </c>
      <c r="F74" s="779">
        <v>0</v>
      </c>
      <c r="G74" s="780">
        <v>25.445</v>
      </c>
      <c r="H74" s="779">
        <v>26.783000000000001</v>
      </c>
      <c r="I74" s="779">
        <v>0</v>
      </c>
      <c r="J74" s="779">
        <v>0</v>
      </c>
      <c r="K74" s="779">
        <v>0</v>
      </c>
      <c r="L74" s="779">
        <v>0</v>
      </c>
      <c r="M74" s="780">
        <v>26.783000000000001</v>
      </c>
      <c r="N74" s="315">
        <v>5.2584004716054275E-2</v>
      </c>
      <c r="O74" s="332" t="s">
        <v>616</v>
      </c>
      <c r="P74" s="333" t="s">
        <v>617</v>
      </c>
      <c r="R74" s="361" t="e">
        <f>#REF!*1000</f>
        <v>#REF!</v>
      </c>
      <c r="S74" s="361" t="e">
        <f>#REF!*1000</f>
        <v>#REF!</v>
      </c>
      <c r="T74" s="361" t="e">
        <f>#REF!*1000</f>
        <v>#REF!</v>
      </c>
      <c r="U74" s="361" t="e">
        <f>#REF!*1000</f>
        <v>#REF!</v>
      </c>
      <c r="V74" s="361" t="e">
        <f>#REF!*1000</f>
        <v>#REF!</v>
      </c>
      <c r="W74" s="361" t="e">
        <f>#REF!*1000</f>
        <v>#REF!</v>
      </c>
      <c r="X74" s="361" t="e">
        <f>#REF!*1000</f>
        <v>#REF!</v>
      </c>
      <c r="Y74" s="361" t="e">
        <f>#REF!*1000</f>
        <v>#REF!</v>
      </c>
    </row>
    <row r="75" spans="1:25" ht="48.6">
      <c r="A75" s="781" t="s">
        <v>618</v>
      </c>
      <c r="B75" s="782">
        <v>29.611999999999998</v>
      </c>
      <c r="C75" s="782">
        <v>0</v>
      </c>
      <c r="D75" s="782">
        <v>0</v>
      </c>
      <c r="E75" s="782">
        <v>0</v>
      </c>
      <c r="F75" s="782">
        <v>0</v>
      </c>
      <c r="G75" s="783">
        <v>29.611999999999998</v>
      </c>
      <c r="H75" s="782">
        <v>40.466000000000001</v>
      </c>
      <c r="I75" s="782">
        <v>0</v>
      </c>
      <c r="J75" s="782">
        <v>0</v>
      </c>
      <c r="K75" s="782">
        <v>0</v>
      </c>
      <c r="L75" s="782">
        <v>0</v>
      </c>
      <c r="M75" s="783">
        <v>40.466000000000001</v>
      </c>
      <c r="N75" s="315">
        <v>0.36654059165203307</v>
      </c>
      <c r="O75" s="32" t="s">
        <v>619</v>
      </c>
      <c r="P75" s="233" t="s">
        <v>617</v>
      </c>
      <c r="R75" s="368" t="e">
        <f>#REF!*1000</f>
        <v>#REF!</v>
      </c>
      <c r="S75" s="368" t="e">
        <f>#REF!*1000</f>
        <v>#REF!</v>
      </c>
      <c r="T75" s="368" t="e">
        <f>#REF!*1000</f>
        <v>#REF!</v>
      </c>
      <c r="U75" s="368" t="e">
        <f>#REF!*1000</f>
        <v>#REF!</v>
      </c>
      <c r="V75" s="368" t="e">
        <f>#REF!*1000</f>
        <v>#REF!</v>
      </c>
      <c r="W75" s="368" t="e">
        <f>#REF!*1000</f>
        <v>#REF!</v>
      </c>
      <c r="X75" s="368" t="e">
        <f>#REF!*1000</f>
        <v>#REF!</v>
      </c>
      <c r="Y75" s="368" t="e">
        <f>#REF!*1000</f>
        <v>#REF!</v>
      </c>
    </row>
    <row r="76" spans="1:25" ht="48.6">
      <c r="A76" s="781" t="s">
        <v>620</v>
      </c>
      <c r="B76" s="782">
        <v>74.960999999999999</v>
      </c>
      <c r="C76" s="782">
        <v>0</v>
      </c>
      <c r="D76" s="782">
        <v>0</v>
      </c>
      <c r="E76" s="782">
        <v>0</v>
      </c>
      <c r="F76" s="782">
        <v>0</v>
      </c>
      <c r="G76" s="783">
        <v>74.960999999999999</v>
      </c>
      <c r="H76" s="782">
        <v>66.635999999999996</v>
      </c>
      <c r="I76" s="782">
        <v>0</v>
      </c>
      <c r="J76" s="782">
        <v>0</v>
      </c>
      <c r="K76" s="782">
        <v>0</v>
      </c>
      <c r="L76" s="782">
        <v>0</v>
      </c>
      <c r="M76" s="783">
        <v>66.635999999999996</v>
      </c>
      <c r="N76" s="315">
        <v>-0.11105775003001565</v>
      </c>
      <c r="O76" s="32" t="s">
        <v>621</v>
      </c>
      <c r="P76" s="233" t="s">
        <v>617</v>
      </c>
      <c r="R76" s="368" t="e">
        <f>#REF!*1000</f>
        <v>#REF!</v>
      </c>
      <c r="S76" s="368" t="e">
        <f>#REF!*1000</f>
        <v>#REF!</v>
      </c>
      <c r="T76" s="368" t="e">
        <f>#REF!*1000</f>
        <v>#REF!</v>
      </c>
      <c r="U76" s="368" t="e">
        <f>#REF!*1000</f>
        <v>#REF!</v>
      </c>
      <c r="V76" s="368" t="e">
        <f>#REF!*1000</f>
        <v>#REF!</v>
      </c>
      <c r="W76" s="368" t="e">
        <f>#REF!*1000</f>
        <v>#REF!</v>
      </c>
      <c r="X76" s="368" t="e">
        <f>#REF!*1000</f>
        <v>#REF!</v>
      </c>
      <c r="Y76" s="368" t="e">
        <f>#REF!*1000</f>
        <v>#REF!</v>
      </c>
    </row>
    <row r="77" spans="1:25" ht="16.149999999999999">
      <c r="A77" s="607" t="s">
        <v>622</v>
      </c>
      <c r="B77" s="168">
        <v>130.018</v>
      </c>
      <c r="C77" s="168">
        <v>0</v>
      </c>
      <c r="D77" s="168">
        <v>0</v>
      </c>
      <c r="E77" s="168">
        <v>0</v>
      </c>
      <c r="F77" s="168">
        <v>0</v>
      </c>
      <c r="G77" s="168">
        <v>130.018</v>
      </c>
      <c r="H77" s="168">
        <v>133.88499999999999</v>
      </c>
      <c r="I77" s="168">
        <v>0</v>
      </c>
      <c r="J77" s="168">
        <v>0</v>
      </c>
      <c r="K77" s="168">
        <v>0</v>
      </c>
      <c r="L77" s="168">
        <v>0</v>
      </c>
      <c r="M77" s="168">
        <v>133.88499999999999</v>
      </c>
      <c r="N77" s="337">
        <v>2.9742035718131259E-2</v>
      </c>
      <c r="O77" s="338"/>
      <c r="P77" s="339"/>
      <c r="R77" s="396"/>
      <c r="S77" s="396"/>
      <c r="T77" s="396"/>
      <c r="U77" s="396"/>
      <c r="V77" s="396"/>
      <c r="W77" s="396"/>
      <c r="X77" s="396"/>
      <c r="Y77" s="396"/>
    </row>
    <row r="78" spans="1:25" ht="16.149999999999999">
      <c r="A78" s="793"/>
      <c r="B78" s="824"/>
      <c r="C78" s="824"/>
      <c r="D78" s="824"/>
      <c r="E78" s="824"/>
      <c r="F78" s="824"/>
      <c r="G78" s="825"/>
      <c r="H78" s="824"/>
      <c r="I78" s="824"/>
      <c r="J78" s="824"/>
      <c r="K78" s="824"/>
      <c r="L78" s="824"/>
      <c r="M78" s="825"/>
      <c r="N78" s="796"/>
      <c r="O78" s="797"/>
      <c r="P78" s="793"/>
      <c r="R78" s="826"/>
      <c r="S78" s="826"/>
      <c r="T78" s="826"/>
      <c r="U78" s="826"/>
      <c r="V78" s="826"/>
      <c r="W78" s="826"/>
      <c r="X78" s="826"/>
      <c r="Y78" s="827"/>
    </row>
    <row r="79" spans="1:25" ht="48.6">
      <c r="A79" s="828" t="s">
        <v>623</v>
      </c>
      <c r="B79" s="319">
        <v>277.09600000000006</v>
      </c>
      <c r="C79" s="319">
        <v>168.6</v>
      </c>
      <c r="D79" s="319">
        <v>355.51800000000003</v>
      </c>
      <c r="E79" s="319">
        <v>0</v>
      </c>
      <c r="F79" s="319">
        <v>0</v>
      </c>
      <c r="G79" s="319">
        <v>801.21400000000006</v>
      </c>
      <c r="H79" s="319">
        <v>306.34999999999997</v>
      </c>
      <c r="I79" s="319">
        <v>209.5</v>
      </c>
      <c r="J79" s="319">
        <v>495.52959999999996</v>
      </c>
      <c r="K79" s="319">
        <v>0</v>
      </c>
      <c r="L79" s="319">
        <v>0</v>
      </c>
      <c r="M79" s="319">
        <v>1011.3796</v>
      </c>
      <c r="N79" s="320">
        <v>0.26230894617418055</v>
      </c>
      <c r="O79" s="321"/>
      <c r="P79" s="344"/>
      <c r="R79" s="345"/>
      <c r="S79" s="345"/>
      <c r="T79" s="345"/>
      <c r="U79" s="345"/>
      <c r="V79" s="345"/>
      <c r="W79" s="345"/>
      <c r="X79" s="345"/>
      <c r="Y79" s="345"/>
    </row>
    <row r="80" spans="1:25" ht="16.149999999999999">
      <c r="A80" s="791"/>
      <c r="B80" s="792"/>
      <c r="C80" s="792"/>
      <c r="D80" s="792"/>
      <c r="E80" s="792"/>
      <c r="F80" s="792"/>
      <c r="G80" s="792"/>
      <c r="H80" s="792"/>
      <c r="I80" s="792"/>
      <c r="J80" s="792"/>
      <c r="K80" s="792"/>
      <c r="L80" s="792"/>
      <c r="M80" s="792"/>
      <c r="N80" s="304"/>
      <c r="O80" s="488"/>
      <c r="P80" s="488"/>
      <c r="R80" s="306"/>
      <c r="S80" s="306"/>
      <c r="T80" s="306"/>
      <c r="U80" s="306"/>
      <c r="V80" s="306"/>
      <c r="W80" s="306"/>
      <c r="X80" s="306"/>
      <c r="Y80" s="307"/>
    </row>
    <row r="81" spans="1:25" ht="16.149999999999999">
      <c r="A81" s="308" t="s">
        <v>624</v>
      </c>
      <c r="B81" s="213"/>
      <c r="C81" s="213"/>
      <c r="D81" s="213"/>
      <c r="E81" s="213"/>
      <c r="F81" s="213"/>
      <c r="G81" s="213"/>
      <c r="H81" s="213"/>
      <c r="I81" s="213"/>
      <c r="J81" s="213"/>
      <c r="K81" s="213"/>
      <c r="L81" s="213"/>
      <c r="M81" s="213"/>
      <c r="N81" s="443"/>
      <c r="O81" s="789"/>
      <c r="P81" s="789"/>
      <c r="R81" s="211"/>
      <c r="S81" s="211"/>
      <c r="T81" s="211"/>
      <c r="U81" s="211"/>
      <c r="V81" s="211"/>
      <c r="W81" s="211"/>
      <c r="X81" s="211"/>
      <c r="Y81" s="210"/>
    </row>
    <row r="82" spans="1:25" ht="16.149999999999999">
      <c r="A82" s="791"/>
      <c r="B82" s="792"/>
      <c r="C82" s="792"/>
      <c r="D82" s="792"/>
      <c r="E82" s="792"/>
      <c r="F82" s="792"/>
      <c r="G82" s="792"/>
      <c r="H82" s="792"/>
      <c r="I82" s="792"/>
      <c r="J82" s="792"/>
      <c r="K82" s="792"/>
      <c r="L82" s="792"/>
      <c r="M82" s="792"/>
      <c r="N82" s="304"/>
      <c r="O82" s="488"/>
      <c r="P82" s="488"/>
      <c r="R82" s="306"/>
      <c r="S82" s="306"/>
      <c r="T82" s="306"/>
      <c r="U82" s="306"/>
      <c r="V82" s="306"/>
      <c r="W82" s="306"/>
      <c r="X82" s="306"/>
      <c r="Y82" s="307"/>
    </row>
    <row r="83" spans="1:25" ht="16.149999999999999">
      <c r="A83" s="592" t="s">
        <v>625</v>
      </c>
      <c r="B83" s="208"/>
      <c r="C83" s="208"/>
      <c r="D83" s="208"/>
      <c r="E83" s="208"/>
      <c r="F83" s="208"/>
      <c r="G83" s="208"/>
      <c r="H83" s="208"/>
      <c r="I83" s="208"/>
      <c r="J83" s="208"/>
      <c r="K83" s="208"/>
      <c r="L83" s="208"/>
      <c r="M83" s="208"/>
      <c r="N83" s="593"/>
      <c r="O83" s="801"/>
      <c r="P83" s="801"/>
      <c r="R83" s="205"/>
      <c r="S83" s="205"/>
      <c r="T83" s="205"/>
      <c r="U83" s="205"/>
      <c r="V83" s="205"/>
      <c r="W83" s="205"/>
      <c r="X83" s="205"/>
      <c r="Y83" s="204"/>
    </row>
    <row r="84" spans="1:25" ht="48.6">
      <c r="A84" s="778" t="s">
        <v>626</v>
      </c>
      <c r="B84" s="779">
        <v>186.33799999999999</v>
      </c>
      <c r="C84" s="779">
        <v>0</v>
      </c>
      <c r="D84" s="779">
        <v>18.058</v>
      </c>
      <c r="E84" s="779">
        <v>0</v>
      </c>
      <c r="F84" s="779">
        <v>0</v>
      </c>
      <c r="G84" s="780">
        <v>204.39599999999999</v>
      </c>
      <c r="H84" s="779">
        <v>228.88900000000001</v>
      </c>
      <c r="I84" s="779">
        <v>0</v>
      </c>
      <c r="J84" s="779">
        <v>26.6</v>
      </c>
      <c r="K84" s="779">
        <v>0</v>
      </c>
      <c r="L84" s="779">
        <v>0</v>
      </c>
      <c r="M84" s="780">
        <v>255.489</v>
      </c>
      <c r="N84" s="315">
        <v>0.24997064521810614</v>
      </c>
      <c r="O84" s="332" t="s">
        <v>627</v>
      </c>
      <c r="P84" s="333" t="s">
        <v>628</v>
      </c>
      <c r="R84" s="361" t="e">
        <f>#REF!*1000</f>
        <v>#REF!</v>
      </c>
      <c r="S84" s="361" t="e">
        <f>#REF!*1000</f>
        <v>#REF!</v>
      </c>
      <c r="T84" s="361" t="e">
        <f>#REF!*1000</f>
        <v>#REF!</v>
      </c>
      <c r="U84" s="361" t="e">
        <f>#REF!*1000</f>
        <v>#REF!</v>
      </c>
      <c r="V84" s="361" t="e">
        <f>#REF!*1000</f>
        <v>#REF!</v>
      </c>
      <c r="W84" s="361" t="e">
        <f>#REF!*1000</f>
        <v>#REF!</v>
      </c>
      <c r="X84" s="361" t="e">
        <f>#REF!*1000</f>
        <v>#REF!</v>
      </c>
      <c r="Y84" s="361" t="e">
        <f>#REF!*1000</f>
        <v>#REF!</v>
      </c>
    </row>
    <row r="85" spans="1:25" ht="48.6">
      <c r="A85" s="781" t="s">
        <v>629</v>
      </c>
      <c r="B85" s="782">
        <v>49.484999999999999</v>
      </c>
      <c r="C85" s="782">
        <v>0</v>
      </c>
      <c r="D85" s="782">
        <v>3.75</v>
      </c>
      <c r="E85" s="782">
        <v>0</v>
      </c>
      <c r="F85" s="782">
        <v>0</v>
      </c>
      <c r="G85" s="783">
        <v>53.234999999999999</v>
      </c>
      <c r="H85" s="782">
        <v>53.872</v>
      </c>
      <c r="I85" s="782">
        <v>0</v>
      </c>
      <c r="J85" s="782">
        <v>7.4</v>
      </c>
      <c r="K85" s="782">
        <v>0</v>
      </c>
      <c r="L85" s="782">
        <v>0</v>
      </c>
      <c r="M85" s="783">
        <v>61.271999999999998</v>
      </c>
      <c r="N85" s="315">
        <v>0.15097210481825865</v>
      </c>
      <c r="O85" s="32" t="s">
        <v>630</v>
      </c>
      <c r="P85" s="233" t="s">
        <v>631</v>
      </c>
      <c r="R85" s="368" t="e">
        <f>#REF!*1000</f>
        <v>#REF!</v>
      </c>
      <c r="S85" s="368" t="e">
        <f>#REF!*1000</f>
        <v>#REF!</v>
      </c>
      <c r="T85" s="368" t="e">
        <f>#REF!*1000</f>
        <v>#REF!</v>
      </c>
      <c r="U85" s="368" t="e">
        <f>#REF!*1000</f>
        <v>#REF!</v>
      </c>
      <c r="V85" s="368" t="e">
        <f>#REF!*1000</f>
        <v>#REF!</v>
      </c>
      <c r="W85" s="368" t="e">
        <f>#REF!*1000</f>
        <v>#REF!</v>
      </c>
      <c r="X85" s="368" t="e">
        <f>#REF!*1000</f>
        <v>#REF!</v>
      </c>
      <c r="Y85" s="368" t="e">
        <f>#REF!*1000</f>
        <v>#REF!</v>
      </c>
    </row>
    <row r="86" spans="1:25" ht="32.450000000000003">
      <c r="A86" s="781" t="s">
        <v>632</v>
      </c>
      <c r="B86" s="782">
        <v>-6.6609999999999996</v>
      </c>
      <c r="C86" s="782">
        <v>0</v>
      </c>
      <c r="D86" s="782">
        <v>0</v>
      </c>
      <c r="E86" s="782">
        <v>0</v>
      </c>
      <c r="F86" s="782">
        <v>0</v>
      </c>
      <c r="G86" s="783">
        <v>-6.6609999999999996</v>
      </c>
      <c r="H86" s="782">
        <v>-7.1609999999999996</v>
      </c>
      <c r="I86" s="782">
        <v>0</v>
      </c>
      <c r="J86" s="782">
        <v>0</v>
      </c>
      <c r="K86" s="782">
        <v>0</v>
      </c>
      <c r="L86" s="782">
        <v>0</v>
      </c>
      <c r="M86" s="783">
        <v>-7.1609999999999996</v>
      </c>
      <c r="N86" s="315">
        <v>7.5063804233598569E-2</v>
      </c>
      <c r="O86" s="32" t="s">
        <v>633</v>
      </c>
      <c r="P86" s="233" t="s">
        <v>634</v>
      </c>
      <c r="R86" s="368" t="e">
        <f>#REF!*1000</f>
        <v>#REF!</v>
      </c>
      <c r="S86" s="368" t="e">
        <f>#REF!*1000</f>
        <v>#REF!</v>
      </c>
      <c r="T86" s="368" t="e">
        <f>#REF!*1000</f>
        <v>#REF!</v>
      </c>
      <c r="U86" s="368" t="e">
        <f>#REF!*1000</f>
        <v>#REF!</v>
      </c>
      <c r="V86" s="368" t="e">
        <f>#REF!*1000</f>
        <v>#REF!</v>
      </c>
      <c r="W86" s="368" t="e">
        <f>#REF!*1000</f>
        <v>#REF!</v>
      </c>
      <c r="X86" s="368" t="e">
        <f>#REF!*1000</f>
        <v>#REF!</v>
      </c>
      <c r="Y86" s="368" t="e">
        <f>#REF!*1000</f>
        <v>#REF!</v>
      </c>
    </row>
    <row r="87" spans="1:25" ht="32.450000000000003">
      <c r="A87" s="607" t="s">
        <v>635</v>
      </c>
      <c r="B87" s="168">
        <v>229.16199999999998</v>
      </c>
      <c r="C87" s="168">
        <v>0</v>
      </c>
      <c r="D87" s="168">
        <v>21.808</v>
      </c>
      <c r="E87" s="168">
        <v>0</v>
      </c>
      <c r="F87" s="168">
        <v>0</v>
      </c>
      <c r="G87" s="168">
        <v>250.96999999999997</v>
      </c>
      <c r="H87" s="168">
        <v>275.60000000000002</v>
      </c>
      <c r="I87" s="168">
        <v>0</v>
      </c>
      <c r="J87" s="168">
        <v>34</v>
      </c>
      <c r="K87" s="168">
        <v>0</v>
      </c>
      <c r="L87" s="168">
        <v>0</v>
      </c>
      <c r="M87" s="168">
        <v>309.60000000000002</v>
      </c>
      <c r="N87" s="337">
        <v>0.23361357931226864</v>
      </c>
      <c r="O87" s="338"/>
      <c r="P87" s="798"/>
      <c r="R87" s="396"/>
      <c r="S87" s="396"/>
      <c r="T87" s="396"/>
      <c r="U87" s="396"/>
      <c r="V87" s="396"/>
      <c r="W87" s="396"/>
      <c r="X87" s="396"/>
      <c r="Y87" s="396"/>
    </row>
    <row r="88" spans="1:25" ht="16.149999999999999">
      <c r="A88" s="791"/>
      <c r="B88" s="792"/>
      <c r="C88" s="792"/>
      <c r="D88" s="792"/>
      <c r="E88" s="792"/>
      <c r="F88" s="792"/>
      <c r="G88" s="792"/>
      <c r="H88" s="792"/>
      <c r="I88" s="792"/>
      <c r="J88" s="792"/>
      <c r="K88" s="792"/>
      <c r="L88" s="792"/>
      <c r="M88" s="792"/>
      <c r="N88" s="304"/>
      <c r="O88" s="488"/>
      <c r="P88" s="488"/>
      <c r="R88" s="306"/>
      <c r="S88" s="306"/>
      <c r="T88" s="306"/>
      <c r="U88" s="306"/>
      <c r="V88" s="306"/>
      <c r="W88" s="306"/>
      <c r="X88" s="306"/>
      <c r="Y88" s="307"/>
    </row>
    <row r="89" spans="1:25" ht="16.149999999999999">
      <c r="A89" s="592" t="s">
        <v>636</v>
      </c>
      <c r="B89" s="208"/>
      <c r="C89" s="208"/>
      <c r="D89" s="208"/>
      <c r="E89" s="208"/>
      <c r="F89" s="208"/>
      <c r="G89" s="208"/>
      <c r="H89" s="208"/>
      <c r="I89" s="208"/>
      <c r="J89" s="208"/>
      <c r="K89" s="208"/>
      <c r="L89" s="208"/>
      <c r="M89" s="208"/>
      <c r="N89" s="593"/>
      <c r="O89" s="801"/>
      <c r="P89" s="801"/>
      <c r="R89" s="205"/>
      <c r="S89" s="205"/>
      <c r="T89" s="205"/>
      <c r="U89" s="205"/>
      <c r="V89" s="205"/>
      <c r="W89" s="205"/>
      <c r="X89" s="205"/>
      <c r="Y89" s="204"/>
    </row>
    <row r="90" spans="1:25" ht="48.6">
      <c r="A90" s="778" t="s">
        <v>637</v>
      </c>
      <c r="B90" s="779">
        <v>0</v>
      </c>
      <c r="C90" s="779">
        <v>0</v>
      </c>
      <c r="D90" s="779">
        <v>78.900000000000006</v>
      </c>
      <c r="E90" s="779">
        <v>0</v>
      </c>
      <c r="F90" s="779">
        <v>0</v>
      </c>
      <c r="G90" s="780">
        <v>78.900000000000006</v>
      </c>
      <c r="H90" s="779">
        <v>0</v>
      </c>
      <c r="I90" s="779">
        <v>0</v>
      </c>
      <c r="J90" s="779">
        <v>57.29</v>
      </c>
      <c r="K90" s="779">
        <v>0</v>
      </c>
      <c r="L90" s="779">
        <v>0</v>
      </c>
      <c r="M90" s="780">
        <v>57.29</v>
      </c>
      <c r="N90" s="315">
        <v>-0.27389100126742716</v>
      </c>
      <c r="O90" s="332" t="s">
        <v>638</v>
      </c>
      <c r="P90" s="333" t="s">
        <v>639</v>
      </c>
      <c r="R90" s="361" t="e">
        <f>#REF!*1000</f>
        <v>#REF!</v>
      </c>
      <c r="S90" s="361" t="e">
        <f>#REF!*1000</f>
        <v>#REF!</v>
      </c>
      <c r="T90" s="361" t="e">
        <f>#REF!*1000</f>
        <v>#REF!</v>
      </c>
      <c r="U90" s="361" t="e">
        <f>#REF!*1000</f>
        <v>#REF!</v>
      </c>
      <c r="V90" s="361" t="e">
        <f>#REF!*1000</f>
        <v>#REF!</v>
      </c>
      <c r="W90" s="361" t="e">
        <f>#REF!*1000</f>
        <v>#REF!</v>
      </c>
      <c r="X90" s="361" t="e">
        <f>#REF!*1000</f>
        <v>#REF!</v>
      </c>
      <c r="Y90" s="361" t="e">
        <f>#REF!*1000</f>
        <v>#REF!</v>
      </c>
    </row>
    <row r="91" spans="1:25" ht="48.6">
      <c r="A91" s="781" t="s">
        <v>640</v>
      </c>
      <c r="B91" s="782">
        <v>0</v>
      </c>
      <c r="C91" s="782">
        <v>0</v>
      </c>
      <c r="D91" s="782">
        <v>117.1</v>
      </c>
      <c r="E91" s="782">
        <v>0</v>
      </c>
      <c r="F91" s="782">
        <v>0</v>
      </c>
      <c r="G91" s="783">
        <v>117.1</v>
      </c>
      <c r="H91" s="782">
        <v>0</v>
      </c>
      <c r="I91" s="782">
        <v>0</v>
      </c>
      <c r="J91" s="782">
        <v>80.563999999999993</v>
      </c>
      <c r="K91" s="782">
        <v>0</v>
      </c>
      <c r="L91" s="782">
        <v>0</v>
      </c>
      <c r="M91" s="783">
        <v>80.563999999999993</v>
      </c>
      <c r="N91" s="315">
        <v>-0.31200683176771993</v>
      </c>
      <c r="O91" s="32" t="s">
        <v>641</v>
      </c>
      <c r="P91" s="233" t="s">
        <v>642</v>
      </c>
      <c r="R91" s="368" t="e">
        <f>#REF!*1000</f>
        <v>#REF!</v>
      </c>
      <c r="S91" s="368" t="e">
        <f>#REF!*1000</f>
        <v>#REF!</v>
      </c>
      <c r="T91" s="368" t="e">
        <f>#REF!*1000</f>
        <v>#REF!</v>
      </c>
      <c r="U91" s="368" t="e">
        <f>#REF!*1000</f>
        <v>#REF!</v>
      </c>
      <c r="V91" s="368" t="e">
        <f>#REF!*1000</f>
        <v>#REF!</v>
      </c>
      <c r="W91" s="368" t="e">
        <f>#REF!*1000</f>
        <v>#REF!</v>
      </c>
      <c r="X91" s="368" t="e">
        <f>#REF!*1000</f>
        <v>#REF!</v>
      </c>
      <c r="Y91" s="368" t="e">
        <f>#REF!*1000</f>
        <v>#REF!</v>
      </c>
    </row>
    <row r="92" spans="1:25" ht="16.149999999999999">
      <c r="A92" s="781" t="s">
        <v>643</v>
      </c>
      <c r="B92" s="782">
        <v>0</v>
      </c>
      <c r="C92" s="782">
        <v>0</v>
      </c>
      <c r="D92" s="782">
        <v>-7</v>
      </c>
      <c r="E92" s="782">
        <v>0</v>
      </c>
      <c r="F92" s="782">
        <v>0</v>
      </c>
      <c r="G92" s="783">
        <v>-7</v>
      </c>
      <c r="H92" s="782">
        <v>0</v>
      </c>
      <c r="I92" s="782">
        <v>0</v>
      </c>
      <c r="J92" s="782">
        <v>-13</v>
      </c>
      <c r="K92" s="782">
        <v>0</v>
      </c>
      <c r="L92" s="782">
        <v>0</v>
      </c>
      <c r="M92" s="783">
        <v>-13</v>
      </c>
      <c r="N92" s="315">
        <v>0.8571428571428571</v>
      </c>
      <c r="O92" s="32" t="s">
        <v>644</v>
      </c>
      <c r="P92" s="233" t="s">
        <v>645</v>
      </c>
      <c r="R92" s="368" t="e">
        <f>#REF!*1000</f>
        <v>#REF!</v>
      </c>
      <c r="S92" s="368" t="e">
        <f>#REF!*1000</f>
        <v>#REF!</v>
      </c>
      <c r="T92" s="368" t="e">
        <f>#REF!*1000</f>
        <v>#REF!</v>
      </c>
      <c r="U92" s="368" t="e">
        <f>#REF!*1000</f>
        <v>#REF!</v>
      </c>
      <c r="V92" s="368" t="e">
        <f>#REF!*1000</f>
        <v>#REF!</v>
      </c>
      <c r="W92" s="368" t="e">
        <f>#REF!*1000</f>
        <v>#REF!</v>
      </c>
      <c r="X92" s="368" t="e">
        <f>#REF!*1000</f>
        <v>#REF!</v>
      </c>
      <c r="Y92" s="368" t="e">
        <f>#REF!*1000</f>
        <v>#REF!</v>
      </c>
    </row>
    <row r="93" spans="1:25" ht="16.149999999999999">
      <c r="A93" s="607" t="s">
        <v>646</v>
      </c>
      <c r="B93" s="168">
        <v>0</v>
      </c>
      <c r="C93" s="168">
        <v>0</v>
      </c>
      <c r="D93" s="168">
        <v>189</v>
      </c>
      <c r="E93" s="168">
        <v>0</v>
      </c>
      <c r="F93" s="168">
        <v>0</v>
      </c>
      <c r="G93" s="168">
        <v>189</v>
      </c>
      <c r="H93" s="168">
        <v>0</v>
      </c>
      <c r="I93" s="168">
        <v>0</v>
      </c>
      <c r="J93" s="168">
        <v>124.85399999999998</v>
      </c>
      <c r="K93" s="168">
        <v>0</v>
      </c>
      <c r="L93" s="168">
        <v>0</v>
      </c>
      <c r="M93" s="168">
        <v>124.85399999999998</v>
      </c>
      <c r="N93" s="337">
        <v>-0.33939682539682547</v>
      </c>
      <c r="O93" s="338"/>
      <c r="P93" s="339"/>
      <c r="R93" s="396"/>
      <c r="S93" s="396"/>
      <c r="T93" s="396"/>
      <c r="U93" s="396"/>
      <c r="V93" s="396"/>
      <c r="W93" s="396"/>
      <c r="X93" s="396"/>
      <c r="Y93" s="396"/>
    </row>
    <row r="94" spans="1:25" ht="16.149999999999999">
      <c r="A94" s="791"/>
      <c r="B94" s="792"/>
      <c r="C94" s="792"/>
      <c r="D94" s="792"/>
      <c r="E94" s="792"/>
      <c r="F94" s="792"/>
      <c r="G94" s="792"/>
      <c r="H94" s="792"/>
      <c r="I94" s="792"/>
      <c r="J94" s="792"/>
      <c r="K94" s="792"/>
      <c r="L94" s="792"/>
      <c r="M94" s="792"/>
      <c r="N94" s="304"/>
      <c r="O94" s="488"/>
      <c r="P94" s="488"/>
      <c r="R94" s="306"/>
      <c r="S94" s="306"/>
      <c r="T94" s="306"/>
      <c r="U94" s="306"/>
      <c r="V94" s="306"/>
      <c r="W94" s="306"/>
      <c r="X94" s="306"/>
      <c r="Y94" s="307"/>
    </row>
    <row r="95" spans="1:25" ht="16.149999999999999">
      <c r="A95" s="318" t="s">
        <v>647</v>
      </c>
      <c r="B95" s="319">
        <v>229.16199999999998</v>
      </c>
      <c r="C95" s="319">
        <v>0</v>
      </c>
      <c r="D95" s="319">
        <v>210.80799999999999</v>
      </c>
      <c r="E95" s="319">
        <v>0</v>
      </c>
      <c r="F95" s="319">
        <v>0</v>
      </c>
      <c r="G95" s="319">
        <v>439.96999999999997</v>
      </c>
      <c r="H95" s="319">
        <v>275.60000000000002</v>
      </c>
      <c r="I95" s="319">
        <v>0</v>
      </c>
      <c r="J95" s="319">
        <v>158.85399999999998</v>
      </c>
      <c r="K95" s="319">
        <v>0</v>
      </c>
      <c r="L95" s="319">
        <v>0</v>
      </c>
      <c r="M95" s="319">
        <v>434.45400000000001</v>
      </c>
      <c r="N95" s="320">
        <v>-1.2537218446712193E-2</v>
      </c>
      <c r="O95" s="321"/>
      <c r="P95" s="344"/>
      <c r="R95" s="345"/>
      <c r="S95" s="345"/>
      <c r="T95" s="345"/>
      <c r="U95" s="345"/>
      <c r="V95" s="345"/>
      <c r="W95" s="345"/>
      <c r="X95" s="345"/>
      <c r="Y95" s="345"/>
    </row>
    <row r="96" spans="1:25" ht="16.149999999999999">
      <c r="A96" s="791"/>
      <c r="B96" s="792"/>
      <c r="C96" s="792"/>
      <c r="D96" s="792"/>
      <c r="E96" s="792"/>
      <c r="F96" s="792"/>
      <c r="G96" s="792"/>
      <c r="H96" s="792"/>
      <c r="I96" s="792"/>
      <c r="J96" s="792"/>
      <c r="K96" s="792"/>
      <c r="L96" s="792"/>
      <c r="M96" s="792"/>
      <c r="N96" s="304"/>
      <c r="O96" s="488"/>
      <c r="P96" s="488"/>
      <c r="R96" s="306"/>
      <c r="S96" s="306"/>
      <c r="T96" s="306"/>
      <c r="U96" s="306"/>
      <c r="V96" s="306"/>
      <c r="W96" s="306"/>
      <c r="X96" s="306"/>
      <c r="Y96" s="307"/>
    </row>
    <row r="97" spans="1:25" ht="16.149999999999999">
      <c r="A97" s="308" t="s">
        <v>648</v>
      </c>
      <c r="B97" s="213"/>
      <c r="C97" s="213"/>
      <c r="D97" s="213"/>
      <c r="E97" s="213"/>
      <c r="F97" s="213"/>
      <c r="G97" s="213"/>
      <c r="H97" s="213"/>
      <c r="I97" s="213"/>
      <c r="J97" s="213"/>
      <c r="K97" s="213"/>
      <c r="L97" s="213"/>
      <c r="M97" s="213"/>
      <c r="N97" s="443"/>
      <c r="O97" s="789"/>
      <c r="P97" s="789"/>
      <c r="R97" s="211"/>
      <c r="S97" s="211"/>
      <c r="T97" s="211"/>
      <c r="U97" s="211"/>
      <c r="V97" s="211"/>
      <c r="W97" s="211"/>
      <c r="X97" s="211"/>
      <c r="Y97" s="210"/>
    </row>
    <row r="98" spans="1:25" ht="16.149999999999999">
      <c r="A98" s="485"/>
      <c r="B98" s="486"/>
      <c r="C98" s="486"/>
      <c r="D98" s="486"/>
      <c r="E98" s="486"/>
      <c r="F98" s="486"/>
      <c r="G98" s="486"/>
      <c r="H98" s="486"/>
      <c r="I98" s="486"/>
      <c r="J98" s="486"/>
      <c r="K98" s="486"/>
      <c r="L98" s="486"/>
      <c r="M98" s="486"/>
      <c r="N98" s="487"/>
      <c r="O98" s="488"/>
      <c r="P98" s="488"/>
      <c r="R98" s="489"/>
      <c r="S98" s="489"/>
      <c r="T98" s="489"/>
      <c r="U98" s="489"/>
      <c r="V98" s="489"/>
      <c r="W98" s="489"/>
      <c r="X98" s="489"/>
      <c r="Y98" s="490"/>
    </row>
    <row r="99" spans="1:25" ht="32.450000000000003">
      <c r="A99" s="592" t="s">
        <v>649</v>
      </c>
      <c r="B99" s="208"/>
      <c r="C99" s="208"/>
      <c r="D99" s="208"/>
      <c r="E99" s="208"/>
      <c r="F99" s="208"/>
      <c r="G99" s="208"/>
      <c r="H99" s="208"/>
      <c r="I99" s="208"/>
      <c r="J99" s="208"/>
      <c r="K99" s="208"/>
      <c r="L99" s="208"/>
      <c r="M99" s="208"/>
      <c r="N99" s="593"/>
      <c r="O99" s="801"/>
      <c r="P99" s="801"/>
      <c r="R99" s="205"/>
      <c r="S99" s="205"/>
      <c r="T99" s="205"/>
      <c r="U99" s="205"/>
      <c r="V99" s="205"/>
      <c r="W99" s="205"/>
      <c r="X99" s="205"/>
      <c r="Y99" s="204"/>
    </row>
    <row r="100" spans="1:25" ht="48.6">
      <c r="A100" s="778" t="s">
        <v>650</v>
      </c>
      <c r="B100" s="779">
        <v>41.887</v>
      </c>
      <c r="C100" s="779">
        <v>0</v>
      </c>
      <c r="D100" s="779">
        <v>0</v>
      </c>
      <c r="E100" s="779">
        <v>0</v>
      </c>
      <c r="F100" s="779">
        <v>0</v>
      </c>
      <c r="G100" s="780">
        <v>41.887</v>
      </c>
      <c r="H100" s="779">
        <v>39.445999999999998</v>
      </c>
      <c r="I100" s="779">
        <v>0</v>
      </c>
      <c r="J100" s="779">
        <v>0</v>
      </c>
      <c r="K100" s="779">
        <v>0</v>
      </c>
      <c r="L100" s="779">
        <v>0</v>
      </c>
      <c r="M100" s="780">
        <v>39.445999999999998</v>
      </c>
      <c r="N100" s="315">
        <v>-5.8275837371977043E-2</v>
      </c>
      <c r="O100" s="332" t="s">
        <v>651</v>
      </c>
      <c r="P100" s="233" t="s">
        <v>652</v>
      </c>
      <c r="R100" s="361" t="e">
        <f>#REF!*1000</f>
        <v>#REF!</v>
      </c>
      <c r="S100" s="361" t="e">
        <f>#REF!*1000</f>
        <v>#REF!</v>
      </c>
      <c r="T100" s="361" t="e">
        <f>#REF!*1000</f>
        <v>#REF!</v>
      </c>
      <c r="U100" s="361" t="e">
        <f>#REF!*1000</f>
        <v>#REF!</v>
      </c>
      <c r="V100" s="361" t="e">
        <f>#REF!*1000</f>
        <v>#REF!</v>
      </c>
      <c r="W100" s="361" t="e">
        <f>#REF!*1000</f>
        <v>#REF!</v>
      </c>
      <c r="X100" s="361" t="e">
        <f>#REF!*1000</f>
        <v>#REF!</v>
      </c>
      <c r="Y100" s="361" t="e">
        <f>#REF!*1000</f>
        <v>#REF!</v>
      </c>
    </row>
    <row r="101" spans="1:25" ht="48.6">
      <c r="A101" s="781" t="s">
        <v>653</v>
      </c>
      <c r="B101" s="782">
        <v>0</v>
      </c>
      <c r="C101" s="782">
        <v>0</v>
      </c>
      <c r="D101" s="782">
        <v>17.600000000000001</v>
      </c>
      <c r="E101" s="782">
        <v>0</v>
      </c>
      <c r="F101" s="782">
        <v>0</v>
      </c>
      <c r="G101" s="783">
        <v>17.600000000000001</v>
      </c>
      <c r="H101" s="782">
        <v>0</v>
      </c>
      <c r="I101" s="782">
        <v>0</v>
      </c>
      <c r="J101" s="782">
        <v>22.303000000000001</v>
      </c>
      <c r="K101" s="782">
        <v>0</v>
      </c>
      <c r="L101" s="782">
        <v>0</v>
      </c>
      <c r="M101" s="783">
        <v>22.303000000000001</v>
      </c>
      <c r="N101" s="315">
        <v>0.26721590909090903</v>
      </c>
      <c r="O101" s="32" t="s">
        <v>654</v>
      </c>
      <c r="P101" s="233" t="s">
        <v>655</v>
      </c>
      <c r="R101" s="368" t="e">
        <f>#REF!*1000</f>
        <v>#REF!</v>
      </c>
      <c r="S101" s="368" t="e">
        <f>#REF!*1000</f>
        <v>#REF!</v>
      </c>
      <c r="T101" s="368" t="e">
        <f>#REF!*1000</f>
        <v>#REF!</v>
      </c>
      <c r="U101" s="368" t="e">
        <f>#REF!*1000</f>
        <v>#REF!</v>
      </c>
      <c r="V101" s="368" t="e">
        <f>#REF!*1000</f>
        <v>#REF!</v>
      </c>
      <c r="W101" s="368" t="e">
        <f>#REF!*1000</f>
        <v>#REF!</v>
      </c>
      <c r="X101" s="368" t="e">
        <f>#REF!*1000</f>
        <v>#REF!</v>
      </c>
      <c r="Y101" s="368" t="e">
        <f>#REF!*1000</f>
        <v>#REF!</v>
      </c>
    </row>
    <row r="102" spans="1:25" ht="32.450000000000003">
      <c r="A102" s="781" t="s">
        <v>656</v>
      </c>
      <c r="B102" s="782">
        <v>0</v>
      </c>
      <c r="C102" s="782">
        <v>9.5</v>
      </c>
      <c r="D102" s="782">
        <v>0</v>
      </c>
      <c r="E102" s="782">
        <v>0</v>
      </c>
      <c r="F102" s="782">
        <v>0</v>
      </c>
      <c r="G102" s="783">
        <v>9.5</v>
      </c>
      <c r="H102" s="782">
        <v>0</v>
      </c>
      <c r="I102" s="782">
        <v>9.5</v>
      </c>
      <c r="J102" s="782">
        <v>0</v>
      </c>
      <c r="K102" s="782">
        <v>0</v>
      </c>
      <c r="L102" s="782">
        <v>0</v>
      </c>
      <c r="M102" s="783">
        <v>9.5</v>
      </c>
      <c r="N102" s="315">
        <v>0</v>
      </c>
      <c r="O102" s="32" t="s">
        <v>657</v>
      </c>
      <c r="P102" s="233" t="s">
        <v>65</v>
      </c>
      <c r="R102" s="368" t="e">
        <f>#REF!*1000</f>
        <v>#REF!</v>
      </c>
      <c r="S102" s="368" t="e">
        <f>#REF!*1000</f>
        <v>#REF!</v>
      </c>
      <c r="T102" s="368" t="e">
        <f>#REF!*1000</f>
        <v>#REF!</v>
      </c>
      <c r="U102" s="368" t="e">
        <f>#REF!*1000</f>
        <v>#REF!</v>
      </c>
      <c r="V102" s="368" t="e">
        <f>#REF!*1000</f>
        <v>#REF!</v>
      </c>
      <c r="W102" s="368" t="e">
        <f>#REF!*1000</f>
        <v>#REF!</v>
      </c>
      <c r="X102" s="368" t="e">
        <f>#REF!*1000</f>
        <v>#REF!</v>
      </c>
      <c r="Y102" s="368" t="e">
        <f>#REF!*1000</f>
        <v>#REF!</v>
      </c>
    </row>
    <row r="103" spans="1:25" ht="32.450000000000003">
      <c r="A103" s="607" t="s">
        <v>658</v>
      </c>
      <c r="B103" s="168">
        <v>41.887</v>
      </c>
      <c r="C103" s="168">
        <v>9.5</v>
      </c>
      <c r="D103" s="168">
        <v>17.600000000000001</v>
      </c>
      <c r="E103" s="168">
        <v>0</v>
      </c>
      <c r="F103" s="168">
        <v>0</v>
      </c>
      <c r="G103" s="168">
        <v>68.986999999999995</v>
      </c>
      <c r="H103" s="168">
        <v>39.445999999999998</v>
      </c>
      <c r="I103" s="168">
        <v>9.5</v>
      </c>
      <c r="J103" s="168">
        <v>22.303000000000001</v>
      </c>
      <c r="K103" s="168">
        <v>0</v>
      </c>
      <c r="L103" s="168">
        <v>0</v>
      </c>
      <c r="M103" s="168">
        <v>71.248999999999995</v>
      </c>
      <c r="N103" s="337">
        <v>3.2788786293069715E-2</v>
      </c>
      <c r="O103" s="338"/>
      <c r="P103" s="798"/>
      <c r="R103" s="396"/>
      <c r="S103" s="396"/>
      <c r="T103" s="396"/>
      <c r="U103" s="396"/>
      <c r="V103" s="396"/>
      <c r="W103" s="396"/>
      <c r="X103" s="396"/>
      <c r="Y103" s="396"/>
    </row>
    <row r="104" spans="1:25" ht="16.149999999999999">
      <c r="A104" s="485"/>
      <c r="B104" s="486"/>
      <c r="C104" s="486"/>
      <c r="D104" s="486"/>
      <c r="E104" s="486"/>
      <c r="F104" s="486"/>
      <c r="G104" s="486"/>
      <c r="H104" s="486"/>
      <c r="I104" s="486"/>
      <c r="J104" s="486"/>
      <c r="K104" s="486"/>
      <c r="L104" s="486"/>
      <c r="M104" s="486"/>
      <c r="N104" s="816"/>
      <c r="O104" s="488"/>
      <c r="P104" s="488"/>
      <c r="R104" s="489"/>
      <c r="S104" s="489"/>
      <c r="T104" s="489"/>
      <c r="U104" s="489"/>
      <c r="V104" s="489"/>
      <c r="W104" s="489"/>
      <c r="X104" s="489"/>
      <c r="Y104" s="490"/>
    </row>
    <row r="105" spans="1:25" ht="81">
      <c r="A105" s="781" t="s">
        <v>659</v>
      </c>
      <c r="B105" s="782">
        <v>14.49</v>
      </c>
      <c r="C105" s="782">
        <v>0</v>
      </c>
      <c r="D105" s="782">
        <v>0</v>
      </c>
      <c r="E105" s="782">
        <v>0</v>
      </c>
      <c r="F105" s="782">
        <v>0</v>
      </c>
      <c r="G105" s="783">
        <v>14.49</v>
      </c>
      <c r="H105" s="782">
        <v>18.012</v>
      </c>
      <c r="I105" s="782">
        <v>0</v>
      </c>
      <c r="J105" s="782">
        <v>0</v>
      </c>
      <c r="K105" s="782">
        <v>0</v>
      </c>
      <c r="L105" s="782">
        <v>0</v>
      </c>
      <c r="M105" s="783">
        <v>18.012</v>
      </c>
      <c r="N105" s="315">
        <v>0.24306418219461698</v>
      </c>
      <c r="O105" s="32" t="s">
        <v>660</v>
      </c>
      <c r="P105" s="233" t="s">
        <v>661</v>
      </c>
      <c r="R105" s="368" t="e">
        <f>#REF!*1000</f>
        <v>#REF!</v>
      </c>
      <c r="S105" s="368" t="e">
        <f>#REF!*1000</f>
        <v>#REF!</v>
      </c>
      <c r="T105" s="368" t="e">
        <f>#REF!*1000</f>
        <v>#REF!</v>
      </c>
      <c r="U105" s="368" t="e">
        <f>#REF!*1000</f>
        <v>#REF!</v>
      </c>
      <c r="V105" s="368" t="e">
        <f>#REF!*1000</f>
        <v>#REF!</v>
      </c>
      <c r="W105" s="368" t="e">
        <f>#REF!*1000</f>
        <v>#REF!</v>
      </c>
      <c r="X105" s="368" t="e">
        <f>#REF!*1000</f>
        <v>#REF!</v>
      </c>
      <c r="Y105" s="368" t="e">
        <f>#REF!*1000</f>
        <v>#REF!</v>
      </c>
    </row>
    <row r="106" spans="1:25" ht="16.149999999999999">
      <c r="A106" s="318" t="s">
        <v>662</v>
      </c>
      <c r="B106" s="319">
        <v>56.377000000000002</v>
      </c>
      <c r="C106" s="319">
        <v>9.5</v>
      </c>
      <c r="D106" s="319">
        <v>17.600000000000001</v>
      </c>
      <c r="E106" s="319">
        <v>0</v>
      </c>
      <c r="F106" s="319">
        <v>0</v>
      </c>
      <c r="G106" s="319">
        <v>83.47699999999999</v>
      </c>
      <c r="H106" s="319">
        <v>57.457999999999998</v>
      </c>
      <c r="I106" s="319">
        <v>9.5</v>
      </c>
      <c r="J106" s="319">
        <v>22.303000000000001</v>
      </c>
      <c r="K106" s="319">
        <v>0</v>
      </c>
      <c r="L106" s="319">
        <v>0</v>
      </c>
      <c r="M106" s="319">
        <v>89.260999999999996</v>
      </c>
      <c r="N106" s="320">
        <v>6.9288546545755197E-2</v>
      </c>
      <c r="O106" s="321"/>
      <c r="P106" s="344"/>
      <c r="R106" s="345"/>
      <c r="S106" s="345"/>
      <c r="T106" s="345"/>
      <c r="U106" s="345"/>
      <c r="V106" s="345"/>
      <c r="W106" s="345"/>
      <c r="X106" s="345"/>
      <c r="Y106" s="345"/>
    </row>
    <row r="108" spans="1:25" ht="16.149999999999999">
      <c r="A108" s="170" t="s">
        <v>372</v>
      </c>
      <c r="B108" s="169"/>
      <c r="C108" s="169"/>
      <c r="D108" s="169"/>
      <c r="E108" s="169"/>
      <c r="F108" s="169"/>
      <c r="G108" s="168"/>
      <c r="H108" s="169"/>
      <c r="I108" s="169"/>
      <c r="J108" s="169"/>
      <c r="K108" s="169"/>
      <c r="L108" s="169"/>
      <c r="M108" s="168"/>
      <c r="N108" s="547"/>
      <c r="O108" s="544"/>
      <c r="P108" s="544"/>
      <c r="R108" s="137"/>
      <c r="S108" s="137"/>
      <c r="T108" s="137"/>
      <c r="U108" s="137"/>
      <c r="V108" s="137"/>
      <c r="W108" s="137"/>
      <c r="X108" s="137"/>
      <c r="Y108" s="136"/>
    </row>
    <row r="109" spans="1:25" s="161" customFormat="1" ht="18.600000000000001">
      <c r="A109" s="829"/>
      <c r="B109" s="830"/>
      <c r="C109" s="830"/>
      <c r="D109" s="830"/>
      <c r="E109" s="830"/>
      <c r="F109" s="830"/>
      <c r="G109" s="831"/>
      <c r="H109" s="830"/>
      <c r="I109" s="830"/>
      <c r="J109" s="830"/>
      <c r="K109" s="830"/>
      <c r="L109" s="830"/>
      <c r="M109" s="831"/>
      <c r="N109" s="832"/>
      <c r="O109" s="829"/>
      <c r="P109" s="829"/>
      <c r="Q109" s="162"/>
      <c r="R109" s="137"/>
      <c r="S109" s="137"/>
      <c r="T109" s="137"/>
      <c r="U109" s="137"/>
      <c r="V109" s="137"/>
      <c r="W109" s="137"/>
      <c r="X109" s="137"/>
      <c r="Y109" s="136"/>
    </row>
    <row r="110" spans="1:25" ht="16.149999999999999">
      <c r="A110" s="833" t="s">
        <v>663</v>
      </c>
      <c r="B110" s="541">
        <v>1406.6120000000001</v>
      </c>
      <c r="C110" s="541">
        <v>302.49299999999999</v>
      </c>
      <c r="D110" s="541">
        <v>2070.1729999999998</v>
      </c>
      <c r="E110" s="541">
        <v>0</v>
      </c>
      <c r="F110" s="541">
        <v>0.56999999999999995</v>
      </c>
      <c r="G110" s="541">
        <v>3779.848</v>
      </c>
      <c r="H110" s="541">
        <v>1482.7479999999998</v>
      </c>
      <c r="I110" s="541">
        <v>355.99</v>
      </c>
      <c r="J110" s="541">
        <v>2034.3020000000001</v>
      </c>
      <c r="K110" s="541">
        <v>0</v>
      </c>
      <c r="L110" s="541">
        <v>0.54</v>
      </c>
      <c r="M110" s="541">
        <v>3873.58</v>
      </c>
      <c r="N110" s="320">
        <v>2.4797822557944122E-2</v>
      </c>
      <c r="O110" s="834"/>
      <c r="P110" s="835"/>
      <c r="R110" s="137"/>
      <c r="S110" s="137"/>
      <c r="T110" s="137"/>
      <c r="U110" s="137"/>
      <c r="V110" s="137"/>
      <c r="W110" s="137"/>
      <c r="X110" s="137"/>
      <c r="Y110" s="136"/>
    </row>
    <row r="111" spans="1:25" ht="16.149999999999999">
      <c r="A111" s="155"/>
      <c r="B111" s="836"/>
      <c r="C111" s="836"/>
      <c r="D111" s="836"/>
      <c r="E111" s="836"/>
      <c r="F111" s="836"/>
      <c r="G111" s="837"/>
      <c r="H111" s="836"/>
      <c r="I111" s="836"/>
      <c r="J111" s="836"/>
      <c r="K111" s="836"/>
      <c r="L111" s="836"/>
      <c r="M111" s="837"/>
      <c r="N111" s="772"/>
      <c r="O111" s="669"/>
      <c r="P111" s="669"/>
      <c r="R111" s="137"/>
      <c r="S111" s="137"/>
      <c r="T111" s="137"/>
      <c r="U111" s="137"/>
      <c r="V111" s="137"/>
      <c r="W111" s="137"/>
      <c r="X111" s="137"/>
      <c r="Y111" s="136"/>
    </row>
    <row r="112" spans="1:25" ht="16.149999999999999">
      <c r="A112" s="838" t="s">
        <v>664</v>
      </c>
      <c r="B112" s="264"/>
      <c r="C112" s="264"/>
      <c r="D112" s="264"/>
      <c r="E112" s="264"/>
      <c r="F112" s="264"/>
      <c r="G112" s="264"/>
      <c r="H112" s="264"/>
      <c r="I112" s="264"/>
      <c r="J112" s="264"/>
      <c r="K112" s="264"/>
      <c r="L112" s="264"/>
      <c r="M112" s="264"/>
      <c r="N112" s="839"/>
      <c r="O112" s="236"/>
      <c r="P112" s="236"/>
      <c r="R112" s="137"/>
      <c r="S112" s="137"/>
      <c r="T112" s="137"/>
      <c r="U112" s="137"/>
      <c r="V112" s="137"/>
      <c r="W112" s="137"/>
      <c r="X112" s="137"/>
      <c r="Y112" s="136"/>
    </row>
    <row r="113" spans="1:25" ht="64.900000000000006">
      <c r="A113" s="235" t="s">
        <v>665</v>
      </c>
      <c r="B113" s="149">
        <v>0</v>
      </c>
      <c r="C113" s="149">
        <v>0</v>
      </c>
      <c r="D113" s="149">
        <v>0</v>
      </c>
      <c r="E113" s="149">
        <v>0</v>
      </c>
      <c r="F113" s="149">
        <v>0</v>
      </c>
      <c r="G113" s="222">
        <v>0</v>
      </c>
      <c r="H113" s="149">
        <v>0</v>
      </c>
      <c r="I113" s="149">
        <v>0</v>
      </c>
      <c r="J113" s="149">
        <v>0</v>
      </c>
      <c r="K113" s="149">
        <v>0</v>
      </c>
      <c r="L113" s="149">
        <v>0</v>
      </c>
      <c r="M113" s="222">
        <v>0</v>
      </c>
      <c r="N113" s="315" t="s">
        <v>204</v>
      </c>
      <c r="O113" s="234" t="s">
        <v>666</v>
      </c>
      <c r="P113" s="233" t="s">
        <v>667</v>
      </c>
      <c r="R113" s="137"/>
      <c r="S113" s="137"/>
      <c r="T113" s="137"/>
      <c r="U113" s="137"/>
      <c r="V113" s="137"/>
      <c r="W113" s="137"/>
      <c r="X113" s="137"/>
      <c r="Y113" s="136"/>
    </row>
    <row r="114" spans="1:25" ht="16.149999999999999">
      <c r="A114" s="840" t="s">
        <v>668</v>
      </c>
      <c r="B114" s="245">
        <v>0</v>
      </c>
      <c r="C114" s="245">
        <v>0</v>
      </c>
      <c r="D114" s="245">
        <v>0</v>
      </c>
      <c r="E114" s="245">
        <v>0</v>
      </c>
      <c r="F114" s="245">
        <v>0</v>
      </c>
      <c r="G114" s="245">
        <v>0</v>
      </c>
      <c r="H114" s="245">
        <v>0</v>
      </c>
      <c r="I114" s="245">
        <v>0</v>
      </c>
      <c r="J114" s="245">
        <v>0</v>
      </c>
      <c r="K114" s="245">
        <v>0</v>
      </c>
      <c r="L114" s="245">
        <v>0</v>
      </c>
      <c r="M114" s="245">
        <v>0</v>
      </c>
      <c r="N114" s="320" t="s">
        <v>204</v>
      </c>
      <c r="O114" s="253"/>
      <c r="P114" s="252"/>
      <c r="R114" s="137"/>
      <c r="S114" s="137"/>
      <c r="T114" s="137"/>
      <c r="U114" s="137"/>
      <c r="V114" s="137"/>
      <c r="W114" s="137"/>
      <c r="X114" s="137"/>
      <c r="Y114" s="136"/>
    </row>
    <row r="115" spans="1:25" ht="16.149999999999999">
      <c r="A115" s="155"/>
      <c r="B115" s="836"/>
      <c r="C115" s="836"/>
      <c r="D115" s="836"/>
      <c r="E115" s="836"/>
      <c r="F115" s="836"/>
      <c r="G115" s="837"/>
      <c r="H115" s="836"/>
      <c r="I115" s="836"/>
      <c r="J115" s="836"/>
      <c r="K115" s="836"/>
      <c r="L115" s="836"/>
      <c r="M115" s="837"/>
      <c r="N115" s="772"/>
      <c r="O115" s="669"/>
      <c r="P115" s="669"/>
      <c r="R115" s="841"/>
      <c r="S115" s="841"/>
      <c r="T115" s="841"/>
      <c r="U115" s="841"/>
      <c r="V115" s="841"/>
      <c r="W115" s="841"/>
      <c r="X115" s="841"/>
      <c r="Y115" s="842"/>
    </row>
    <row r="116" spans="1:25" ht="32.450000000000003">
      <c r="A116" s="843" t="s">
        <v>669</v>
      </c>
      <c r="B116" s="844"/>
      <c r="C116" s="844"/>
      <c r="D116" s="844"/>
      <c r="E116" s="844"/>
      <c r="F116" s="844"/>
      <c r="G116" s="844"/>
      <c r="H116" s="844"/>
      <c r="I116" s="844"/>
      <c r="J116" s="844"/>
      <c r="K116" s="844"/>
      <c r="L116" s="844"/>
      <c r="M116" s="844"/>
      <c r="N116" s="845"/>
      <c r="O116" s="846"/>
      <c r="P116" s="846"/>
      <c r="R116" s="847"/>
      <c r="S116" s="847"/>
      <c r="T116" s="847"/>
      <c r="U116" s="847"/>
      <c r="V116" s="847"/>
      <c r="W116" s="847"/>
      <c r="X116" s="847"/>
      <c r="Y116" s="848"/>
    </row>
    <row r="117" spans="1:25" ht="32.450000000000003">
      <c r="A117" s="849" t="s">
        <v>670</v>
      </c>
      <c r="B117" s="782">
        <v>0</v>
      </c>
      <c r="C117" s="782">
        <v>0</v>
      </c>
      <c r="D117" s="782">
        <v>23.927</v>
      </c>
      <c r="E117" s="782">
        <v>0</v>
      </c>
      <c r="F117" s="782">
        <v>0</v>
      </c>
      <c r="G117" s="783">
        <v>23.927</v>
      </c>
      <c r="H117" s="782">
        <v>0</v>
      </c>
      <c r="I117" s="782">
        <v>0</v>
      </c>
      <c r="J117" s="782">
        <v>23.927</v>
      </c>
      <c r="K117" s="782">
        <v>0</v>
      </c>
      <c r="L117" s="782">
        <v>0</v>
      </c>
      <c r="M117" s="783">
        <v>23.927</v>
      </c>
      <c r="N117" s="315">
        <v>0</v>
      </c>
      <c r="O117" s="32" t="s">
        <v>671</v>
      </c>
      <c r="P117" s="233" t="s">
        <v>47</v>
      </c>
      <c r="R117" s="368" t="e">
        <f>#REF!*1000</f>
        <v>#REF!</v>
      </c>
      <c r="S117" s="368" t="e">
        <f>#REF!*1000</f>
        <v>#REF!</v>
      </c>
      <c r="T117" s="368" t="e">
        <f>#REF!*1000</f>
        <v>#REF!</v>
      </c>
      <c r="U117" s="368" t="e">
        <f>#REF!*1000</f>
        <v>#REF!</v>
      </c>
      <c r="V117" s="368" t="e">
        <f>#REF!*1000</f>
        <v>#REF!</v>
      </c>
      <c r="W117" s="368" t="e">
        <f>#REF!*1000</f>
        <v>#REF!</v>
      </c>
      <c r="X117" s="368" t="e">
        <f>#REF!*1000</f>
        <v>#REF!</v>
      </c>
      <c r="Y117" s="368" t="e">
        <f>#REF!*1000</f>
        <v>#REF!</v>
      </c>
    </row>
    <row r="118" spans="1:25" ht="16.149999999999999">
      <c r="A118" s="781" t="s">
        <v>672</v>
      </c>
      <c r="B118" s="782">
        <v>19.2</v>
      </c>
      <c r="C118" s="782">
        <v>0</v>
      </c>
      <c r="D118" s="782">
        <v>0</v>
      </c>
      <c r="E118" s="782">
        <v>0</v>
      </c>
      <c r="F118" s="782">
        <v>0</v>
      </c>
      <c r="G118" s="783">
        <v>19.2</v>
      </c>
      <c r="H118" s="782">
        <v>27.8</v>
      </c>
      <c r="I118" s="782">
        <v>0</v>
      </c>
      <c r="J118" s="782">
        <v>0</v>
      </c>
      <c r="K118" s="782">
        <v>0</v>
      </c>
      <c r="L118" s="782">
        <v>0</v>
      </c>
      <c r="M118" s="783">
        <v>27.8</v>
      </c>
      <c r="N118" s="315">
        <v>0.44791666666666674</v>
      </c>
      <c r="O118" s="32" t="s">
        <v>673</v>
      </c>
      <c r="P118" s="233" t="s">
        <v>674</v>
      </c>
      <c r="R118" s="368" t="e">
        <f>#REF!*1000</f>
        <v>#REF!</v>
      </c>
      <c r="S118" s="368" t="e">
        <f>#REF!*1000</f>
        <v>#REF!</v>
      </c>
      <c r="T118" s="368" t="e">
        <f>#REF!*1000</f>
        <v>#REF!</v>
      </c>
      <c r="U118" s="368" t="e">
        <f>#REF!*1000</f>
        <v>#REF!</v>
      </c>
      <c r="V118" s="368" t="e">
        <f>#REF!*1000</f>
        <v>#REF!</v>
      </c>
      <c r="W118" s="368" t="e">
        <f>#REF!*1000</f>
        <v>#REF!</v>
      </c>
      <c r="X118" s="368" t="e">
        <f>#REF!*1000</f>
        <v>#REF!</v>
      </c>
      <c r="Y118" s="368" t="e">
        <f>#REF!*1000</f>
        <v>#REF!</v>
      </c>
    </row>
    <row r="119" spans="1:25" ht="81">
      <c r="A119" s="781" t="s">
        <v>675</v>
      </c>
      <c r="B119" s="782">
        <v>0</v>
      </c>
      <c r="C119" s="782">
        <v>0</v>
      </c>
      <c r="D119" s="782">
        <v>15.327</v>
      </c>
      <c r="E119" s="782">
        <v>0</v>
      </c>
      <c r="F119" s="782">
        <v>0</v>
      </c>
      <c r="G119" s="783">
        <v>15.327</v>
      </c>
      <c r="H119" s="782">
        <v>0</v>
      </c>
      <c r="I119" s="782">
        <v>0</v>
      </c>
      <c r="J119" s="782">
        <v>0</v>
      </c>
      <c r="K119" s="782">
        <v>0</v>
      </c>
      <c r="L119" s="782">
        <v>0</v>
      </c>
      <c r="M119" s="783">
        <v>0</v>
      </c>
      <c r="N119" s="315">
        <v>-1</v>
      </c>
      <c r="O119" s="32" t="s">
        <v>676</v>
      </c>
      <c r="P119" s="233" t="s">
        <v>677</v>
      </c>
      <c r="R119" s="368" t="e">
        <f>#REF!*1000</f>
        <v>#REF!</v>
      </c>
      <c r="S119" s="368" t="e">
        <f>#REF!*1000</f>
        <v>#REF!</v>
      </c>
      <c r="T119" s="368" t="e">
        <f>#REF!*1000</f>
        <v>#REF!</v>
      </c>
      <c r="U119" s="368" t="e">
        <f>#REF!*1000</f>
        <v>#REF!</v>
      </c>
      <c r="V119" s="368" t="e">
        <f>#REF!*1000</f>
        <v>#REF!</v>
      </c>
      <c r="W119" s="368" t="e">
        <f>#REF!*1000</f>
        <v>#REF!</v>
      </c>
      <c r="X119" s="368" t="e">
        <f>#REF!*1000</f>
        <v>#REF!</v>
      </c>
      <c r="Y119" s="368" t="e">
        <f>#REF!*1000</f>
        <v>#REF!</v>
      </c>
    </row>
    <row r="120" spans="1:25" ht="32.450000000000003">
      <c r="A120" s="318" t="s">
        <v>678</v>
      </c>
      <c r="B120" s="319">
        <v>19.2</v>
      </c>
      <c r="C120" s="319">
        <v>0</v>
      </c>
      <c r="D120" s="319">
        <v>39.253999999999998</v>
      </c>
      <c r="E120" s="319">
        <v>0</v>
      </c>
      <c r="F120" s="319">
        <v>0</v>
      </c>
      <c r="G120" s="319">
        <v>58.453999999999994</v>
      </c>
      <c r="H120" s="319">
        <v>27.8</v>
      </c>
      <c r="I120" s="319">
        <v>0</v>
      </c>
      <c r="J120" s="319">
        <v>23.927</v>
      </c>
      <c r="K120" s="319">
        <v>0</v>
      </c>
      <c r="L120" s="319">
        <v>0</v>
      </c>
      <c r="M120" s="319">
        <v>51.727000000000004</v>
      </c>
      <c r="N120" s="320">
        <v>-0.11508194477708951</v>
      </c>
      <c r="O120" s="488"/>
      <c r="P120" s="488"/>
      <c r="R120" s="319"/>
      <c r="S120" s="319"/>
      <c r="T120" s="319"/>
      <c r="U120" s="319"/>
      <c r="V120" s="319"/>
      <c r="W120" s="319"/>
      <c r="X120" s="319"/>
      <c r="Y120" s="319"/>
    </row>
    <row r="121" spans="1:25" ht="16.149999999999999">
      <c r="A121" s="665"/>
      <c r="B121" s="666"/>
      <c r="C121" s="666"/>
      <c r="D121" s="666"/>
      <c r="E121" s="666"/>
      <c r="F121" s="666"/>
      <c r="G121" s="850"/>
      <c r="H121" s="666"/>
      <c r="I121" s="666"/>
      <c r="J121" s="666"/>
      <c r="K121" s="666"/>
      <c r="L121" s="666"/>
      <c r="M121" s="850"/>
      <c r="N121" s="666"/>
      <c r="O121" s="666"/>
      <c r="P121" s="666"/>
      <c r="R121" s="851"/>
      <c r="S121" s="851"/>
      <c r="T121" s="851"/>
      <c r="U121" s="851"/>
      <c r="V121" s="851"/>
      <c r="W121" s="851"/>
      <c r="X121" s="851"/>
      <c r="Y121" s="852"/>
    </row>
    <row r="122" spans="1:25" ht="16.149999999999999">
      <c r="R122" s="853"/>
      <c r="S122" s="853"/>
      <c r="T122" s="853"/>
      <c r="U122" s="853"/>
      <c r="V122" s="853"/>
      <c r="W122" s="853"/>
      <c r="X122" s="853"/>
      <c r="Y122" s="854"/>
    </row>
  </sheetData>
  <mergeCells count="2">
    <mergeCell ref="R1:Y1"/>
    <mergeCell ref="R2:Y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E6763-096F-4661-86FA-EDDB471C150E}">
  <sheetPr>
    <tabColor theme="8" tint="-0.499984740745262"/>
  </sheetPr>
  <dimension ref="A1:Q207"/>
  <sheetViews>
    <sheetView showGridLines="0" zoomScale="55" zoomScaleNormal="55" workbookViewId="0">
      <pane xSplit="1" ySplit="4" topLeftCell="F185" activePane="bottomRight" state="frozen"/>
      <selection pane="bottomRight" activeCell="H191" sqref="H191"/>
      <selection pane="bottomLeft" activeCell="L17" sqref="L17"/>
      <selection pane="topRight" activeCell="L17" sqref="L17"/>
    </sheetView>
  </sheetViews>
  <sheetFormatPr defaultColWidth="8.7109375" defaultRowHeight="14.45" outlineLevelCol="1"/>
  <cols>
    <col min="1" max="1" width="40.7109375" customWidth="1"/>
    <col min="2" max="14" width="17.42578125" customWidth="1" outlineLevel="1"/>
    <col min="15" max="16" width="75.7109375" customWidth="1" outlineLevel="1"/>
    <col min="17" max="17" width="2.5703125" style="134" customWidth="1"/>
    <col min="18" max="29" width="14.42578125" customWidth="1"/>
  </cols>
  <sheetData>
    <row r="1" spans="1:16" ht="23.1" customHeight="1" thickBot="1"/>
    <row r="2" spans="1:16" ht="23.1" customHeight="1">
      <c r="A2" s="574"/>
      <c r="B2" s="576"/>
      <c r="C2" s="577"/>
      <c r="D2" s="577"/>
      <c r="E2" s="577"/>
      <c r="F2" s="577"/>
      <c r="G2" s="575"/>
      <c r="H2" s="576"/>
      <c r="I2" s="577"/>
      <c r="J2" s="577"/>
      <c r="K2" s="577"/>
      <c r="L2" s="577"/>
      <c r="M2" s="575"/>
      <c r="N2" s="578"/>
      <c r="O2" s="579"/>
      <c r="P2" s="580"/>
    </row>
    <row r="3" spans="1:16" ht="100.15" customHeight="1">
      <c r="A3" s="10" t="s">
        <v>679</v>
      </c>
      <c r="B3" s="295" t="s">
        <v>11</v>
      </c>
      <c r="C3" s="295" t="s">
        <v>12</v>
      </c>
      <c r="D3" s="295" t="s">
        <v>13</v>
      </c>
      <c r="E3" s="295" t="s">
        <v>14</v>
      </c>
      <c r="F3" s="295" t="s">
        <v>15</v>
      </c>
      <c r="G3" s="295" t="s">
        <v>16</v>
      </c>
      <c r="H3" s="295" t="s">
        <v>17</v>
      </c>
      <c r="I3" s="295" t="s">
        <v>18</v>
      </c>
      <c r="J3" s="295" t="s">
        <v>19</v>
      </c>
      <c r="K3" s="295" t="s">
        <v>20</v>
      </c>
      <c r="L3" s="295" t="s">
        <v>21</v>
      </c>
      <c r="M3" s="295" t="s">
        <v>22</v>
      </c>
      <c r="N3" s="12" t="s">
        <v>23</v>
      </c>
      <c r="O3" s="13" t="s">
        <v>24</v>
      </c>
      <c r="P3" s="276" t="s">
        <v>25</v>
      </c>
    </row>
    <row r="4" spans="1:16" ht="22.9" thickBot="1">
      <c r="A4" s="273"/>
      <c r="B4" s="272"/>
      <c r="C4" s="272"/>
      <c r="D4" s="272"/>
      <c r="E4" s="272"/>
      <c r="F4" s="272"/>
      <c r="G4" s="272"/>
      <c r="H4" s="272"/>
      <c r="I4" s="272"/>
      <c r="J4" s="272"/>
      <c r="K4" s="272"/>
      <c r="L4" s="272"/>
      <c r="M4" s="272"/>
      <c r="N4" s="581"/>
      <c r="O4" s="270"/>
      <c r="P4" s="270"/>
    </row>
    <row r="5" spans="1:16" ht="16.149999999999999">
      <c r="A5" s="582"/>
      <c r="B5" s="583"/>
      <c r="C5" s="583"/>
      <c r="D5" s="583"/>
      <c r="E5" s="583"/>
      <c r="F5" s="583"/>
      <c r="G5" s="583"/>
      <c r="H5" s="583"/>
      <c r="I5" s="583"/>
      <c r="J5" s="583"/>
      <c r="K5" s="583"/>
      <c r="L5" s="583"/>
      <c r="M5" s="583"/>
      <c r="N5" s="584"/>
      <c r="O5" s="111"/>
      <c r="P5" s="111"/>
    </row>
    <row r="6" spans="1:16" ht="16.149999999999999">
      <c r="A6" s="585" t="s">
        <v>680</v>
      </c>
      <c r="B6" s="586"/>
      <c r="C6" s="586"/>
      <c r="D6" s="586"/>
      <c r="E6" s="586"/>
      <c r="F6" s="586"/>
      <c r="G6" s="586"/>
      <c r="H6" s="586"/>
      <c r="I6" s="586"/>
      <c r="J6" s="586"/>
      <c r="K6" s="586"/>
      <c r="L6" s="586"/>
      <c r="M6" s="586"/>
      <c r="N6" s="587"/>
      <c r="O6" s="588"/>
      <c r="P6" s="588"/>
    </row>
    <row r="7" spans="1:16" ht="16.149999999999999">
      <c r="A7" s="589"/>
      <c r="B7" s="590"/>
      <c r="C7" s="590"/>
      <c r="D7" s="590"/>
      <c r="E7" s="590"/>
      <c r="F7" s="590"/>
      <c r="G7" s="590"/>
      <c r="H7" s="590"/>
      <c r="I7" s="590"/>
      <c r="J7" s="590"/>
      <c r="K7" s="590"/>
      <c r="L7" s="590"/>
      <c r="M7" s="590"/>
      <c r="N7" s="591"/>
      <c r="O7" s="111"/>
      <c r="P7" s="111"/>
    </row>
    <row r="8" spans="1:16" ht="16.149999999999999">
      <c r="A8" s="592" t="s">
        <v>681</v>
      </c>
      <c r="B8" s="208"/>
      <c r="C8" s="208"/>
      <c r="D8" s="208"/>
      <c r="E8" s="208"/>
      <c r="F8" s="208"/>
      <c r="G8" s="208"/>
      <c r="H8" s="208"/>
      <c r="I8" s="208"/>
      <c r="J8" s="208"/>
      <c r="K8" s="208"/>
      <c r="L8" s="208"/>
      <c r="M8" s="208"/>
      <c r="N8" s="593"/>
      <c r="O8" s="594"/>
      <c r="P8" s="594"/>
    </row>
    <row r="9" spans="1:16" ht="48.6">
      <c r="A9" s="595" t="s">
        <v>682</v>
      </c>
      <c r="B9" s="596">
        <v>0.33300000000000002</v>
      </c>
      <c r="C9" s="596">
        <v>0</v>
      </c>
      <c r="D9" s="596">
        <v>0.4</v>
      </c>
      <c r="E9" s="596">
        <v>0</v>
      </c>
      <c r="F9" s="596">
        <v>0</v>
      </c>
      <c r="G9" s="597">
        <v>0.7330000000000001</v>
      </c>
      <c r="H9" s="596">
        <v>0.316</v>
      </c>
      <c r="I9" s="596">
        <v>0</v>
      </c>
      <c r="J9" s="596">
        <v>0.39</v>
      </c>
      <c r="K9" s="596">
        <v>0</v>
      </c>
      <c r="L9" s="596">
        <v>0</v>
      </c>
      <c r="M9" s="597">
        <v>0.70599999999999996</v>
      </c>
      <c r="N9" s="598">
        <v>-3.6834924965893766E-2</v>
      </c>
      <c r="O9" s="599" t="s">
        <v>683</v>
      </c>
      <c r="P9" s="600" t="s">
        <v>684</v>
      </c>
    </row>
    <row r="10" spans="1:16" ht="48.6">
      <c r="A10" s="601" t="s">
        <v>685</v>
      </c>
      <c r="B10" s="596">
        <v>1.5089999999999999</v>
      </c>
      <c r="C10" s="596">
        <v>0</v>
      </c>
      <c r="D10" s="596">
        <v>0.27900000000000003</v>
      </c>
      <c r="E10" s="596">
        <v>0</v>
      </c>
      <c r="F10" s="596">
        <v>0</v>
      </c>
      <c r="G10" s="597">
        <v>1.7879999999999998</v>
      </c>
      <c r="H10" s="602">
        <v>1.4339999999999999</v>
      </c>
      <c r="I10" s="602">
        <v>0</v>
      </c>
      <c r="J10" s="602">
        <v>0.51100000000000001</v>
      </c>
      <c r="K10" s="602">
        <v>0</v>
      </c>
      <c r="L10" s="602">
        <v>0</v>
      </c>
      <c r="M10" s="597">
        <v>1.9449999999999998</v>
      </c>
      <c r="N10" s="603">
        <v>8.7807606263982124E-2</v>
      </c>
      <c r="O10" s="604" t="s">
        <v>686</v>
      </c>
      <c r="P10" s="605" t="s">
        <v>687</v>
      </c>
    </row>
    <row r="11" spans="1:16" ht="64.900000000000006">
      <c r="A11" s="601" t="s">
        <v>688</v>
      </c>
      <c r="B11" s="596">
        <v>0.65200000000000002</v>
      </c>
      <c r="C11" s="596">
        <v>0</v>
      </c>
      <c r="D11" s="596">
        <v>0.11600000000000001</v>
      </c>
      <c r="E11" s="596">
        <v>0</v>
      </c>
      <c r="F11" s="596">
        <v>0</v>
      </c>
      <c r="G11" s="597">
        <v>0.76800000000000002</v>
      </c>
      <c r="H11" s="602">
        <v>0.61899999999999999</v>
      </c>
      <c r="I11" s="602">
        <v>0</v>
      </c>
      <c r="J11" s="602">
        <v>0.28000000000000003</v>
      </c>
      <c r="K11" s="602">
        <v>0</v>
      </c>
      <c r="L11" s="602">
        <v>0</v>
      </c>
      <c r="M11" s="597">
        <v>0.89900000000000002</v>
      </c>
      <c r="N11" s="606">
        <v>0.17057291666666666</v>
      </c>
      <c r="O11" s="604" t="s">
        <v>689</v>
      </c>
      <c r="P11" s="605" t="s">
        <v>684</v>
      </c>
    </row>
    <row r="12" spans="1:16" ht="81">
      <c r="A12" s="601" t="s">
        <v>690</v>
      </c>
      <c r="B12" s="596">
        <v>0.78700000000000003</v>
      </c>
      <c r="C12" s="596">
        <v>0</v>
      </c>
      <c r="D12" s="596">
        <v>0</v>
      </c>
      <c r="E12" s="596">
        <v>0</v>
      </c>
      <c r="F12" s="596">
        <v>0</v>
      </c>
      <c r="G12" s="597">
        <v>0.78700000000000003</v>
      </c>
      <c r="H12" s="602">
        <v>0.75600000000000001</v>
      </c>
      <c r="I12" s="602">
        <v>0</v>
      </c>
      <c r="J12" s="602">
        <v>0</v>
      </c>
      <c r="K12" s="602">
        <v>0</v>
      </c>
      <c r="L12" s="602">
        <v>0</v>
      </c>
      <c r="M12" s="597">
        <v>0.75600000000000001</v>
      </c>
      <c r="N12" s="603">
        <v>-3.9390088945362167E-2</v>
      </c>
      <c r="O12" s="604" t="s">
        <v>691</v>
      </c>
      <c r="P12" s="605" t="s">
        <v>692</v>
      </c>
    </row>
    <row r="13" spans="1:16" ht="32.450000000000003">
      <c r="A13" s="607" t="s">
        <v>693</v>
      </c>
      <c r="B13" s="168">
        <v>3.2809999999999997</v>
      </c>
      <c r="C13" s="168">
        <v>0</v>
      </c>
      <c r="D13" s="168">
        <v>0.79500000000000004</v>
      </c>
      <c r="E13" s="168">
        <v>0</v>
      </c>
      <c r="F13" s="168">
        <v>0</v>
      </c>
      <c r="G13" s="168">
        <v>4.0759999999999996</v>
      </c>
      <c r="H13" s="168">
        <v>3.125</v>
      </c>
      <c r="I13" s="168">
        <v>0</v>
      </c>
      <c r="J13" s="168">
        <v>1.181</v>
      </c>
      <c r="K13" s="168">
        <v>0</v>
      </c>
      <c r="L13" s="168">
        <v>0</v>
      </c>
      <c r="M13" s="168">
        <v>4.306</v>
      </c>
      <c r="N13" s="337">
        <v>5.6427870461236616E-2</v>
      </c>
      <c r="O13" s="608"/>
      <c r="P13" s="609"/>
    </row>
    <row r="14" spans="1:16" ht="16.149999999999999">
      <c r="A14" s="67"/>
      <c r="B14" s="610"/>
      <c r="C14" s="610"/>
      <c r="D14" s="610"/>
      <c r="E14" s="610"/>
      <c r="F14" s="610"/>
      <c r="G14" s="610"/>
      <c r="H14" s="610"/>
      <c r="I14" s="610"/>
      <c r="J14" s="610"/>
      <c r="K14" s="610"/>
      <c r="L14" s="610"/>
      <c r="M14" s="610"/>
      <c r="N14" s="591"/>
      <c r="O14" s="611"/>
      <c r="P14" s="111"/>
    </row>
    <row r="15" spans="1:16" ht="32.450000000000003">
      <c r="A15" s="592" t="s">
        <v>694</v>
      </c>
      <c r="B15" s="208"/>
      <c r="C15" s="208"/>
      <c r="D15" s="208"/>
      <c r="E15" s="208"/>
      <c r="F15" s="208"/>
      <c r="G15" s="208"/>
      <c r="H15" s="208"/>
      <c r="I15" s="208"/>
      <c r="J15" s="208"/>
      <c r="K15" s="208"/>
      <c r="L15" s="208"/>
      <c r="M15" s="208"/>
      <c r="N15" s="593"/>
      <c r="O15" s="594"/>
      <c r="P15" s="594"/>
    </row>
    <row r="16" spans="1:16" ht="16.149999999999999">
      <c r="A16" s="599" t="s">
        <v>695</v>
      </c>
      <c r="B16" s="596">
        <v>0.184</v>
      </c>
      <c r="C16" s="596">
        <v>0</v>
      </c>
      <c r="D16" s="596">
        <v>0</v>
      </c>
      <c r="E16" s="596">
        <v>0</v>
      </c>
      <c r="F16" s="596">
        <v>0</v>
      </c>
      <c r="G16" s="597">
        <v>0.184</v>
      </c>
      <c r="H16" s="596">
        <v>0.184</v>
      </c>
      <c r="I16" s="596">
        <v>0</v>
      </c>
      <c r="J16" s="596">
        <v>0</v>
      </c>
      <c r="K16" s="596">
        <v>0</v>
      </c>
      <c r="L16" s="596">
        <v>0</v>
      </c>
      <c r="M16" s="597">
        <v>0.184</v>
      </c>
      <c r="N16" s="598">
        <v>0</v>
      </c>
      <c r="O16" s="595" t="s">
        <v>696</v>
      </c>
      <c r="P16" s="600" t="s">
        <v>47</v>
      </c>
    </row>
    <row r="17" spans="1:16" ht="48.6">
      <c r="A17" s="604" t="s">
        <v>697</v>
      </c>
      <c r="B17" s="596">
        <v>79.873999999999995</v>
      </c>
      <c r="C17" s="596">
        <v>0</v>
      </c>
      <c r="D17" s="596">
        <v>0</v>
      </c>
      <c r="E17" s="596">
        <v>0</v>
      </c>
      <c r="F17" s="596">
        <v>0</v>
      </c>
      <c r="G17" s="597">
        <v>79.873999999999995</v>
      </c>
      <c r="H17" s="602">
        <v>81.89</v>
      </c>
      <c r="I17" s="602">
        <v>0</v>
      </c>
      <c r="J17" s="602">
        <v>0</v>
      </c>
      <c r="K17" s="602">
        <v>0</v>
      </c>
      <c r="L17" s="602">
        <v>0</v>
      </c>
      <c r="M17" s="597">
        <v>81.89</v>
      </c>
      <c r="N17" s="603">
        <v>2.5239752610361387E-2</v>
      </c>
      <c r="O17" s="612" t="s">
        <v>698</v>
      </c>
      <c r="P17" s="605" t="s">
        <v>699</v>
      </c>
    </row>
    <row r="18" spans="1:16" ht="32.450000000000003">
      <c r="A18" s="604" t="s">
        <v>700</v>
      </c>
      <c r="B18" s="596">
        <v>0</v>
      </c>
      <c r="C18" s="596">
        <v>0</v>
      </c>
      <c r="D18" s="596">
        <v>0.2</v>
      </c>
      <c r="E18" s="596">
        <v>0</v>
      </c>
      <c r="F18" s="596">
        <v>0</v>
      </c>
      <c r="G18" s="597">
        <v>0.2</v>
      </c>
      <c r="H18" s="602">
        <v>0</v>
      </c>
      <c r="I18" s="602">
        <v>0</v>
      </c>
      <c r="J18" s="602">
        <v>0.2</v>
      </c>
      <c r="K18" s="602">
        <v>0</v>
      </c>
      <c r="L18" s="602">
        <v>0</v>
      </c>
      <c r="M18" s="597">
        <v>0.2</v>
      </c>
      <c r="N18" s="613">
        <v>0</v>
      </c>
      <c r="O18" s="612" t="s">
        <v>701</v>
      </c>
      <c r="P18" s="605" t="s">
        <v>47</v>
      </c>
    </row>
    <row r="19" spans="1:16" ht="16.149999999999999">
      <c r="A19" s="604" t="s">
        <v>702</v>
      </c>
      <c r="B19" s="596">
        <v>0.441</v>
      </c>
      <c r="C19" s="596">
        <v>0</v>
      </c>
      <c r="D19" s="596">
        <v>0</v>
      </c>
      <c r="E19" s="596">
        <v>0</v>
      </c>
      <c r="F19" s="596">
        <v>0</v>
      </c>
      <c r="G19" s="597">
        <v>0.441</v>
      </c>
      <c r="H19" s="602">
        <v>0.42099999999999999</v>
      </c>
      <c r="I19" s="602">
        <v>0</v>
      </c>
      <c r="J19" s="602">
        <v>0</v>
      </c>
      <c r="K19" s="602">
        <v>0</v>
      </c>
      <c r="L19" s="602">
        <v>0</v>
      </c>
      <c r="M19" s="597">
        <v>0.42099999999999999</v>
      </c>
      <c r="N19" s="603">
        <v>-4.5351473922902535E-2</v>
      </c>
      <c r="O19" s="612" t="s">
        <v>703</v>
      </c>
      <c r="P19" s="605" t="s">
        <v>704</v>
      </c>
    </row>
    <row r="20" spans="1:16" ht="113.45">
      <c r="A20" s="614" t="s">
        <v>705</v>
      </c>
      <c r="B20" s="596">
        <v>26.832000000000001</v>
      </c>
      <c r="C20" s="596">
        <v>0</v>
      </c>
      <c r="D20" s="596">
        <v>0</v>
      </c>
      <c r="E20" s="596">
        <v>0</v>
      </c>
      <c r="F20" s="596">
        <v>0</v>
      </c>
      <c r="G20" s="597">
        <v>26.832000000000001</v>
      </c>
      <c r="H20" s="602">
        <v>27.431999999999999</v>
      </c>
      <c r="I20" s="602">
        <v>0</v>
      </c>
      <c r="J20" s="602">
        <v>0</v>
      </c>
      <c r="K20" s="602">
        <v>0</v>
      </c>
      <c r="L20" s="602">
        <v>0</v>
      </c>
      <c r="M20" s="597">
        <v>27.431999999999999</v>
      </c>
      <c r="N20" s="603">
        <v>2.2361359570661817E-2</v>
      </c>
      <c r="O20" s="612" t="s">
        <v>706</v>
      </c>
      <c r="P20" s="605" t="s">
        <v>707</v>
      </c>
    </row>
    <row r="21" spans="1:16" ht="97.15">
      <c r="A21" s="604" t="s">
        <v>708</v>
      </c>
      <c r="B21" s="596">
        <v>26.245000000000001</v>
      </c>
      <c r="C21" s="596">
        <v>0</v>
      </c>
      <c r="D21" s="596">
        <v>80</v>
      </c>
      <c r="E21" s="596">
        <v>0</v>
      </c>
      <c r="F21" s="596">
        <v>0</v>
      </c>
      <c r="G21" s="597">
        <v>106.245</v>
      </c>
      <c r="H21" s="602">
        <v>33.445</v>
      </c>
      <c r="I21" s="602">
        <v>0</v>
      </c>
      <c r="J21" s="602">
        <v>43.01</v>
      </c>
      <c r="K21" s="602">
        <v>0</v>
      </c>
      <c r="L21" s="602">
        <v>0</v>
      </c>
      <c r="M21" s="597">
        <v>76.454999999999998</v>
      </c>
      <c r="N21" s="603">
        <v>-0.28038966539601867</v>
      </c>
      <c r="O21" s="612" t="s">
        <v>709</v>
      </c>
      <c r="P21" s="605" t="s">
        <v>710</v>
      </c>
    </row>
    <row r="22" spans="1:16" ht="32.450000000000003">
      <c r="A22" s="607" t="s">
        <v>711</v>
      </c>
      <c r="B22" s="168">
        <v>133.57599999999999</v>
      </c>
      <c r="C22" s="168">
        <v>0</v>
      </c>
      <c r="D22" s="168">
        <v>80.2</v>
      </c>
      <c r="E22" s="168">
        <v>0</v>
      </c>
      <c r="F22" s="168">
        <v>0</v>
      </c>
      <c r="G22" s="168">
        <v>213.77600000000001</v>
      </c>
      <c r="H22" s="168">
        <v>143.37200000000001</v>
      </c>
      <c r="I22" s="168">
        <v>0</v>
      </c>
      <c r="J22" s="168">
        <v>43.21</v>
      </c>
      <c r="K22" s="168">
        <v>0</v>
      </c>
      <c r="L22" s="168">
        <v>0</v>
      </c>
      <c r="M22" s="168">
        <v>186.58199999999999</v>
      </c>
      <c r="N22" s="337">
        <v>-0.12720791856896946</v>
      </c>
      <c r="O22" s="608"/>
      <c r="P22" s="609"/>
    </row>
    <row r="23" spans="1:16" ht="16.149999999999999">
      <c r="A23" s="582"/>
      <c r="B23" s="583"/>
      <c r="C23" s="583"/>
      <c r="D23" s="583"/>
      <c r="E23" s="583"/>
      <c r="F23" s="583"/>
      <c r="G23" s="583"/>
      <c r="H23" s="583"/>
      <c r="I23" s="583"/>
      <c r="J23" s="583"/>
      <c r="K23" s="583"/>
      <c r="L23" s="583"/>
      <c r="M23" s="583"/>
      <c r="N23" s="584"/>
      <c r="O23" s="111"/>
      <c r="P23" s="111"/>
    </row>
    <row r="24" spans="1:16" ht="32.450000000000003">
      <c r="A24" s="615" t="s">
        <v>712</v>
      </c>
      <c r="B24" s="208"/>
      <c r="C24" s="208"/>
      <c r="D24" s="208"/>
      <c r="E24" s="208"/>
      <c r="F24" s="208"/>
      <c r="G24" s="208"/>
      <c r="H24" s="208"/>
      <c r="I24" s="208"/>
      <c r="J24" s="208"/>
      <c r="K24" s="208"/>
      <c r="L24" s="208"/>
      <c r="M24" s="208"/>
      <c r="N24" s="593"/>
      <c r="O24" s="594"/>
      <c r="P24" s="594"/>
    </row>
    <row r="25" spans="1:16" ht="64.900000000000006">
      <c r="A25" s="599" t="s">
        <v>713</v>
      </c>
      <c r="B25" s="596">
        <v>178.25</v>
      </c>
      <c r="C25" s="596">
        <v>0</v>
      </c>
      <c r="D25" s="596">
        <v>0</v>
      </c>
      <c r="E25" s="596">
        <v>0</v>
      </c>
      <c r="F25" s="596">
        <v>0</v>
      </c>
      <c r="G25" s="597">
        <v>178.25</v>
      </c>
      <c r="H25" s="596">
        <v>170.584</v>
      </c>
      <c r="I25" s="596">
        <v>0</v>
      </c>
      <c r="J25" s="596">
        <v>0</v>
      </c>
      <c r="K25" s="596">
        <v>0</v>
      </c>
      <c r="L25" s="596">
        <v>0</v>
      </c>
      <c r="M25" s="597">
        <v>170.584</v>
      </c>
      <c r="N25" s="598">
        <v>-4.3007012622720879E-2</v>
      </c>
      <c r="O25" s="599" t="s">
        <v>714</v>
      </c>
      <c r="P25" s="600" t="s">
        <v>715</v>
      </c>
    </row>
    <row r="26" spans="1:16" ht="64.900000000000006">
      <c r="A26" s="599" t="s">
        <v>716</v>
      </c>
      <c r="B26" s="596">
        <v>0</v>
      </c>
      <c r="C26" s="596">
        <v>0</v>
      </c>
      <c r="D26" s="596">
        <v>0</v>
      </c>
      <c r="E26" s="596">
        <v>0</v>
      </c>
      <c r="F26" s="596">
        <v>0</v>
      </c>
      <c r="G26" s="597">
        <v>0</v>
      </c>
      <c r="H26" s="596">
        <v>242</v>
      </c>
      <c r="I26" s="596">
        <v>0</v>
      </c>
      <c r="J26" s="596">
        <v>0</v>
      </c>
      <c r="K26" s="596">
        <v>0</v>
      </c>
      <c r="L26" s="596">
        <v>0</v>
      </c>
      <c r="M26" s="597">
        <v>242</v>
      </c>
      <c r="N26" s="598" t="s">
        <v>204</v>
      </c>
      <c r="O26" s="599" t="s">
        <v>717</v>
      </c>
      <c r="P26" s="600" t="s">
        <v>718</v>
      </c>
    </row>
    <row r="27" spans="1:16" ht="81">
      <c r="A27" s="604" t="s">
        <v>719</v>
      </c>
      <c r="B27" s="596">
        <v>0.4</v>
      </c>
      <c r="C27" s="596">
        <v>0</v>
      </c>
      <c r="D27" s="596">
        <v>0</v>
      </c>
      <c r="E27" s="596">
        <v>0</v>
      </c>
      <c r="F27" s="596">
        <v>0</v>
      </c>
      <c r="G27" s="597">
        <v>0.4</v>
      </c>
      <c r="H27" s="602">
        <v>0.4</v>
      </c>
      <c r="I27" s="602">
        <v>0</v>
      </c>
      <c r="J27" s="602">
        <v>0</v>
      </c>
      <c r="K27" s="602">
        <v>0</v>
      </c>
      <c r="L27" s="602">
        <v>0</v>
      </c>
      <c r="M27" s="597">
        <v>0.4</v>
      </c>
      <c r="N27" s="603">
        <v>0</v>
      </c>
      <c r="O27" s="604" t="s">
        <v>720</v>
      </c>
      <c r="P27" s="605" t="s">
        <v>47</v>
      </c>
    </row>
    <row r="28" spans="1:16" ht="64.900000000000006">
      <c r="A28" s="604" t="s">
        <v>721</v>
      </c>
      <c r="B28" s="596">
        <v>7.31</v>
      </c>
      <c r="C28" s="596">
        <v>0</v>
      </c>
      <c r="D28" s="596">
        <v>13</v>
      </c>
      <c r="E28" s="596">
        <v>0</v>
      </c>
      <c r="F28" s="596">
        <v>0</v>
      </c>
      <c r="G28" s="597">
        <v>20.309999999999999</v>
      </c>
      <c r="H28" s="602">
        <v>6.31</v>
      </c>
      <c r="I28" s="602">
        <v>0</v>
      </c>
      <c r="J28" s="602">
        <v>10</v>
      </c>
      <c r="K28" s="602">
        <v>0</v>
      </c>
      <c r="L28" s="602">
        <v>0</v>
      </c>
      <c r="M28" s="597">
        <v>16.309999999999999</v>
      </c>
      <c r="N28" s="603">
        <v>-0.19694731659281142</v>
      </c>
      <c r="O28" s="604" t="s">
        <v>722</v>
      </c>
      <c r="P28" s="605" t="s">
        <v>723</v>
      </c>
    </row>
    <row r="29" spans="1:16" ht="45" customHeight="1">
      <c r="A29" s="604" t="s">
        <v>724</v>
      </c>
      <c r="B29" s="596">
        <v>70.98</v>
      </c>
      <c r="C29" s="596">
        <v>0</v>
      </c>
      <c r="D29" s="596">
        <v>0</v>
      </c>
      <c r="E29" s="596">
        <v>0</v>
      </c>
      <c r="F29" s="596">
        <v>0</v>
      </c>
      <c r="G29" s="597">
        <v>70.98</v>
      </c>
      <c r="H29" s="602">
        <v>81.98</v>
      </c>
      <c r="I29" s="602">
        <v>0</v>
      </c>
      <c r="J29" s="602">
        <v>0</v>
      </c>
      <c r="K29" s="602">
        <v>0</v>
      </c>
      <c r="L29" s="602">
        <v>0</v>
      </c>
      <c r="M29" s="597">
        <v>81.98</v>
      </c>
      <c r="N29" s="613">
        <v>0.15497323189630882</v>
      </c>
      <c r="O29" s="604" t="s">
        <v>725</v>
      </c>
      <c r="P29" s="605" t="s">
        <v>726</v>
      </c>
    </row>
    <row r="30" spans="1:16" ht="45" customHeight="1">
      <c r="A30" s="604" t="s">
        <v>727</v>
      </c>
      <c r="B30" s="596">
        <v>7</v>
      </c>
      <c r="C30" s="596">
        <v>0</v>
      </c>
      <c r="D30" s="596">
        <v>0</v>
      </c>
      <c r="E30" s="596">
        <v>0</v>
      </c>
      <c r="F30" s="596">
        <v>0</v>
      </c>
      <c r="G30" s="597">
        <v>7</v>
      </c>
      <c r="H30" s="602">
        <v>8.0559999999999992</v>
      </c>
      <c r="I30" s="602">
        <v>0</v>
      </c>
      <c r="J30" s="602">
        <v>0</v>
      </c>
      <c r="K30" s="602">
        <v>0</v>
      </c>
      <c r="L30" s="602">
        <v>0</v>
      </c>
      <c r="M30" s="597">
        <v>8.0559999999999992</v>
      </c>
      <c r="N30" s="603">
        <v>0.15085714285714275</v>
      </c>
      <c r="O30" s="612" t="s">
        <v>728</v>
      </c>
      <c r="P30" s="605" t="s">
        <v>729</v>
      </c>
    </row>
    <row r="31" spans="1:16" ht="45" customHeight="1">
      <c r="A31" s="604" t="s">
        <v>730</v>
      </c>
      <c r="B31" s="596">
        <v>0</v>
      </c>
      <c r="C31" s="596">
        <v>0</v>
      </c>
      <c r="D31" s="596">
        <v>0.2</v>
      </c>
      <c r="E31" s="596">
        <v>0</v>
      </c>
      <c r="F31" s="596">
        <v>0</v>
      </c>
      <c r="G31" s="597">
        <v>0.2</v>
      </c>
      <c r="H31" s="602">
        <v>0</v>
      </c>
      <c r="I31" s="602">
        <v>0</v>
      </c>
      <c r="J31" s="602">
        <v>0.3</v>
      </c>
      <c r="K31" s="602">
        <v>0</v>
      </c>
      <c r="L31" s="602">
        <v>0</v>
      </c>
      <c r="M31" s="597">
        <v>0.3</v>
      </c>
      <c r="N31" s="613">
        <v>0.49999999999999989</v>
      </c>
      <c r="O31" s="612" t="s">
        <v>731</v>
      </c>
      <c r="P31" s="605" t="s">
        <v>732</v>
      </c>
    </row>
    <row r="32" spans="1:16" ht="45" customHeight="1">
      <c r="A32" s="604" t="s">
        <v>733</v>
      </c>
      <c r="B32" s="596">
        <v>1.6</v>
      </c>
      <c r="C32" s="596">
        <v>0</v>
      </c>
      <c r="D32" s="596">
        <v>0</v>
      </c>
      <c r="E32" s="596">
        <v>0</v>
      </c>
      <c r="F32" s="596">
        <v>0</v>
      </c>
      <c r="G32" s="597">
        <v>1.6</v>
      </c>
      <c r="H32" s="602">
        <v>1.6</v>
      </c>
      <c r="I32" s="602">
        <v>0</v>
      </c>
      <c r="J32" s="602">
        <v>0</v>
      </c>
      <c r="K32" s="602">
        <v>0</v>
      </c>
      <c r="L32" s="602">
        <v>0</v>
      </c>
      <c r="M32" s="597">
        <v>1.6</v>
      </c>
      <c r="N32" s="603">
        <v>0</v>
      </c>
      <c r="O32" s="612" t="s">
        <v>734</v>
      </c>
      <c r="P32" s="605" t="s">
        <v>47</v>
      </c>
    </row>
    <row r="33" spans="1:16" ht="48" customHeight="1">
      <c r="A33" s="604" t="s">
        <v>735</v>
      </c>
      <c r="B33" s="596">
        <v>0.35399999999999998</v>
      </c>
      <c r="C33" s="596">
        <v>0</v>
      </c>
      <c r="D33" s="596">
        <v>0</v>
      </c>
      <c r="E33" s="596">
        <v>0</v>
      </c>
      <c r="F33" s="596">
        <v>0</v>
      </c>
      <c r="G33" s="597">
        <v>0.35399999999999998</v>
      </c>
      <c r="H33" s="602">
        <v>0.33600000000000002</v>
      </c>
      <c r="I33" s="602">
        <v>0</v>
      </c>
      <c r="J33" s="602">
        <v>0</v>
      </c>
      <c r="K33" s="602">
        <v>0</v>
      </c>
      <c r="L33" s="602">
        <v>0</v>
      </c>
      <c r="M33" s="597">
        <v>0.33600000000000002</v>
      </c>
      <c r="N33" s="606">
        <v>-5.0847457627118536E-2</v>
      </c>
      <c r="O33" s="612" t="s">
        <v>736</v>
      </c>
      <c r="P33" s="605" t="s">
        <v>692</v>
      </c>
    </row>
    <row r="34" spans="1:16" ht="32.450000000000003">
      <c r="A34" s="616" t="s">
        <v>737</v>
      </c>
      <c r="B34" s="168">
        <v>265.89400000000001</v>
      </c>
      <c r="C34" s="168">
        <v>0</v>
      </c>
      <c r="D34" s="168">
        <v>13.2</v>
      </c>
      <c r="E34" s="168">
        <v>0</v>
      </c>
      <c r="F34" s="168">
        <v>0</v>
      </c>
      <c r="G34" s="168">
        <v>279.09399999999999</v>
      </c>
      <c r="H34" s="168">
        <v>511.26600000000002</v>
      </c>
      <c r="I34" s="168">
        <v>0</v>
      </c>
      <c r="J34" s="168">
        <v>10.3</v>
      </c>
      <c r="K34" s="168">
        <v>0</v>
      </c>
      <c r="L34" s="168">
        <v>0</v>
      </c>
      <c r="M34" s="168">
        <v>521.56600000000003</v>
      </c>
      <c r="N34" s="337">
        <v>0.86878256071431148</v>
      </c>
      <c r="O34" s="608"/>
      <c r="P34" s="609"/>
    </row>
    <row r="35" spans="1:16" ht="16.149999999999999">
      <c r="A35" s="67"/>
      <c r="B35" s="610"/>
      <c r="C35" s="610"/>
      <c r="D35" s="610"/>
      <c r="E35" s="610"/>
      <c r="F35" s="610"/>
      <c r="G35" s="610"/>
      <c r="H35" s="610"/>
      <c r="I35" s="610"/>
      <c r="J35" s="610"/>
      <c r="K35" s="610"/>
      <c r="L35" s="610"/>
      <c r="M35" s="610"/>
      <c r="N35" s="591"/>
      <c r="O35" s="111"/>
      <c r="P35" s="111"/>
    </row>
    <row r="36" spans="1:16" ht="16.149999999999999">
      <c r="A36" s="617" t="s">
        <v>738</v>
      </c>
      <c r="B36" s="618">
        <v>402.75099999999998</v>
      </c>
      <c r="C36" s="618">
        <v>0</v>
      </c>
      <c r="D36" s="618">
        <v>94.195000000000007</v>
      </c>
      <c r="E36" s="618">
        <v>0</v>
      </c>
      <c r="F36" s="618">
        <v>0</v>
      </c>
      <c r="G36" s="618">
        <v>496.94600000000003</v>
      </c>
      <c r="H36" s="618">
        <v>657.76300000000003</v>
      </c>
      <c r="I36" s="618">
        <v>0</v>
      </c>
      <c r="J36" s="618">
        <v>54.691000000000003</v>
      </c>
      <c r="K36" s="618">
        <v>0</v>
      </c>
      <c r="L36" s="618">
        <v>0</v>
      </c>
      <c r="M36" s="618">
        <v>712.45400000000006</v>
      </c>
      <c r="N36" s="619">
        <v>0.43366482474957041</v>
      </c>
      <c r="O36" s="620"/>
      <c r="P36" s="621"/>
    </row>
    <row r="37" spans="1:16" ht="16.149999999999999">
      <c r="A37" s="67"/>
      <c r="B37" s="622"/>
      <c r="C37" s="622"/>
      <c r="D37" s="622"/>
      <c r="E37" s="622"/>
      <c r="F37" s="622"/>
      <c r="G37" s="622"/>
      <c r="H37" s="622"/>
      <c r="I37" s="622"/>
      <c r="J37" s="622"/>
      <c r="K37" s="622"/>
      <c r="L37" s="622"/>
      <c r="M37" s="622"/>
      <c r="N37" s="623"/>
      <c r="O37" s="611"/>
      <c r="P37" s="67"/>
    </row>
    <row r="38" spans="1:16" ht="16.149999999999999">
      <c r="A38" s="585" t="s">
        <v>739</v>
      </c>
      <c r="B38" s="586"/>
      <c r="C38" s="586"/>
      <c r="D38" s="586"/>
      <c r="E38" s="586"/>
      <c r="F38" s="586"/>
      <c r="G38" s="586"/>
      <c r="H38" s="586"/>
      <c r="I38" s="586"/>
      <c r="J38" s="586"/>
      <c r="K38" s="586"/>
      <c r="L38" s="586"/>
      <c r="M38" s="586"/>
      <c r="N38" s="587"/>
      <c r="O38" s="588"/>
      <c r="P38" s="588"/>
    </row>
    <row r="39" spans="1:16" ht="16.149999999999999">
      <c r="A39" s="589"/>
      <c r="B39" s="610"/>
      <c r="C39" s="610"/>
      <c r="D39" s="610"/>
      <c r="E39" s="610"/>
      <c r="F39" s="610"/>
      <c r="G39" s="610"/>
      <c r="H39" s="610"/>
      <c r="I39" s="610"/>
      <c r="J39" s="610"/>
      <c r="K39" s="610"/>
      <c r="L39" s="610"/>
      <c r="M39" s="610"/>
      <c r="N39" s="591"/>
      <c r="O39" s="111"/>
      <c r="P39" s="111"/>
    </row>
    <row r="40" spans="1:16" ht="16.149999999999999">
      <c r="A40" s="592" t="s">
        <v>740</v>
      </c>
      <c r="B40" s="208"/>
      <c r="C40" s="208"/>
      <c r="D40" s="208"/>
      <c r="E40" s="208"/>
      <c r="F40" s="208"/>
      <c r="G40" s="208"/>
      <c r="H40" s="208"/>
      <c r="I40" s="208"/>
      <c r="J40" s="208"/>
      <c r="K40" s="208"/>
      <c r="L40" s="208"/>
      <c r="M40" s="208"/>
      <c r="N40" s="593"/>
      <c r="O40" s="594"/>
      <c r="P40" s="594"/>
    </row>
    <row r="41" spans="1:16" ht="48.6">
      <c r="A41" s="599" t="s">
        <v>741</v>
      </c>
      <c r="B41" s="596">
        <v>30.911999999999999</v>
      </c>
      <c r="C41" s="596">
        <v>0</v>
      </c>
      <c r="D41" s="596">
        <v>0</v>
      </c>
      <c r="E41" s="596">
        <v>0</v>
      </c>
      <c r="F41" s="596">
        <v>0</v>
      </c>
      <c r="G41" s="597">
        <v>30.911999999999999</v>
      </c>
      <c r="H41" s="596">
        <v>30.029</v>
      </c>
      <c r="I41" s="596">
        <v>0</v>
      </c>
      <c r="J41" s="596">
        <v>0</v>
      </c>
      <c r="K41" s="596">
        <v>0</v>
      </c>
      <c r="L41" s="596">
        <v>0</v>
      </c>
      <c r="M41" s="597">
        <v>30.029</v>
      </c>
      <c r="N41" s="598">
        <v>-2.8564958592132476E-2</v>
      </c>
      <c r="O41" s="595" t="s">
        <v>742</v>
      </c>
      <c r="P41" s="600" t="s">
        <v>743</v>
      </c>
    </row>
    <row r="42" spans="1:16" ht="16.149999999999999">
      <c r="A42" s="607" t="s">
        <v>744</v>
      </c>
      <c r="B42" s="168">
        <v>30.911999999999999</v>
      </c>
      <c r="C42" s="168">
        <v>0</v>
      </c>
      <c r="D42" s="168">
        <v>0</v>
      </c>
      <c r="E42" s="168">
        <v>0</v>
      </c>
      <c r="F42" s="168">
        <v>0</v>
      </c>
      <c r="G42" s="168">
        <v>30.911999999999999</v>
      </c>
      <c r="H42" s="168">
        <v>30.029</v>
      </c>
      <c r="I42" s="168">
        <v>0</v>
      </c>
      <c r="J42" s="168">
        <v>0</v>
      </c>
      <c r="K42" s="168">
        <v>0</v>
      </c>
      <c r="L42" s="168">
        <v>0</v>
      </c>
      <c r="M42" s="168">
        <v>30.029</v>
      </c>
      <c r="N42" s="337">
        <v>-2.8564958592132476E-2</v>
      </c>
      <c r="O42" s="608"/>
      <c r="P42" s="609"/>
    </row>
    <row r="43" spans="1:16" ht="16.149999999999999">
      <c r="A43" s="611"/>
      <c r="B43" s="610"/>
      <c r="C43" s="610"/>
      <c r="D43" s="610"/>
      <c r="E43" s="610"/>
      <c r="F43" s="610"/>
      <c r="G43" s="610"/>
      <c r="H43" s="610"/>
      <c r="I43" s="610"/>
      <c r="J43" s="610"/>
      <c r="K43" s="610"/>
      <c r="L43" s="610"/>
      <c r="M43" s="610"/>
      <c r="N43" s="591"/>
      <c r="O43" s="111"/>
      <c r="P43" s="111"/>
    </row>
    <row r="44" spans="1:16" ht="16.149999999999999">
      <c r="A44" s="615" t="s">
        <v>739</v>
      </c>
      <c r="B44" s="208"/>
      <c r="C44" s="208"/>
      <c r="D44" s="208"/>
      <c r="E44" s="208"/>
      <c r="F44" s="208"/>
      <c r="G44" s="208"/>
      <c r="H44" s="208"/>
      <c r="I44" s="208"/>
      <c r="J44" s="208"/>
      <c r="K44" s="208"/>
      <c r="L44" s="208"/>
      <c r="M44" s="208"/>
      <c r="N44" s="593"/>
      <c r="O44" s="594"/>
      <c r="P44" s="594"/>
    </row>
    <row r="45" spans="1:16" ht="48.6">
      <c r="A45" s="604" t="s">
        <v>745</v>
      </c>
      <c r="B45" s="602">
        <v>12.734</v>
      </c>
      <c r="C45" s="602">
        <v>0</v>
      </c>
      <c r="D45" s="602">
        <v>0</v>
      </c>
      <c r="E45" s="602">
        <v>0</v>
      </c>
      <c r="F45" s="602">
        <v>0</v>
      </c>
      <c r="G45" s="597">
        <v>12.734</v>
      </c>
      <c r="H45" s="602">
        <v>12.206</v>
      </c>
      <c r="I45" s="602">
        <v>0</v>
      </c>
      <c r="J45" s="602">
        <v>0</v>
      </c>
      <c r="K45" s="602">
        <v>0</v>
      </c>
      <c r="L45" s="602">
        <v>0</v>
      </c>
      <c r="M45" s="597">
        <v>12.206</v>
      </c>
      <c r="N45" s="613">
        <v>-4.1463797706926375E-2</v>
      </c>
      <c r="O45" s="604" t="s">
        <v>746</v>
      </c>
      <c r="P45" s="605" t="s">
        <v>692</v>
      </c>
    </row>
    <row r="46" spans="1:16" ht="45" customHeight="1">
      <c r="A46" s="604" t="s">
        <v>747</v>
      </c>
      <c r="B46" s="596">
        <v>3.4380000000000002</v>
      </c>
      <c r="C46" s="596">
        <v>0</v>
      </c>
      <c r="D46" s="596">
        <v>0</v>
      </c>
      <c r="E46" s="596">
        <v>0</v>
      </c>
      <c r="F46" s="596">
        <v>0</v>
      </c>
      <c r="G46" s="597">
        <v>3.4380000000000002</v>
      </c>
      <c r="H46" s="602">
        <v>3.6</v>
      </c>
      <c r="I46" s="602">
        <v>0</v>
      </c>
      <c r="J46" s="602">
        <v>0</v>
      </c>
      <c r="K46" s="602">
        <v>0</v>
      </c>
      <c r="L46" s="602">
        <v>0</v>
      </c>
      <c r="M46" s="597">
        <v>3.6</v>
      </c>
      <c r="N46" s="603">
        <v>4.7120418848167513E-2</v>
      </c>
      <c r="O46" s="612" t="s">
        <v>748</v>
      </c>
      <c r="P46" s="605" t="s">
        <v>749</v>
      </c>
    </row>
    <row r="47" spans="1:16" ht="45" customHeight="1">
      <c r="A47" s="604" t="s">
        <v>750</v>
      </c>
      <c r="B47" s="596">
        <v>18.818999999999999</v>
      </c>
      <c r="C47" s="596">
        <v>4.8120000000000003</v>
      </c>
      <c r="D47" s="596">
        <v>0</v>
      </c>
      <c r="E47" s="596">
        <v>0</v>
      </c>
      <c r="F47" s="596">
        <v>0</v>
      </c>
      <c r="G47" s="597">
        <v>23.631</v>
      </c>
      <c r="H47" s="602">
        <v>18.818999999999999</v>
      </c>
      <c r="I47" s="602">
        <v>4.7190000000000003</v>
      </c>
      <c r="J47" s="602">
        <v>0</v>
      </c>
      <c r="K47" s="602">
        <v>0</v>
      </c>
      <c r="L47" s="602">
        <v>0</v>
      </c>
      <c r="M47" s="597">
        <v>23.538</v>
      </c>
      <c r="N47" s="603">
        <v>-3.9355084423003672E-3</v>
      </c>
      <c r="O47" s="612" t="s">
        <v>751</v>
      </c>
      <c r="P47" s="624" t="s">
        <v>752</v>
      </c>
    </row>
    <row r="48" spans="1:16" ht="45" customHeight="1">
      <c r="A48" s="604" t="s">
        <v>753</v>
      </c>
      <c r="B48" s="596">
        <v>0</v>
      </c>
      <c r="C48" s="596">
        <v>0</v>
      </c>
      <c r="D48" s="596">
        <v>2.5</v>
      </c>
      <c r="E48" s="596">
        <v>0</v>
      </c>
      <c r="F48" s="596">
        <v>0</v>
      </c>
      <c r="G48" s="597">
        <v>2.5</v>
      </c>
      <c r="H48" s="602">
        <v>0</v>
      </c>
      <c r="I48" s="602">
        <v>0</v>
      </c>
      <c r="J48" s="602">
        <v>3.87</v>
      </c>
      <c r="K48" s="602">
        <v>0</v>
      </c>
      <c r="L48" s="602">
        <v>0</v>
      </c>
      <c r="M48" s="597">
        <v>3.87</v>
      </c>
      <c r="N48" s="603">
        <v>0.54800000000000004</v>
      </c>
      <c r="O48" s="612" t="s">
        <v>754</v>
      </c>
      <c r="P48" s="625" t="s">
        <v>755</v>
      </c>
    </row>
    <row r="49" spans="1:16" ht="16.149999999999999">
      <c r="A49" s="616" t="s">
        <v>756</v>
      </c>
      <c r="B49" s="168">
        <v>34.991</v>
      </c>
      <c r="C49" s="168">
        <v>4.8120000000000003</v>
      </c>
      <c r="D49" s="168">
        <v>2.5</v>
      </c>
      <c r="E49" s="168">
        <v>0</v>
      </c>
      <c r="F49" s="168">
        <v>0</v>
      </c>
      <c r="G49" s="168">
        <v>42.302999999999997</v>
      </c>
      <c r="H49" s="168">
        <v>34.625</v>
      </c>
      <c r="I49" s="168">
        <v>4.7190000000000003</v>
      </c>
      <c r="J49" s="168">
        <v>3.87</v>
      </c>
      <c r="K49" s="168">
        <v>0</v>
      </c>
      <c r="L49" s="168">
        <v>0</v>
      </c>
      <c r="M49" s="168">
        <v>43.213999999999999</v>
      </c>
      <c r="N49" s="337">
        <v>2.153511571283364E-2</v>
      </c>
      <c r="O49" s="608"/>
      <c r="P49" s="609"/>
    </row>
    <row r="50" spans="1:16" ht="16.149999999999999">
      <c r="A50" s="67"/>
      <c r="B50" s="610"/>
      <c r="C50" s="610"/>
      <c r="D50" s="610"/>
      <c r="E50" s="610"/>
      <c r="F50" s="610"/>
      <c r="G50" s="610"/>
      <c r="H50" s="610"/>
      <c r="I50" s="610"/>
      <c r="J50" s="610"/>
      <c r="K50" s="610"/>
      <c r="L50" s="610"/>
      <c r="M50" s="610"/>
      <c r="N50" s="591"/>
      <c r="O50" s="611"/>
      <c r="P50" s="111"/>
    </row>
    <row r="51" spans="1:16" ht="16.149999999999999">
      <c r="A51" s="592" t="s">
        <v>757</v>
      </c>
      <c r="B51" s="208"/>
      <c r="C51" s="208"/>
      <c r="D51" s="208"/>
      <c r="E51" s="208"/>
      <c r="F51" s="208"/>
      <c r="G51" s="208"/>
      <c r="H51" s="208"/>
      <c r="I51" s="208"/>
      <c r="J51" s="208"/>
      <c r="K51" s="208"/>
      <c r="L51" s="208"/>
      <c r="M51" s="208"/>
      <c r="N51" s="594"/>
      <c r="O51" s="594"/>
      <c r="P51" s="594"/>
    </row>
    <row r="52" spans="1:16" ht="97.15">
      <c r="A52" s="626" t="s">
        <v>758</v>
      </c>
      <c r="B52" s="596">
        <v>5.125</v>
      </c>
      <c r="C52" s="596">
        <v>0</v>
      </c>
      <c r="D52" s="596">
        <v>0</v>
      </c>
      <c r="E52" s="596">
        <v>0</v>
      </c>
      <c r="F52" s="596">
        <v>0</v>
      </c>
      <c r="G52" s="597">
        <v>5.125</v>
      </c>
      <c r="H52" s="596">
        <v>5.125</v>
      </c>
      <c r="I52" s="596">
        <v>0</v>
      </c>
      <c r="J52" s="596">
        <v>0</v>
      </c>
      <c r="K52" s="596">
        <v>0</v>
      </c>
      <c r="L52" s="596">
        <v>0</v>
      </c>
      <c r="M52" s="597">
        <v>5.125</v>
      </c>
      <c r="N52" s="598">
        <v>0</v>
      </c>
      <c r="O52" s="595" t="s">
        <v>759</v>
      </c>
      <c r="P52" s="600" t="s">
        <v>692</v>
      </c>
    </row>
    <row r="53" spans="1:16" ht="48.6">
      <c r="A53" s="614" t="s">
        <v>760</v>
      </c>
      <c r="B53" s="596">
        <v>0</v>
      </c>
      <c r="C53" s="596">
        <v>0</v>
      </c>
      <c r="D53" s="596">
        <v>4</v>
      </c>
      <c r="E53" s="596">
        <v>0</v>
      </c>
      <c r="F53" s="596">
        <v>0</v>
      </c>
      <c r="G53" s="597">
        <v>4</v>
      </c>
      <c r="H53" s="602">
        <v>0</v>
      </c>
      <c r="I53" s="602">
        <v>0</v>
      </c>
      <c r="J53" s="602">
        <v>4</v>
      </c>
      <c r="K53" s="602">
        <v>0</v>
      </c>
      <c r="L53" s="602">
        <v>0</v>
      </c>
      <c r="M53" s="597">
        <v>4</v>
      </c>
      <c r="N53" s="603">
        <v>0</v>
      </c>
      <c r="O53" s="612" t="s">
        <v>761</v>
      </c>
      <c r="P53" s="605" t="s">
        <v>65</v>
      </c>
    </row>
    <row r="54" spans="1:16" ht="64.900000000000006">
      <c r="A54" s="614" t="s">
        <v>762</v>
      </c>
      <c r="B54" s="596">
        <v>1</v>
      </c>
      <c r="C54" s="596">
        <v>0</v>
      </c>
      <c r="D54" s="596">
        <v>0</v>
      </c>
      <c r="E54" s="596">
        <v>0</v>
      </c>
      <c r="F54" s="596">
        <v>0</v>
      </c>
      <c r="G54" s="597">
        <v>1</v>
      </c>
      <c r="H54" s="602">
        <v>1</v>
      </c>
      <c r="I54" s="602">
        <v>0</v>
      </c>
      <c r="J54" s="602">
        <v>0</v>
      </c>
      <c r="K54" s="602">
        <v>0</v>
      </c>
      <c r="L54" s="602">
        <v>0</v>
      </c>
      <c r="M54" s="597">
        <v>1</v>
      </c>
      <c r="N54" s="603">
        <v>0</v>
      </c>
      <c r="O54" s="612" t="s">
        <v>763</v>
      </c>
      <c r="P54" s="605" t="s">
        <v>764</v>
      </c>
    </row>
    <row r="55" spans="1:16" ht="64.900000000000006">
      <c r="A55" s="614" t="s">
        <v>765</v>
      </c>
      <c r="B55" s="596">
        <v>13.114000000000001</v>
      </c>
      <c r="C55" s="596">
        <v>0</v>
      </c>
      <c r="D55" s="596">
        <v>0</v>
      </c>
      <c r="E55" s="596">
        <v>0</v>
      </c>
      <c r="F55" s="596">
        <v>0</v>
      </c>
      <c r="G55" s="597">
        <v>13.114000000000001</v>
      </c>
      <c r="H55" s="602">
        <v>12.598000000000001</v>
      </c>
      <c r="I55" s="602">
        <v>0</v>
      </c>
      <c r="J55" s="602">
        <v>0</v>
      </c>
      <c r="K55" s="602">
        <v>0</v>
      </c>
      <c r="L55" s="602">
        <v>0</v>
      </c>
      <c r="M55" s="597">
        <v>12.598000000000001</v>
      </c>
      <c r="N55" s="603">
        <v>-3.9347262467591883E-2</v>
      </c>
      <c r="O55" s="612" t="s">
        <v>766</v>
      </c>
      <c r="P55" s="605" t="s">
        <v>692</v>
      </c>
    </row>
    <row r="56" spans="1:16" ht="48.6">
      <c r="A56" s="614" t="s">
        <v>767</v>
      </c>
      <c r="B56" s="596">
        <v>2.15</v>
      </c>
      <c r="C56" s="596">
        <v>0</v>
      </c>
      <c r="D56" s="596">
        <v>0</v>
      </c>
      <c r="E56" s="596">
        <v>0</v>
      </c>
      <c r="F56" s="596">
        <v>0</v>
      </c>
      <c r="G56" s="597">
        <v>2.15</v>
      </c>
      <c r="H56" s="602">
        <v>1.65</v>
      </c>
      <c r="I56" s="602">
        <v>0</v>
      </c>
      <c r="J56" s="602">
        <v>0</v>
      </c>
      <c r="K56" s="602">
        <v>0</v>
      </c>
      <c r="L56" s="602">
        <v>0</v>
      </c>
      <c r="M56" s="597">
        <v>1.65</v>
      </c>
      <c r="N56" s="603">
        <v>-0.23255813953488372</v>
      </c>
      <c r="O56" s="612" t="s">
        <v>768</v>
      </c>
      <c r="P56" s="605" t="s">
        <v>47</v>
      </c>
    </row>
    <row r="57" spans="1:16" ht="48.6">
      <c r="A57" s="614" t="s">
        <v>769</v>
      </c>
      <c r="B57" s="596">
        <v>0.25</v>
      </c>
      <c r="C57" s="596">
        <v>0</v>
      </c>
      <c r="D57" s="596">
        <v>0</v>
      </c>
      <c r="E57" s="596">
        <v>0</v>
      </c>
      <c r="F57" s="596">
        <v>0</v>
      </c>
      <c r="G57" s="597">
        <v>0.25</v>
      </c>
      <c r="H57" s="602">
        <v>0.25</v>
      </c>
      <c r="I57" s="602">
        <v>0</v>
      </c>
      <c r="J57" s="602">
        <v>0</v>
      </c>
      <c r="K57" s="602">
        <v>0</v>
      </c>
      <c r="L57" s="602">
        <v>0</v>
      </c>
      <c r="M57" s="597">
        <v>0.25</v>
      </c>
      <c r="N57" s="603">
        <v>0</v>
      </c>
      <c r="O57" s="612" t="s">
        <v>770</v>
      </c>
      <c r="P57" s="605" t="s">
        <v>47</v>
      </c>
    </row>
    <row r="58" spans="1:16" ht="48.6">
      <c r="A58" s="614" t="s">
        <v>771</v>
      </c>
      <c r="B58" s="596">
        <v>0.5</v>
      </c>
      <c r="C58" s="596">
        <v>0</v>
      </c>
      <c r="D58" s="596">
        <v>0</v>
      </c>
      <c r="E58" s="596">
        <v>0</v>
      </c>
      <c r="F58" s="596">
        <v>0</v>
      </c>
      <c r="G58" s="597">
        <v>0.5</v>
      </c>
      <c r="H58" s="602">
        <v>0.5</v>
      </c>
      <c r="I58" s="602">
        <v>0</v>
      </c>
      <c r="J58" s="602">
        <v>0</v>
      </c>
      <c r="K58" s="602">
        <v>0</v>
      </c>
      <c r="L58" s="602">
        <v>0</v>
      </c>
      <c r="M58" s="597">
        <v>0.5</v>
      </c>
      <c r="N58" s="603">
        <v>0</v>
      </c>
      <c r="O58" s="612" t="s">
        <v>772</v>
      </c>
      <c r="P58" s="605" t="s">
        <v>47</v>
      </c>
    </row>
    <row r="59" spans="1:16" ht="16.149999999999999">
      <c r="A59" s="607" t="s">
        <v>773</v>
      </c>
      <c r="B59" s="168">
        <v>22.138999999999999</v>
      </c>
      <c r="C59" s="168">
        <v>0</v>
      </c>
      <c r="D59" s="168">
        <v>4</v>
      </c>
      <c r="E59" s="168">
        <v>0</v>
      </c>
      <c r="F59" s="168">
        <v>0</v>
      </c>
      <c r="G59" s="168">
        <v>26.138999999999999</v>
      </c>
      <c r="H59" s="168">
        <v>21.122999999999998</v>
      </c>
      <c r="I59" s="168">
        <v>0</v>
      </c>
      <c r="J59" s="168">
        <v>4</v>
      </c>
      <c r="K59" s="168">
        <v>0</v>
      </c>
      <c r="L59" s="168">
        <v>0</v>
      </c>
      <c r="M59" s="168">
        <v>25.122999999999998</v>
      </c>
      <c r="N59" s="337">
        <v>-3.8869122766747075E-2</v>
      </c>
      <c r="O59" s="608"/>
      <c r="P59" s="609"/>
    </row>
    <row r="60" spans="1:16" ht="16.149999999999999">
      <c r="A60" s="611"/>
      <c r="B60" s="610"/>
      <c r="C60" s="610"/>
      <c r="D60" s="610"/>
      <c r="E60" s="610"/>
      <c r="F60" s="610"/>
      <c r="G60" s="610"/>
      <c r="H60" s="610"/>
      <c r="I60" s="610"/>
      <c r="J60" s="610"/>
      <c r="K60" s="610"/>
      <c r="L60" s="610"/>
      <c r="M60" s="610"/>
      <c r="N60" s="591"/>
      <c r="O60" s="111"/>
      <c r="P60" s="111"/>
    </row>
    <row r="61" spans="1:16" ht="16.149999999999999">
      <c r="A61" s="617" t="s">
        <v>756</v>
      </c>
      <c r="B61" s="618">
        <v>88.041999999999987</v>
      </c>
      <c r="C61" s="618">
        <v>4.8120000000000003</v>
      </c>
      <c r="D61" s="618">
        <v>6.5</v>
      </c>
      <c r="E61" s="618">
        <v>0</v>
      </c>
      <c r="F61" s="618">
        <v>0</v>
      </c>
      <c r="G61" s="618">
        <v>99.353999999999999</v>
      </c>
      <c r="H61" s="618">
        <v>85.776999999999987</v>
      </c>
      <c r="I61" s="618">
        <v>4.7190000000000003</v>
      </c>
      <c r="J61" s="618">
        <v>7.87</v>
      </c>
      <c r="K61" s="618">
        <v>0</v>
      </c>
      <c r="L61" s="618">
        <v>0</v>
      </c>
      <c r="M61" s="618">
        <v>98.365999999999985</v>
      </c>
      <c r="N61" s="619">
        <v>-9.9442397890373187E-3</v>
      </c>
      <c r="O61" s="620"/>
      <c r="P61" s="621"/>
    </row>
    <row r="62" spans="1:16" ht="16.149999999999999">
      <c r="A62" s="67"/>
      <c r="B62" s="610"/>
      <c r="C62" s="610"/>
      <c r="D62" s="610"/>
      <c r="E62" s="610"/>
      <c r="F62" s="610"/>
      <c r="G62" s="610"/>
      <c r="H62" s="610"/>
      <c r="I62" s="610"/>
      <c r="J62" s="610"/>
      <c r="K62" s="610"/>
      <c r="L62" s="610"/>
      <c r="M62" s="610"/>
      <c r="N62" s="591"/>
      <c r="O62" s="611"/>
      <c r="P62" s="111"/>
    </row>
    <row r="63" spans="1:16" ht="16.149999999999999">
      <c r="A63" s="585" t="s">
        <v>774</v>
      </c>
      <c r="B63" s="184"/>
      <c r="C63" s="184"/>
      <c r="D63" s="184"/>
      <c r="E63" s="184"/>
      <c r="F63" s="184"/>
      <c r="G63" s="184"/>
      <c r="H63" s="184"/>
      <c r="I63" s="184"/>
      <c r="J63" s="184"/>
      <c r="K63" s="184"/>
      <c r="L63" s="184"/>
      <c r="M63" s="184"/>
      <c r="N63" s="587"/>
      <c r="O63" s="588"/>
      <c r="P63" s="588"/>
    </row>
    <row r="64" spans="1:16" ht="16.149999999999999">
      <c r="A64" s="67"/>
      <c r="B64" s="622"/>
      <c r="C64" s="622"/>
      <c r="D64" s="622"/>
      <c r="E64" s="622"/>
      <c r="F64" s="622"/>
      <c r="G64" s="622"/>
      <c r="H64" s="622"/>
      <c r="I64" s="622"/>
      <c r="J64" s="622"/>
      <c r="K64" s="622"/>
      <c r="L64" s="622"/>
      <c r="M64" s="622"/>
      <c r="N64" s="623"/>
      <c r="O64" s="611"/>
      <c r="P64" s="67"/>
    </row>
    <row r="65" spans="1:16" ht="16.149999999999999">
      <c r="A65" s="592" t="s">
        <v>774</v>
      </c>
      <c r="B65" s="594"/>
      <c r="C65" s="594"/>
      <c r="D65" s="594"/>
      <c r="E65" s="594"/>
      <c r="F65" s="594"/>
      <c r="G65" s="594"/>
      <c r="H65" s="594"/>
      <c r="I65" s="594"/>
      <c r="J65" s="594"/>
      <c r="K65" s="594"/>
      <c r="L65" s="594"/>
      <c r="M65" s="594"/>
      <c r="N65" s="594"/>
      <c r="O65" s="594"/>
      <c r="P65" s="594"/>
    </row>
    <row r="66" spans="1:16" ht="16.149999999999999">
      <c r="A66" s="599" t="s">
        <v>775</v>
      </c>
      <c r="B66" s="596">
        <v>-0.94899999999999995</v>
      </c>
      <c r="C66" s="596">
        <v>0</v>
      </c>
      <c r="D66" s="596">
        <v>0</v>
      </c>
      <c r="E66" s="596">
        <v>0</v>
      </c>
      <c r="F66" s="596">
        <v>0</v>
      </c>
      <c r="G66" s="597">
        <v>-0.94899999999999995</v>
      </c>
      <c r="H66" s="596">
        <v>-0.94899999999999995</v>
      </c>
      <c r="I66" s="596">
        <v>0</v>
      </c>
      <c r="J66" s="596">
        <v>0</v>
      </c>
      <c r="K66" s="596">
        <v>0</v>
      </c>
      <c r="L66" s="596">
        <v>0</v>
      </c>
      <c r="M66" s="597">
        <v>-0.94899999999999995</v>
      </c>
      <c r="N66" s="598">
        <v>0</v>
      </c>
      <c r="O66" s="595" t="s">
        <v>238</v>
      </c>
      <c r="P66" s="600" t="s">
        <v>47</v>
      </c>
    </row>
    <row r="67" spans="1:16" ht="48.6">
      <c r="A67" s="604" t="s">
        <v>776</v>
      </c>
      <c r="B67" s="596">
        <v>22.457999999999998</v>
      </c>
      <c r="C67" s="596">
        <v>0</v>
      </c>
      <c r="D67" s="596">
        <v>0</v>
      </c>
      <c r="E67" s="596">
        <v>0</v>
      </c>
      <c r="F67" s="596">
        <v>0</v>
      </c>
      <c r="G67" s="597">
        <v>22.457999999999998</v>
      </c>
      <c r="H67" s="602">
        <v>22.457999999999998</v>
      </c>
      <c r="I67" s="602">
        <v>0</v>
      </c>
      <c r="J67" s="602">
        <v>0</v>
      </c>
      <c r="K67" s="602">
        <v>0</v>
      </c>
      <c r="L67" s="602">
        <v>0</v>
      </c>
      <c r="M67" s="597">
        <v>22.457999999999998</v>
      </c>
      <c r="N67" s="603">
        <v>0</v>
      </c>
      <c r="O67" s="612" t="s">
        <v>777</v>
      </c>
      <c r="P67" s="605" t="s">
        <v>47</v>
      </c>
    </row>
    <row r="68" spans="1:16" ht="32.450000000000003">
      <c r="A68" s="604" t="s">
        <v>778</v>
      </c>
      <c r="B68" s="596">
        <v>4.9640000000000004</v>
      </c>
      <c r="C68" s="596">
        <v>0.878</v>
      </c>
      <c r="D68" s="596">
        <v>0</v>
      </c>
      <c r="E68" s="596">
        <v>0</v>
      </c>
      <c r="F68" s="596">
        <v>3.3000000000000002E-2</v>
      </c>
      <c r="G68" s="597">
        <v>5.8750000000000009</v>
      </c>
      <c r="H68" s="602">
        <v>4.9640000000000004</v>
      </c>
      <c r="I68" s="602">
        <v>0.81</v>
      </c>
      <c r="J68" s="602">
        <v>0</v>
      </c>
      <c r="K68" s="602">
        <v>0</v>
      </c>
      <c r="L68" s="602">
        <v>3.3000000000000002E-2</v>
      </c>
      <c r="M68" s="597">
        <v>5.8070000000000013</v>
      </c>
      <c r="N68" s="603">
        <v>-1.1574468085106315E-2</v>
      </c>
      <c r="O68" s="612" t="s">
        <v>779</v>
      </c>
      <c r="P68" s="605" t="s">
        <v>47</v>
      </c>
    </row>
    <row r="69" spans="1:16" ht="16.149999999999999">
      <c r="A69" s="601" t="s">
        <v>780</v>
      </c>
      <c r="B69" s="596">
        <v>0</v>
      </c>
      <c r="C69" s="596">
        <v>1.3580000000000001</v>
      </c>
      <c r="D69" s="596">
        <v>0</v>
      </c>
      <c r="E69" s="596">
        <v>0</v>
      </c>
      <c r="F69" s="596">
        <v>0</v>
      </c>
      <c r="G69" s="597">
        <v>1.3580000000000001</v>
      </c>
      <c r="H69" s="602">
        <v>0</v>
      </c>
      <c r="I69" s="602">
        <v>1.8839999999999999</v>
      </c>
      <c r="J69" s="602">
        <v>0</v>
      </c>
      <c r="K69" s="602">
        <v>0</v>
      </c>
      <c r="L69" s="602">
        <v>0</v>
      </c>
      <c r="M69" s="597">
        <v>1.8839999999999999</v>
      </c>
      <c r="N69" s="603">
        <v>0.38733431516936656</v>
      </c>
      <c r="O69" s="612" t="s">
        <v>781</v>
      </c>
      <c r="P69" s="605" t="s">
        <v>752</v>
      </c>
    </row>
    <row r="70" spans="1:16" ht="16.149999999999999">
      <c r="A70" s="607" t="s">
        <v>782</v>
      </c>
      <c r="B70" s="168">
        <v>26.472999999999999</v>
      </c>
      <c r="C70" s="168">
        <v>2.2360000000000002</v>
      </c>
      <c r="D70" s="168">
        <v>0</v>
      </c>
      <c r="E70" s="168">
        <v>0</v>
      </c>
      <c r="F70" s="168">
        <v>3.3000000000000002E-2</v>
      </c>
      <c r="G70" s="168">
        <v>28.741999999999997</v>
      </c>
      <c r="H70" s="168">
        <v>26.472999999999999</v>
      </c>
      <c r="I70" s="168">
        <v>2.694</v>
      </c>
      <c r="J70" s="168">
        <v>0</v>
      </c>
      <c r="K70" s="168">
        <v>0</v>
      </c>
      <c r="L70" s="168">
        <v>3.3000000000000002E-2</v>
      </c>
      <c r="M70" s="168">
        <v>29.2</v>
      </c>
      <c r="N70" s="337">
        <v>1.5934868833066662E-2</v>
      </c>
      <c r="O70" s="608"/>
      <c r="P70" s="609"/>
    </row>
    <row r="71" spans="1:16" ht="16.149999999999999">
      <c r="A71" s="67"/>
      <c r="B71" s="622"/>
      <c r="C71" s="622"/>
      <c r="D71" s="622"/>
      <c r="E71" s="622"/>
      <c r="F71" s="622"/>
      <c r="G71" s="622"/>
      <c r="H71" s="622"/>
      <c r="I71" s="622"/>
      <c r="J71" s="622"/>
      <c r="K71" s="622"/>
      <c r="L71" s="622"/>
      <c r="M71" s="622"/>
      <c r="N71" s="623"/>
      <c r="O71" s="611"/>
      <c r="P71" s="67"/>
    </row>
    <row r="72" spans="1:16" ht="16.149999999999999">
      <c r="A72" s="617" t="s">
        <v>782</v>
      </c>
      <c r="B72" s="627">
        <v>26.472999999999999</v>
      </c>
      <c r="C72" s="627">
        <v>2.2360000000000002</v>
      </c>
      <c r="D72" s="627">
        <v>0</v>
      </c>
      <c r="E72" s="627">
        <v>0</v>
      </c>
      <c r="F72" s="627">
        <v>3.3000000000000002E-2</v>
      </c>
      <c r="G72" s="627">
        <v>28.741999999999997</v>
      </c>
      <c r="H72" s="627">
        <v>26.472999999999999</v>
      </c>
      <c r="I72" s="627">
        <v>2.694</v>
      </c>
      <c r="J72" s="627">
        <v>0</v>
      </c>
      <c r="K72" s="627">
        <v>0</v>
      </c>
      <c r="L72" s="627">
        <v>3.3000000000000002E-2</v>
      </c>
      <c r="M72" s="627">
        <v>29.2</v>
      </c>
      <c r="N72" s="628">
        <v>1.5934868833066662E-2</v>
      </c>
      <c r="O72" s="629"/>
      <c r="P72" s="629"/>
    </row>
    <row r="73" spans="1:16" ht="16.149999999999999">
      <c r="A73" s="582"/>
      <c r="B73" s="610"/>
      <c r="C73" s="610"/>
      <c r="D73" s="610"/>
      <c r="E73" s="610"/>
      <c r="F73" s="610"/>
      <c r="G73" s="610"/>
      <c r="H73" s="610"/>
      <c r="I73" s="610"/>
      <c r="J73" s="610"/>
      <c r="K73" s="610"/>
      <c r="L73" s="610"/>
      <c r="M73" s="610"/>
      <c r="N73" s="591"/>
      <c r="O73" s="611"/>
      <c r="P73" s="111"/>
    </row>
    <row r="74" spans="1:16" ht="16.149999999999999">
      <c r="A74" s="585" t="s">
        <v>783</v>
      </c>
      <c r="B74" s="184"/>
      <c r="C74" s="184"/>
      <c r="D74" s="184"/>
      <c r="E74" s="184"/>
      <c r="F74" s="184"/>
      <c r="G74" s="184"/>
      <c r="H74" s="184"/>
      <c r="I74" s="184"/>
      <c r="J74" s="184"/>
      <c r="K74" s="184"/>
      <c r="L74" s="184"/>
      <c r="M74" s="184"/>
      <c r="N74" s="587"/>
      <c r="O74" s="588"/>
      <c r="P74" s="588"/>
    </row>
    <row r="75" spans="1:16" ht="16.149999999999999">
      <c r="A75" s="67"/>
      <c r="B75" s="622"/>
      <c r="C75" s="622"/>
      <c r="D75" s="622"/>
      <c r="E75" s="622"/>
      <c r="F75" s="622"/>
      <c r="G75" s="622"/>
      <c r="H75" s="622"/>
      <c r="I75" s="622"/>
      <c r="J75" s="622"/>
      <c r="K75" s="622"/>
      <c r="L75" s="622"/>
      <c r="M75" s="622"/>
      <c r="N75" s="623"/>
      <c r="O75" s="611"/>
      <c r="P75" s="67"/>
    </row>
    <row r="76" spans="1:16" ht="32.450000000000003">
      <c r="A76" s="615" t="s">
        <v>784</v>
      </c>
      <c r="B76" s="208"/>
      <c r="C76" s="208"/>
      <c r="D76" s="208"/>
      <c r="E76" s="208"/>
      <c r="F76" s="208"/>
      <c r="G76" s="208"/>
      <c r="H76" s="208"/>
      <c r="I76" s="208"/>
      <c r="J76" s="208"/>
      <c r="K76" s="208"/>
      <c r="L76" s="208"/>
      <c r="M76" s="208"/>
      <c r="N76" s="593"/>
      <c r="O76" s="594"/>
      <c r="P76" s="594"/>
    </row>
    <row r="77" spans="1:16" ht="32.450000000000003">
      <c r="A77" s="599" t="s">
        <v>785</v>
      </c>
      <c r="B77" s="596">
        <v>24.318000000000001</v>
      </c>
      <c r="C77" s="596">
        <v>2.59</v>
      </c>
      <c r="D77" s="596">
        <v>2.956</v>
      </c>
      <c r="E77" s="596">
        <v>0</v>
      </c>
      <c r="F77" s="596">
        <v>0.502</v>
      </c>
      <c r="G77" s="597">
        <v>30.366</v>
      </c>
      <c r="H77" s="596">
        <v>24.318000000000001</v>
      </c>
      <c r="I77" s="596">
        <v>2.532</v>
      </c>
      <c r="J77" s="596">
        <v>0</v>
      </c>
      <c r="K77" s="596">
        <v>0</v>
      </c>
      <c r="L77" s="596">
        <v>6.5000000000000002E-2</v>
      </c>
      <c r="M77" s="597">
        <v>26.915000000000003</v>
      </c>
      <c r="N77" s="598">
        <v>-0.1136468418626094</v>
      </c>
      <c r="O77" s="599" t="s">
        <v>786</v>
      </c>
      <c r="P77" s="600" t="s">
        <v>787</v>
      </c>
    </row>
    <row r="78" spans="1:16" ht="32.450000000000003">
      <c r="A78" s="604" t="s">
        <v>788</v>
      </c>
      <c r="B78" s="596">
        <v>0</v>
      </c>
      <c r="C78" s="596">
        <v>0</v>
      </c>
      <c r="D78" s="596">
        <v>1.9</v>
      </c>
      <c r="E78" s="596">
        <v>0</v>
      </c>
      <c r="F78" s="596">
        <v>0</v>
      </c>
      <c r="G78" s="597">
        <v>1.9</v>
      </c>
      <c r="H78" s="602">
        <v>0</v>
      </c>
      <c r="I78" s="602">
        <v>0</v>
      </c>
      <c r="J78" s="602">
        <v>2.9</v>
      </c>
      <c r="K78" s="602">
        <v>0</v>
      </c>
      <c r="L78" s="602">
        <v>0</v>
      </c>
      <c r="M78" s="597">
        <v>2.9</v>
      </c>
      <c r="N78" s="613">
        <v>0.52631578947368418</v>
      </c>
      <c r="O78" s="604" t="s">
        <v>789</v>
      </c>
      <c r="P78" s="605" t="s">
        <v>790</v>
      </c>
    </row>
    <row r="79" spans="1:16" ht="32.450000000000003">
      <c r="A79" s="604" t="s">
        <v>791</v>
      </c>
      <c r="B79" s="596">
        <v>4.5750000000000002</v>
      </c>
      <c r="C79" s="596">
        <v>0.35499999999999998</v>
      </c>
      <c r="D79" s="596">
        <v>0</v>
      </c>
      <c r="E79" s="596">
        <v>0</v>
      </c>
      <c r="F79" s="596">
        <v>0</v>
      </c>
      <c r="G79" s="597">
        <v>4.93</v>
      </c>
      <c r="H79" s="602">
        <v>4.5750000000000002</v>
      </c>
      <c r="I79" s="602">
        <v>0.45</v>
      </c>
      <c r="J79" s="602">
        <v>0.248</v>
      </c>
      <c r="K79" s="602">
        <v>0</v>
      </c>
      <c r="L79" s="602">
        <v>0</v>
      </c>
      <c r="M79" s="597">
        <v>5.2730000000000006</v>
      </c>
      <c r="N79" s="603">
        <v>6.9574036511156359E-2</v>
      </c>
      <c r="O79" s="604" t="s">
        <v>792</v>
      </c>
      <c r="P79" s="605" t="s">
        <v>793</v>
      </c>
    </row>
    <row r="80" spans="1:16" ht="32.450000000000003">
      <c r="A80" s="604" t="s">
        <v>794</v>
      </c>
      <c r="B80" s="596">
        <v>0</v>
      </c>
      <c r="C80" s="596">
        <v>0</v>
      </c>
      <c r="D80" s="596">
        <v>0.5</v>
      </c>
      <c r="E80" s="596">
        <v>0</v>
      </c>
      <c r="F80" s="596">
        <v>0</v>
      </c>
      <c r="G80" s="597">
        <v>0.5</v>
      </c>
      <c r="H80" s="602">
        <v>0</v>
      </c>
      <c r="I80" s="602">
        <v>0</v>
      </c>
      <c r="J80" s="602">
        <v>0.52900000000000003</v>
      </c>
      <c r="K80" s="602">
        <v>0</v>
      </c>
      <c r="L80" s="602">
        <v>0</v>
      </c>
      <c r="M80" s="597">
        <v>0.52900000000000003</v>
      </c>
      <c r="N80" s="603">
        <v>5.8000000000000052E-2</v>
      </c>
      <c r="O80" s="604" t="s">
        <v>795</v>
      </c>
      <c r="P80" s="605" t="s">
        <v>796</v>
      </c>
    </row>
    <row r="81" spans="1:16" ht="64.900000000000006">
      <c r="A81" s="604" t="s">
        <v>797</v>
      </c>
      <c r="B81" s="596">
        <v>4.05</v>
      </c>
      <c r="C81" s="596">
        <v>0</v>
      </c>
      <c r="D81" s="596">
        <v>0</v>
      </c>
      <c r="E81" s="596">
        <v>0</v>
      </c>
      <c r="F81" s="596">
        <v>0</v>
      </c>
      <c r="G81" s="597">
        <v>4.05</v>
      </c>
      <c r="H81" s="602">
        <v>4.05</v>
      </c>
      <c r="I81" s="602">
        <v>0</v>
      </c>
      <c r="J81" s="602">
        <v>0</v>
      </c>
      <c r="K81" s="602">
        <v>0</v>
      </c>
      <c r="L81" s="602">
        <v>0</v>
      </c>
      <c r="M81" s="597">
        <v>4.05</v>
      </c>
      <c r="N81" s="603">
        <v>0</v>
      </c>
      <c r="O81" s="604" t="s">
        <v>798</v>
      </c>
      <c r="P81" s="605" t="s">
        <v>47</v>
      </c>
    </row>
    <row r="82" spans="1:16" ht="97.15" customHeight="1">
      <c r="A82" s="612" t="s">
        <v>799</v>
      </c>
      <c r="B82" s="596">
        <v>4.5270000000000001</v>
      </c>
      <c r="C82" s="596">
        <v>0</v>
      </c>
      <c r="D82" s="596">
        <v>0</v>
      </c>
      <c r="E82" s="596">
        <v>0</v>
      </c>
      <c r="F82" s="596">
        <v>0</v>
      </c>
      <c r="G82" s="597">
        <v>4.5270000000000001</v>
      </c>
      <c r="H82" s="602">
        <v>4.4660000000000002</v>
      </c>
      <c r="I82" s="602">
        <v>0</v>
      </c>
      <c r="J82" s="602">
        <v>0</v>
      </c>
      <c r="K82" s="602">
        <v>0</v>
      </c>
      <c r="L82" s="602">
        <v>0</v>
      </c>
      <c r="M82" s="597">
        <v>4.4660000000000002</v>
      </c>
      <c r="N82" s="603">
        <v>-1.347470731168543E-2</v>
      </c>
      <c r="O82" s="604" t="s">
        <v>800</v>
      </c>
      <c r="P82" s="605" t="s">
        <v>692</v>
      </c>
    </row>
    <row r="83" spans="1:16" ht="97.15">
      <c r="A83" s="604" t="s">
        <v>801</v>
      </c>
      <c r="B83" s="596">
        <v>3.9260000000000002</v>
      </c>
      <c r="C83" s="596">
        <v>0</v>
      </c>
      <c r="D83" s="596">
        <v>0</v>
      </c>
      <c r="E83" s="596">
        <v>0</v>
      </c>
      <c r="F83" s="596">
        <v>0</v>
      </c>
      <c r="G83" s="597">
        <v>3.9260000000000002</v>
      </c>
      <c r="H83" s="602">
        <v>3.883</v>
      </c>
      <c r="I83" s="602">
        <v>0</v>
      </c>
      <c r="J83" s="602">
        <v>0</v>
      </c>
      <c r="K83" s="602">
        <v>0</v>
      </c>
      <c r="L83" s="602">
        <v>0</v>
      </c>
      <c r="M83" s="597">
        <v>3.883</v>
      </c>
      <c r="N83" s="603">
        <v>-1.0952623535405029E-2</v>
      </c>
      <c r="O83" s="604" t="s">
        <v>802</v>
      </c>
      <c r="P83" s="605" t="s">
        <v>692</v>
      </c>
    </row>
    <row r="84" spans="1:16" ht="113.45">
      <c r="A84" s="630" t="s">
        <v>803</v>
      </c>
      <c r="B84" s="596">
        <v>3.4260000000000002</v>
      </c>
      <c r="C84" s="596">
        <v>0</v>
      </c>
      <c r="D84" s="596">
        <v>0</v>
      </c>
      <c r="E84" s="596">
        <v>0</v>
      </c>
      <c r="F84" s="596">
        <v>0</v>
      </c>
      <c r="G84" s="597">
        <v>3.4260000000000002</v>
      </c>
      <c r="H84" s="602">
        <v>3.4260000000000002</v>
      </c>
      <c r="I84" s="602">
        <v>0</v>
      </c>
      <c r="J84" s="602">
        <v>0</v>
      </c>
      <c r="K84" s="602">
        <v>0</v>
      </c>
      <c r="L84" s="602">
        <v>0</v>
      </c>
      <c r="M84" s="597">
        <v>3.4260000000000002</v>
      </c>
      <c r="N84" s="631">
        <v>0</v>
      </c>
      <c r="O84" s="604" t="s">
        <v>804</v>
      </c>
      <c r="P84" s="605" t="s">
        <v>47</v>
      </c>
    </row>
    <row r="85" spans="1:16" ht="32.450000000000003">
      <c r="A85" s="616" t="s">
        <v>805</v>
      </c>
      <c r="B85" s="168">
        <v>44.822000000000003</v>
      </c>
      <c r="C85" s="168">
        <v>2.9449999999999998</v>
      </c>
      <c r="D85" s="168">
        <v>5.3559999999999999</v>
      </c>
      <c r="E85" s="168">
        <v>0</v>
      </c>
      <c r="F85" s="168">
        <v>0.502</v>
      </c>
      <c r="G85" s="168">
        <v>53.625</v>
      </c>
      <c r="H85" s="168">
        <v>44.718000000000004</v>
      </c>
      <c r="I85" s="168">
        <v>2.9820000000000002</v>
      </c>
      <c r="J85" s="168">
        <v>3.6769999999999996</v>
      </c>
      <c r="K85" s="168">
        <v>0</v>
      </c>
      <c r="L85" s="168">
        <v>6.5000000000000002E-2</v>
      </c>
      <c r="M85" s="168">
        <v>51.442000000000007</v>
      </c>
      <c r="N85" s="337">
        <v>-4.0708624708624574E-2</v>
      </c>
      <c r="O85" s="608"/>
      <c r="P85" s="609"/>
    </row>
    <row r="86" spans="1:16" ht="16.149999999999999">
      <c r="A86" s="582"/>
      <c r="B86" s="610"/>
      <c r="C86" s="610"/>
      <c r="D86" s="610"/>
      <c r="E86" s="610"/>
      <c r="F86" s="610"/>
      <c r="G86" s="610"/>
      <c r="H86" s="610"/>
      <c r="I86" s="610"/>
      <c r="J86" s="610"/>
      <c r="K86" s="610"/>
      <c r="L86" s="610"/>
      <c r="M86" s="610"/>
      <c r="N86" s="591"/>
      <c r="O86" s="611"/>
      <c r="P86" s="111"/>
    </row>
    <row r="87" spans="1:16" ht="16.149999999999999">
      <c r="A87" s="592" t="s">
        <v>806</v>
      </c>
      <c r="B87" s="208"/>
      <c r="C87" s="208"/>
      <c r="D87" s="208"/>
      <c r="E87" s="208"/>
      <c r="F87" s="208"/>
      <c r="G87" s="208"/>
      <c r="H87" s="208"/>
      <c r="I87" s="208"/>
      <c r="J87" s="208"/>
      <c r="K87" s="208"/>
      <c r="L87" s="208"/>
      <c r="M87" s="208"/>
      <c r="N87" s="593"/>
      <c r="O87" s="594"/>
      <c r="P87" s="594"/>
    </row>
    <row r="88" spans="1:16" ht="48.6">
      <c r="A88" s="604" t="s">
        <v>807</v>
      </c>
      <c r="B88" s="602">
        <v>4.2919999999999998</v>
      </c>
      <c r="C88" s="602">
        <v>0</v>
      </c>
      <c r="D88" s="602">
        <v>0</v>
      </c>
      <c r="E88" s="602">
        <v>0</v>
      </c>
      <c r="F88" s="602">
        <v>0</v>
      </c>
      <c r="G88" s="597">
        <v>4.2919999999999998</v>
      </c>
      <c r="H88" s="602">
        <v>4.2409999999999997</v>
      </c>
      <c r="I88" s="602">
        <v>0</v>
      </c>
      <c r="J88" s="602">
        <v>0</v>
      </c>
      <c r="K88" s="602">
        <v>0</v>
      </c>
      <c r="L88" s="602">
        <v>0</v>
      </c>
      <c r="M88" s="597">
        <v>4.2409999999999997</v>
      </c>
      <c r="N88" s="603">
        <v>-1.188257222739985E-2</v>
      </c>
      <c r="O88" s="604" t="s">
        <v>808</v>
      </c>
      <c r="P88" s="605" t="s">
        <v>692</v>
      </c>
    </row>
    <row r="89" spans="1:16" ht="32.450000000000003">
      <c r="A89" s="604" t="s">
        <v>809</v>
      </c>
      <c r="B89" s="602">
        <v>0</v>
      </c>
      <c r="C89" s="602">
        <v>0</v>
      </c>
      <c r="D89" s="602">
        <v>10</v>
      </c>
      <c r="E89" s="602">
        <v>0</v>
      </c>
      <c r="F89" s="602">
        <v>0</v>
      </c>
      <c r="G89" s="597">
        <v>10</v>
      </c>
      <c r="H89" s="602">
        <v>0</v>
      </c>
      <c r="I89" s="602">
        <v>0</v>
      </c>
      <c r="J89" s="602">
        <v>15</v>
      </c>
      <c r="K89" s="602">
        <v>0</v>
      </c>
      <c r="L89" s="602">
        <v>0</v>
      </c>
      <c r="M89" s="597">
        <v>15</v>
      </c>
      <c r="N89" s="603">
        <v>0.5</v>
      </c>
      <c r="O89" s="604" t="s">
        <v>810</v>
      </c>
      <c r="P89" s="605" t="s">
        <v>811</v>
      </c>
    </row>
    <row r="90" spans="1:16" ht="81">
      <c r="A90" s="604" t="s">
        <v>812</v>
      </c>
      <c r="B90" s="602">
        <v>16</v>
      </c>
      <c r="C90" s="602">
        <v>0</v>
      </c>
      <c r="D90" s="602">
        <v>0</v>
      </c>
      <c r="E90" s="602">
        <v>0</v>
      </c>
      <c r="F90" s="602">
        <v>0</v>
      </c>
      <c r="G90" s="597">
        <v>16</v>
      </c>
      <c r="H90" s="602">
        <v>16.899999999999999</v>
      </c>
      <c r="I90" s="602">
        <v>0</v>
      </c>
      <c r="J90" s="602">
        <v>0</v>
      </c>
      <c r="K90" s="602">
        <v>0</v>
      </c>
      <c r="L90" s="602">
        <v>0</v>
      </c>
      <c r="M90" s="597">
        <v>16.899999999999999</v>
      </c>
      <c r="N90" s="603">
        <v>5.6249999999999911E-2</v>
      </c>
      <c r="O90" s="604" t="s">
        <v>813</v>
      </c>
      <c r="P90" s="605" t="s">
        <v>814</v>
      </c>
    </row>
    <row r="91" spans="1:16" ht="81">
      <c r="A91" s="604" t="s">
        <v>815</v>
      </c>
      <c r="B91" s="602">
        <v>1.331</v>
      </c>
      <c r="C91" s="602">
        <v>0</v>
      </c>
      <c r="D91" s="602">
        <v>0</v>
      </c>
      <c r="E91" s="602">
        <v>0</v>
      </c>
      <c r="F91" s="602">
        <v>0</v>
      </c>
      <c r="G91" s="597">
        <v>1.331</v>
      </c>
      <c r="H91" s="602">
        <v>1.264</v>
      </c>
      <c r="I91" s="602">
        <v>0</v>
      </c>
      <c r="J91" s="602">
        <v>0</v>
      </c>
      <c r="K91" s="602">
        <v>0</v>
      </c>
      <c r="L91" s="602">
        <v>0</v>
      </c>
      <c r="M91" s="597">
        <v>1.264</v>
      </c>
      <c r="N91" s="603">
        <v>-5.0338091660405676E-2</v>
      </c>
      <c r="O91" s="604" t="s">
        <v>816</v>
      </c>
      <c r="P91" s="605" t="s">
        <v>692</v>
      </c>
    </row>
    <row r="92" spans="1:16" ht="48.6">
      <c r="A92" s="604" t="s">
        <v>817</v>
      </c>
      <c r="B92" s="602">
        <v>5.532</v>
      </c>
      <c r="C92" s="602">
        <v>0</v>
      </c>
      <c r="D92" s="602">
        <v>0</v>
      </c>
      <c r="E92" s="602">
        <v>0</v>
      </c>
      <c r="F92" s="602">
        <v>0</v>
      </c>
      <c r="G92" s="597">
        <v>5.532</v>
      </c>
      <c r="H92" s="602">
        <v>5.43</v>
      </c>
      <c r="I92" s="602">
        <v>0</v>
      </c>
      <c r="J92" s="602">
        <v>0</v>
      </c>
      <c r="K92" s="602">
        <v>0</v>
      </c>
      <c r="L92" s="602">
        <v>0</v>
      </c>
      <c r="M92" s="597">
        <v>5.43</v>
      </c>
      <c r="N92" s="603">
        <v>-1.8438177874186609E-2</v>
      </c>
      <c r="O92" s="604" t="s">
        <v>818</v>
      </c>
      <c r="P92" s="605" t="s">
        <v>692</v>
      </c>
    </row>
    <row r="93" spans="1:16" ht="32.450000000000003">
      <c r="A93" s="604" t="s">
        <v>819</v>
      </c>
      <c r="B93" s="602">
        <v>0.57699999999999996</v>
      </c>
      <c r="C93" s="602">
        <v>0</v>
      </c>
      <c r="D93" s="602">
        <v>0</v>
      </c>
      <c r="E93" s="602">
        <v>0</v>
      </c>
      <c r="F93" s="602">
        <v>0</v>
      </c>
      <c r="G93" s="597">
        <v>0.57699999999999996</v>
      </c>
      <c r="H93" s="602">
        <v>0.54800000000000004</v>
      </c>
      <c r="I93" s="602">
        <v>0</v>
      </c>
      <c r="J93" s="602">
        <v>0</v>
      </c>
      <c r="K93" s="602">
        <v>0</v>
      </c>
      <c r="L93" s="602">
        <v>0</v>
      </c>
      <c r="M93" s="597">
        <v>0.54800000000000004</v>
      </c>
      <c r="N93" s="606">
        <v>-5.0259965337954793E-2</v>
      </c>
      <c r="O93" s="604" t="s">
        <v>820</v>
      </c>
      <c r="P93" s="605" t="s">
        <v>692</v>
      </c>
    </row>
    <row r="94" spans="1:16" ht="32.450000000000003">
      <c r="A94" s="607" t="s">
        <v>821</v>
      </c>
      <c r="B94" s="168">
        <v>27.731999999999999</v>
      </c>
      <c r="C94" s="168">
        <v>0</v>
      </c>
      <c r="D94" s="168">
        <v>10</v>
      </c>
      <c r="E94" s="168">
        <v>0</v>
      </c>
      <c r="F94" s="168">
        <v>0</v>
      </c>
      <c r="G94" s="168">
        <v>37.731999999999999</v>
      </c>
      <c r="H94" s="168">
        <v>28.382999999999996</v>
      </c>
      <c r="I94" s="168">
        <v>0</v>
      </c>
      <c r="J94" s="168">
        <v>15</v>
      </c>
      <c r="K94" s="168">
        <v>0</v>
      </c>
      <c r="L94" s="168">
        <v>0</v>
      </c>
      <c r="M94" s="168">
        <v>43.383000000000003</v>
      </c>
      <c r="N94" s="337">
        <v>0.14976677621117362</v>
      </c>
      <c r="O94" s="608"/>
      <c r="P94" s="609"/>
    </row>
    <row r="95" spans="1:16" ht="16.149999999999999">
      <c r="A95" s="67"/>
      <c r="B95" s="632"/>
      <c r="C95" s="632"/>
      <c r="D95" s="632"/>
      <c r="E95" s="632"/>
      <c r="F95" s="632"/>
      <c r="G95" s="632"/>
      <c r="H95" s="632"/>
      <c r="I95" s="632"/>
      <c r="J95" s="632"/>
      <c r="K95" s="632"/>
      <c r="L95" s="632"/>
      <c r="M95" s="632"/>
      <c r="N95" s="584"/>
      <c r="O95" s="611"/>
      <c r="P95" s="111"/>
    </row>
    <row r="96" spans="1:16" ht="16.149999999999999">
      <c r="A96" s="592" t="s">
        <v>822</v>
      </c>
      <c r="B96" s="208"/>
      <c r="C96" s="208"/>
      <c r="D96" s="208"/>
      <c r="E96" s="208"/>
      <c r="F96" s="208"/>
      <c r="G96" s="208"/>
      <c r="H96" s="208"/>
      <c r="I96" s="208"/>
      <c r="J96" s="208"/>
      <c r="K96" s="208"/>
      <c r="L96" s="208"/>
      <c r="M96" s="208"/>
      <c r="N96" s="593"/>
      <c r="O96" s="594"/>
      <c r="P96" s="594"/>
    </row>
    <row r="97" spans="1:16" ht="113.45">
      <c r="A97" s="604" t="s">
        <v>823</v>
      </c>
      <c r="B97" s="602">
        <v>8.0079999999999991</v>
      </c>
      <c r="C97" s="602">
        <v>10.5</v>
      </c>
      <c r="D97" s="602">
        <v>5</v>
      </c>
      <c r="E97" s="602">
        <v>0</v>
      </c>
      <c r="F97" s="602">
        <v>0</v>
      </c>
      <c r="G97" s="597">
        <v>23.507999999999999</v>
      </c>
      <c r="H97" s="602">
        <v>8.0079999999999991</v>
      </c>
      <c r="I97" s="602">
        <v>8.8000000000000007</v>
      </c>
      <c r="J97" s="602">
        <v>7</v>
      </c>
      <c r="K97" s="602">
        <v>0</v>
      </c>
      <c r="L97" s="602">
        <v>0</v>
      </c>
      <c r="M97" s="597">
        <v>23.808</v>
      </c>
      <c r="N97" s="603">
        <v>1.2761613067891812E-2</v>
      </c>
      <c r="O97" s="604" t="s">
        <v>824</v>
      </c>
      <c r="P97" s="605" t="s">
        <v>825</v>
      </c>
    </row>
    <row r="98" spans="1:16" ht="16.149999999999999">
      <c r="A98" s="607" t="s">
        <v>826</v>
      </c>
      <c r="B98" s="168">
        <v>8.0079999999999991</v>
      </c>
      <c r="C98" s="168">
        <v>10.5</v>
      </c>
      <c r="D98" s="168">
        <v>5</v>
      </c>
      <c r="E98" s="168">
        <v>0</v>
      </c>
      <c r="F98" s="168">
        <v>0</v>
      </c>
      <c r="G98" s="168">
        <v>23.507999999999999</v>
      </c>
      <c r="H98" s="168">
        <v>8.0079999999999991</v>
      </c>
      <c r="I98" s="168">
        <v>8.8000000000000007</v>
      </c>
      <c r="J98" s="168">
        <v>7</v>
      </c>
      <c r="K98" s="168">
        <v>0</v>
      </c>
      <c r="L98" s="168">
        <v>0</v>
      </c>
      <c r="M98" s="168">
        <v>23.808</v>
      </c>
      <c r="N98" s="337">
        <v>1.2761613067891812E-2</v>
      </c>
      <c r="O98" s="608"/>
      <c r="P98" s="609"/>
    </row>
    <row r="99" spans="1:16" ht="16.149999999999999">
      <c r="A99" s="67"/>
      <c r="B99" s="633"/>
      <c r="C99" s="633"/>
      <c r="D99" s="633"/>
      <c r="E99" s="633"/>
      <c r="F99" s="633"/>
      <c r="G99" s="633"/>
      <c r="H99" s="633"/>
      <c r="I99" s="633"/>
      <c r="J99" s="633"/>
      <c r="K99" s="633"/>
      <c r="L99" s="633"/>
      <c r="M99" s="633"/>
      <c r="N99" s="584"/>
      <c r="O99" s="611"/>
      <c r="P99" s="111"/>
    </row>
    <row r="100" spans="1:16" ht="32.450000000000003">
      <c r="A100" s="592" t="s">
        <v>827</v>
      </c>
      <c r="B100" s="208"/>
      <c r="C100" s="208"/>
      <c r="D100" s="208"/>
      <c r="E100" s="208"/>
      <c r="F100" s="208"/>
      <c r="G100" s="208"/>
      <c r="H100" s="208"/>
      <c r="I100" s="208"/>
      <c r="J100" s="208"/>
      <c r="K100" s="208"/>
      <c r="L100" s="208"/>
      <c r="M100" s="208"/>
      <c r="N100" s="593"/>
      <c r="O100" s="594"/>
      <c r="P100" s="594"/>
    </row>
    <row r="101" spans="1:16" ht="97.15" customHeight="1">
      <c r="A101" s="604" t="s">
        <v>828</v>
      </c>
      <c r="B101" s="602">
        <v>15.340999999999999</v>
      </c>
      <c r="C101" s="602">
        <v>0.77500000000000002</v>
      </c>
      <c r="D101" s="602">
        <v>7.1340000000000003</v>
      </c>
      <c r="E101" s="602">
        <v>0</v>
      </c>
      <c r="F101" s="602">
        <v>0</v>
      </c>
      <c r="G101" s="597">
        <v>23.25</v>
      </c>
      <c r="H101" s="602">
        <v>15.340999999999999</v>
      </c>
      <c r="I101" s="602">
        <v>0.755</v>
      </c>
      <c r="J101" s="602">
        <v>6.548</v>
      </c>
      <c r="K101" s="602">
        <v>0</v>
      </c>
      <c r="L101" s="602">
        <v>0</v>
      </c>
      <c r="M101" s="597">
        <v>22.643999999999998</v>
      </c>
      <c r="N101" s="603">
        <v>-2.6064516129032329E-2</v>
      </c>
      <c r="O101" s="604" t="s">
        <v>829</v>
      </c>
      <c r="P101" s="605" t="s">
        <v>830</v>
      </c>
    </row>
    <row r="102" spans="1:16" ht="48.6" customHeight="1">
      <c r="A102" s="604" t="s">
        <v>831</v>
      </c>
      <c r="B102" s="602">
        <v>4.8</v>
      </c>
      <c r="C102" s="602">
        <v>0</v>
      </c>
      <c r="D102" s="602">
        <v>0</v>
      </c>
      <c r="E102" s="602">
        <v>0</v>
      </c>
      <c r="F102" s="602">
        <v>0</v>
      </c>
      <c r="G102" s="597">
        <v>4.8</v>
      </c>
      <c r="H102" s="602">
        <v>26.753</v>
      </c>
      <c r="I102" s="602">
        <v>0</v>
      </c>
      <c r="J102" s="602">
        <v>0</v>
      </c>
      <c r="K102" s="602">
        <v>0</v>
      </c>
      <c r="L102" s="602">
        <v>0</v>
      </c>
      <c r="M102" s="597">
        <v>26.753</v>
      </c>
      <c r="N102" s="603">
        <v>4.5735416666666664</v>
      </c>
      <c r="O102" s="604" t="s">
        <v>832</v>
      </c>
      <c r="P102" s="605" t="s">
        <v>833</v>
      </c>
    </row>
    <row r="103" spans="1:16" ht="32.450000000000003">
      <c r="A103" s="607" t="s">
        <v>834</v>
      </c>
      <c r="B103" s="168">
        <v>20.140999999999998</v>
      </c>
      <c r="C103" s="168">
        <v>0.77500000000000002</v>
      </c>
      <c r="D103" s="168">
        <v>7.1340000000000003</v>
      </c>
      <c r="E103" s="168">
        <v>0</v>
      </c>
      <c r="F103" s="168">
        <v>0</v>
      </c>
      <c r="G103" s="168">
        <v>28.05</v>
      </c>
      <c r="H103" s="168">
        <v>42.094000000000001</v>
      </c>
      <c r="I103" s="168">
        <v>0.755</v>
      </c>
      <c r="J103" s="168">
        <v>6.548</v>
      </c>
      <c r="K103" s="168">
        <v>0</v>
      </c>
      <c r="L103" s="168">
        <v>0</v>
      </c>
      <c r="M103" s="168">
        <v>49.396999999999998</v>
      </c>
      <c r="N103" s="337">
        <v>0.76103386809269147</v>
      </c>
      <c r="O103" s="608"/>
      <c r="P103" s="609"/>
    </row>
    <row r="104" spans="1:16" ht="16.149999999999999">
      <c r="A104" s="67"/>
      <c r="B104" s="633"/>
      <c r="C104" s="633"/>
      <c r="D104" s="633"/>
      <c r="E104" s="633"/>
      <c r="F104" s="633"/>
      <c r="G104" s="633"/>
      <c r="H104" s="633"/>
      <c r="I104" s="633"/>
      <c r="J104" s="633"/>
      <c r="K104" s="633"/>
      <c r="L104" s="633"/>
      <c r="M104" s="633"/>
      <c r="N104" s="584"/>
      <c r="O104" s="611"/>
      <c r="P104" s="111"/>
    </row>
    <row r="105" spans="1:16" ht="32.450000000000003">
      <c r="A105" s="615" t="s">
        <v>835</v>
      </c>
      <c r="B105" s="208"/>
      <c r="C105" s="208"/>
      <c r="D105" s="208"/>
      <c r="E105" s="208"/>
      <c r="F105" s="208"/>
      <c r="G105" s="208"/>
      <c r="H105" s="208"/>
      <c r="I105" s="208"/>
      <c r="J105" s="208"/>
      <c r="K105" s="208"/>
      <c r="L105" s="208"/>
      <c r="M105" s="208"/>
      <c r="N105" s="593"/>
      <c r="O105" s="594"/>
      <c r="P105" s="594"/>
    </row>
    <row r="106" spans="1:16" ht="45" customHeight="1">
      <c r="A106" s="634" t="s">
        <v>836</v>
      </c>
      <c r="B106" s="602">
        <v>6.1420000000000003</v>
      </c>
      <c r="C106" s="602">
        <v>0.64400000000000002</v>
      </c>
      <c r="D106" s="602">
        <v>0</v>
      </c>
      <c r="E106" s="602">
        <v>0</v>
      </c>
      <c r="F106" s="602">
        <v>2.1000000000000001E-2</v>
      </c>
      <c r="G106" s="597">
        <v>6.8070000000000004</v>
      </c>
      <c r="H106" s="602">
        <v>6.0620000000000003</v>
      </c>
      <c r="I106" s="602">
        <v>0.67700000000000005</v>
      </c>
      <c r="J106" s="602">
        <v>0</v>
      </c>
      <c r="K106" s="602">
        <v>0</v>
      </c>
      <c r="L106" s="602">
        <v>2.1000000000000001E-2</v>
      </c>
      <c r="M106" s="597">
        <v>6.7600000000000007</v>
      </c>
      <c r="N106" s="631">
        <v>-6.9046569707653452E-3</v>
      </c>
      <c r="O106" s="604" t="s">
        <v>837</v>
      </c>
      <c r="P106" s="605" t="s">
        <v>692</v>
      </c>
    </row>
    <row r="107" spans="1:16" ht="32.450000000000003">
      <c r="A107" s="634" t="s">
        <v>838</v>
      </c>
      <c r="B107" s="602">
        <v>40.917000000000002</v>
      </c>
      <c r="C107" s="602">
        <v>0</v>
      </c>
      <c r="D107" s="602">
        <v>0</v>
      </c>
      <c r="E107" s="602">
        <v>0</v>
      </c>
      <c r="F107" s="602">
        <v>0</v>
      </c>
      <c r="G107" s="597">
        <v>40.917000000000002</v>
      </c>
      <c r="H107" s="602">
        <v>40.917000000000002</v>
      </c>
      <c r="I107" s="602">
        <v>0</v>
      </c>
      <c r="J107" s="602">
        <v>0</v>
      </c>
      <c r="K107" s="602">
        <v>0</v>
      </c>
      <c r="L107" s="602">
        <v>0</v>
      </c>
      <c r="M107" s="597">
        <v>40.917000000000002</v>
      </c>
      <c r="N107" s="631">
        <v>0</v>
      </c>
      <c r="O107" s="604" t="s">
        <v>839</v>
      </c>
      <c r="P107" s="605" t="s">
        <v>65</v>
      </c>
    </row>
    <row r="108" spans="1:16" ht="45" customHeight="1">
      <c r="A108" s="604" t="s">
        <v>840</v>
      </c>
      <c r="B108" s="602">
        <v>7.7990000000000004</v>
      </c>
      <c r="C108" s="602">
        <v>0</v>
      </c>
      <c r="D108" s="602">
        <v>0</v>
      </c>
      <c r="E108" s="602">
        <v>0</v>
      </c>
      <c r="F108" s="602">
        <v>0</v>
      </c>
      <c r="G108" s="597">
        <v>7.7990000000000004</v>
      </c>
      <c r="H108" s="602">
        <v>7.5739999999999998</v>
      </c>
      <c r="I108" s="602">
        <v>0</v>
      </c>
      <c r="J108" s="602">
        <v>0</v>
      </c>
      <c r="K108" s="602">
        <v>0</v>
      </c>
      <c r="L108" s="602">
        <v>0</v>
      </c>
      <c r="M108" s="597">
        <v>7.5739999999999998</v>
      </c>
      <c r="N108" s="631">
        <v>-2.884985254519817E-2</v>
      </c>
      <c r="O108" s="604" t="s">
        <v>841</v>
      </c>
      <c r="P108" s="605" t="s">
        <v>692</v>
      </c>
    </row>
    <row r="109" spans="1:16" ht="45" customHeight="1">
      <c r="A109" s="634" t="s">
        <v>842</v>
      </c>
      <c r="B109" s="602">
        <v>5</v>
      </c>
      <c r="C109" s="602">
        <v>0.05</v>
      </c>
      <c r="D109" s="602">
        <v>0.1</v>
      </c>
      <c r="E109" s="602">
        <v>0</v>
      </c>
      <c r="F109" s="602">
        <v>0</v>
      </c>
      <c r="G109" s="597">
        <v>5.1499999999999995</v>
      </c>
      <c r="H109" s="602">
        <v>5</v>
      </c>
      <c r="I109" s="602">
        <v>0</v>
      </c>
      <c r="J109" s="602">
        <v>0</v>
      </c>
      <c r="K109" s="602">
        <v>0</v>
      </c>
      <c r="L109" s="602">
        <v>0</v>
      </c>
      <c r="M109" s="597">
        <v>5</v>
      </c>
      <c r="N109" s="631">
        <v>-2.912621359223291E-2</v>
      </c>
      <c r="O109" s="604" t="s">
        <v>843</v>
      </c>
      <c r="P109" s="605" t="s">
        <v>844</v>
      </c>
    </row>
    <row r="110" spans="1:16" ht="32.450000000000003">
      <c r="A110" s="616" t="s">
        <v>845</v>
      </c>
      <c r="B110" s="168">
        <v>59.858000000000004</v>
      </c>
      <c r="C110" s="168">
        <v>0.69400000000000006</v>
      </c>
      <c r="D110" s="168">
        <v>0.1</v>
      </c>
      <c r="E110" s="168">
        <v>0</v>
      </c>
      <c r="F110" s="168">
        <v>2.1000000000000001E-2</v>
      </c>
      <c r="G110" s="168">
        <v>60.673000000000002</v>
      </c>
      <c r="H110" s="168">
        <v>59.552999999999997</v>
      </c>
      <c r="I110" s="168">
        <v>0.67700000000000005</v>
      </c>
      <c r="J110" s="168">
        <v>0</v>
      </c>
      <c r="K110" s="168">
        <v>0</v>
      </c>
      <c r="L110" s="168">
        <v>2.1000000000000001E-2</v>
      </c>
      <c r="M110" s="168">
        <v>60.250999999999998</v>
      </c>
      <c r="N110" s="337">
        <v>-6.95531785143316E-3</v>
      </c>
      <c r="O110" s="608"/>
      <c r="P110" s="609"/>
    </row>
    <row r="111" spans="1:16" ht="16.149999999999999">
      <c r="A111" s="67"/>
      <c r="B111" s="633"/>
      <c r="C111" s="633"/>
      <c r="D111" s="633"/>
      <c r="E111" s="633"/>
      <c r="F111" s="633"/>
      <c r="G111" s="633"/>
      <c r="H111" s="633"/>
      <c r="I111" s="633"/>
      <c r="J111" s="633"/>
      <c r="K111" s="633"/>
      <c r="L111" s="633"/>
      <c r="M111" s="633"/>
      <c r="N111" s="584"/>
      <c r="O111" s="611"/>
      <c r="P111" s="111"/>
    </row>
    <row r="112" spans="1:16" ht="32.450000000000003">
      <c r="A112" s="615" t="s">
        <v>846</v>
      </c>
      <c r="B112" s="208"/>
      <c r="C112" s="208"/>
      <c r="D112" s="208"/>
      <c r="E112" s="208"/>
      <c r="F112" s="208"/>
      <c r="G112" s="208"/>
      <c r="H112" s="208"/>
      <c r="I112" s="208"/>
      <c r="J112" s="208"/>
      <c r="K112" s="208"/>
      <c r="L112" s="208"/>
      <c r="M112" s="208"/>
      <c r="N112" s="593"/>
      <c r="O112" s="594"/>
      <c r="P112" s="594"/>
    </row>
    <row r="113" spans="1:16" ht="32.450000000000003">
      <c r="A113" s="634" t="s">
        <v>847</v>
      </c>
      <c r="B113" s="602">
        <v>15.164</v>
      </c>
      <c r="C113" s="602">
        <v>0</v>
      </c>
      <c r="D113" s="602">
        <v>0</v>
      </c>
      <c r="E113" s="602">
        <v>0</v>
      </c>
      <c r="F113" s="602">
        <v>0</v>
      </c>
      <c r="G113" s="597">
        <v>15.164</v>
      </c>
      <c r="H113" s="602">
        <v>0</v>
      </c>
      <c r="I113" s="602">
        <v>0</v>
      </c>
      <c r="J113" s="602">
        <v>0</v>
      </c>
      <c r="K113" s="602">
        <v>0</v>
      </c>
      <c r="L113" s="602">
        <v>0</v>
      </c>
      <c r="M113" s="597">
        <v>0</v>
      </c>
      <c r="N113" s="631">
        <v>-1</v>
      </c>
      <c r="O113" s="604" t="s">
        <v>238</v>
      </c>
      <c r="P113" s="605" t="s">
        <v>848</v>
      </c>
    </row>
    <row r="114" spans="1:16" ht="32.450000000000003">
      <c r="A114" s="604" t="s">
        <v>849</v>
      </c>
      <c r="B114" s="602">
        <v>0.55200000000000005</v>
      </c>
      <c r="C114" s="602">
        <v>0</v>
      </c>
      <c r="D114" s="602">
        <v>0</v>
      </c>
      <c r="E114" s="602">
        <v>0</v>
      </c>
      <c r="F114" s="602">
        <v>0</v>
      </c>
      <c r="G114" s="597">
        <v>0.55200000000000005</v>
      </c>
      <c r="H114" s="602">
        <v>0.55200000000000005</v>
      </c>
      <c r="I114" s="602">
        <v>0</v>
      </c>
      <c r="J114" s="602">
        <v>0</v>
      </c>
      <c r="K114" s="602">
        <v>0</v>
      </c>
      <c r="L114" s="602">
        <v>0</v>
      </c>
      <c r="M114" s="597">
        <v>0.55200000000000005</v>
      </c>
      <c r="N114" s="603">
        <v>0</v>
      </c>
      <c r="O114" s="604" t="s">
        <v>850</v>
      </c>
      <c r="P114" s="605" t="s">
        <v>65</v>
      </c>
    </row>
    <row r="115" spans="1:16" ht="48.6">
      <c r="A115" s="634" t="s">
        <v>851</v>
      </c>
      <c r="B115" s="602">
        <v>29.55</v>
      </c>
      <c r="C115" s="602">
        <v>0</v>
      </c>
      <c r="D115" s="602">
        <v>0</v>
      </c>
      <c r="E115" s="602">
        <v>0</v>
      </c>
      <c r="F115" s="602">
        <v>0</v>
      </c>
      <c r="G115" s="597">
        <v>29.55</v>
      </c>
      <c r="H115" s="602">
        <v>33.625</v>
      </c>
      <c r="I115" s="602">
        <v>0</v>
      </c>
      <c r="J115" s="602">
        <v>0</v>
      </c>
      <c r="K115" s="602">
        <v>0</v>
      </c>
      <c r="L115" s="602">
        <v>0</v>
      </c>
      <c r="M115" s="597">
        <v>33.625</v>
      </c>
      <c r="N115" s="631">
        <v>0.13790186125211504</v>
      </c>
      <c r="O115" s="604" t="s">
        <v>852</v>
      </c>
      <c r="P115" s="605" t="s">
        <v>853</v>
      </c>
    </row>
    <row r="116" spans="1:16" ht="64.900000000000006">
      <c r="A116" s="634" t="s">
        <v>854</v>
      </c>
      <c r="B116" s="602">
        <v>50</v>
      </c>
      <c r="C116" s="602">
        <v>0</v>
      </c>
      <c r="D116" s="602">
        <v>0</v>
      </c>
      <c r="E116" s="602">
        <v>0</v>
      </c>
      <c r="F116" s="602">
        <v>0</v>
      </c>
      <c r="G116" s="597">
        <v>50</v>
      </c>
      <c r="H116" s="602">
        <v>50</v>
      </c>
      <c r="I116" s="602">
        <v>0</v>
      </c>
      <c r="J116" s="602">
        <v>0</v>
      </c>
      <c r="K116" s="602">
        <v>0</v>
      </c>
      <c r="L116" s="602">
        <v>0</v>
      </c>
      <c r="M116" s="597">
        <v>50</v>
      </c>
      <c r="N116" s="631">
        <v>0</v>
      </c>
      <c r="O116" s="604" t="s">
        <v>855</v>
      </c>
      <c r="P116" s="605" t="s">
        <v>856</v>
      </c>
    </row>
    <row r="117" spans="1:16" ht="32.450000000000003">
      <c r="A117" s="616" t="s">
        <v>857</v>
      </c>
      <c r="B117" s="168">
        <v>95.265999999999991</v>
      </c>
      <c r="C117" s="168">
        <v>0</v>
      </c>
      <c r="D117" s="168">
        <v>0</v>
      </c>
      <c r="E117" s="168">
        <v>0</v>
      </c>
      <c r="F117" s="168">
        <v>0</v>
      </c>
      <c r="G117" s="168">
        <v>95.265999999999991</v>
      </c>
      <c r="H117" s="168">
        <v>84.176999999999992</v>
      </c>
      <c r="I117" s="168">
        <v>0</v>
      </c>
      <c r="J117" s="168">
        <v>0</v>
      </c>
      <c r="K117" s="168">
        <v>0</v>
      </c>
      <c r="L117" s="168">
        <v>0</v>
      </c>
      <c r="M117" s="168">
        <v>84.176999999999992</v>
      </c>
      <c r="N117" s="337">
        <v>-0.11640039468435748</v>
      </c>
      <c r="O117" s="608"/>
      <c r="P117" s="609"/>
    </row>
    <row r="118" spans="1:16" ht="16.149999999999999">
      <c r="A118" s="67"/>
      <c r="B118" s="633"/>
      <c r="C118" s="633"/>
      <c r="D118" s="633"/>
      <c r="E118" s="633"/>
      <c r="F118" s="633"/>
      <c r="G118" s="633"/>
      <c r="H118" s="633"/>
      <c r="I118" s="633"/>
      <c r="J118" s="633"/>
      <c r="K118" s="633"/>
      <c r="L118" s="633"/>
      <c r="M118" s="633"/>
      <c r="N118" s="584"/>
      <c r="O118" s="611"/>
      <c r="P118" s="111"/>
    </row>
    <row r="119" spans="1:16" ht="16.149999999999999">
      <c r="A119" s="582"/>
      <c r="B119" s="633"/>
      <c r="C119" s="633"/>
      <c r="D119" s="633"/>
      <c r="E119" s="633"/>
      <c r="F119" s="633"/>
      <c r="G119" s="633"/>
      <c r="H119" s="633"/>
      <c r="I119" s="633"/>
      <c r="J119" s="633"/>
      <c r="K119" s="633"/>
      <c r="L119" s="633"/>
      <c r="M119" s="633"/>
      <c r="N119" s="584"/>
      <c r="O119" s="611"/>
      <c r="P119" s="111"/>
    </row>
    <row r="120" spans="1:16" ht="16.149999999999999">
      <c r="A120" s="592" t="s">
        <v>858</v>
      </c>
      <c r="B120" s="208"/>
      <c r="C120" s="208"/>
      <c r="D120" s="208"/>
      <c r="E120" s="208"/>
      <c r="F120" s="208"/>
      <c r="G120" s="208"/>
      <c r="H120" s="208"/>
      <c r="I120" s="208"/>
      <c r="J120" s="208"/>
      <c r="K120" s="208"/>
      <c r="L120" s="208"/>
      <c r="M120" s="208"/>
      <c r="N120" s="593"/>
      <c r="O120" s="594"/>
      <c r="P120" s="594"/>
    </row>
    <row r="121" spans="1:16" ht="81">
      <c r="A121" s="604" t="s">
        <v>859</v>
      </c>
      <c r="B121" s="602">
        <v>10.375999999999999</v>
      </c>
      <c r="C121" s="602">
        <v>0</v>
      </c>
      <c r="D121" s="602">
        <v>0</v>
      </c>
      <c r="E121" s="602">
        <v>0</v>
      </c>
      <c r="F121" s="602">
        <v>0</v>
      </c>
      <c r="G121" s="597">
        <v>10.375999999999999</v>
      </c>
      <c r="H121" s="602">
        <v>26.231999999999999</v>
      </c>
      <c r="I121" s="602">
        <v>0</v>
      </c>
      <c r="J121" s="602">
        <v>5.5</v>
      </c>
      <c r="K121" s="602">
        <v>0</v>
      </c>
      <c r="L121" s="602">
        <v>0</v>
      </c>
      <c r="M121" s="597">
        <v>31.731999999999999</v>
      </c>
      <c r="N121" s="603">
        <v>2.058211256746338</v>
      </c>
      <c r="O121" s="604" t="s">
        <v>860</v>
      </c>
      <c r="P121" s="605" t="s">
        <v>861</v>
      </c>
    </row>
    <row r="122" spans="1:16" ht="48.6">
      <c r="A122" s="604" t="s">
        <v>862</v>
      </c>
      <c r="B122" s="602">
        <v>36.323999999999998</v>
      </c>
      <c r="C122" s="602">
        <v>0</v>
      </c>
      <c r="D122" s="602">
        <v>5</v>
      </c>
      <c r="E122" s="602">
        <v>0</v>
      </c>
      <c r="F122" s="602">
        <v>0</v>
      </c>
      <c r="G122" s="597">
        <v>41.323999999999998</v>
      </c>
      <c r="H122" s="602">
        <v>14.505000000000001</v>
      </c>
      <c r="I122" s="602">
        <v>0</v>
      </c>
      <c r="J122" s="602">
        <v>5.5</v>
      </c>
      <c r="K122" s="602">
        <v>0</v>
      </c>
      <c r="L122" s="602">
        <v>0</v>
      </c>
      <c r="M122" s="597">
        <v>20.005000000000003</v>
      </c>
      <c r="N122" s="603">
        <v>-0.51589875133094565</v>
      </c>
      <c r="O122" s="604" t="s">
        <v>863</v>
      </c>
      <c r="P122" s="605" t="s">
        <v>864</v>
      </c>
    </row>
    <row r="123" spans="1:16" ht="82.5" customHeight="1">
      <c r="A123" s="635" t="s">
        <v>865</v>
      </c>
      <c r="B123" s="602">
        <v>0</v>
      </c>
      <c r="C123" s="602">
        <v>0</v>
      </c>
      <c r="D123" s="602">
        <v>0</v>
      </c>
      <c r="E123" s="602">
        <v>0</v>
      </c>
      <c r="F123" s="602">
        <v>0</v>
      </c>
      <c r="G123" s="597">
        <v>0</v>
      </c>
      <c r="H123" s="602">
        <v>21.75</v>
      </c>
      <c r="I123" s="602">
        <v>0</v>
      </c>
      <c r="J123" s="602">
        <v>0</v>
      </c>
      <c r="K123" s="602">
        <v>0</v>
      </c>
      <c r="L123" s="602">
        <v>0</v>
      </c>
      <c r="M123" s="597">
        <v>21.75</v>
      </c>
      <c r="N123" s="603" t="s">
        <v>204</v>
      </c>
      <c r="O123" s="604" t="s">
        <v>866</v>
      </c>
      <c r="P123" s="605" t="s">
        <v>867</v>
      </c>
    </row>
    <row r="124" spans="1:16" ht="32.450000000000003">
      <c r="A124" s="607" t="s">
        <v>868</v>
      </c>
      <c r="B124" s="168">
        <v>46.699999999999996</v>
      </c>
      <c r="C124" s="168">
        <v>0</v>
      </c>
      <c r="D124" s="168">
        <v>5</v>
      </c>
      <c r="E124" s="168">
        <v>0</v>
      </c>
      <c r="F124" s="168">
        <v>0</v>
      </c>
      <c r="G124" s="168">
        <v>51.699999999999996</v>
      </c>
      <c r="H124" s="168">
        <v>62.487000000000002</v>
      </c>
      <c r="I124" s="168">
        <v>0</v>
      </c>
      <c r="J124" s="168">
        <v>11</v>
      </c>
      <c r="K124" s="168">
        <v>0</v>
      </c>
      <c r="L124" s="168">
        <v>0</v>
      </c>
      <c r="M124" s="168">
        <v>73.486999999999995</v>
      </c>
      <c r="N124" s="337">
        <v>0.42141199226305609</v>
      </c>
      <c r="O124" s="608"/>
      <c r="P124" s="609"/>
    </row>
    <row r="125" spans="1:16" ht="16.149999999999999">
      <c r="A125" s="611"/>
      <c r="B125" s="610"/>
      <c r="C125" s="610"/>
      <c r="D125" s="610"/>
      <c r="E125" s="610"/>
      <c r="F125" s="610"/>
      <c r="G125" s="610"/>
      <c r="H125" s="610"/>
      <c r="I125" s="610"/>
      <c r="J125" s="610"/>
      <c r="K125" s="610"/>
      <c r="L125" s="610"/>
      <c r="M125" s="610"/>
      <c r="N125" s="590"/>
      <c r="O125" s="611"/>
      <c r="P125" s="111"/>
    </row>
    <row r="126" spans="1:16" ht="16.149999999999999">
      <c r="A126" s="636" t="s">
        <v>869</v>
      </c>
      <c r="B126" s="618">
        <v>302.52699999999999</v>
      </c>
      <c r="C126" s="618">
        <v>14.914</v>
      </c>
      <c r="D126" s="618">
        <v>32.590000000000003</v>
      </c>
      <c r="E126" s="618">
        <v>0</v>
      </c>
      <c r="F126" s="618">
        <v>0.52300000000000002</v>
      </c>
      <c r="G126" s="618">
        <v>350.55399999999997</v>
      </c>
      <c r="H126" s="618">
        <v>329.41999999999996</v>
      </c>
      <c r="I126" s="618">
        <v>13.214000000000002</v>
      </c>
      <c r="J126" s="618">
        <v>43.225000000000001</v>
      </c>
      <c r="K126" s="618">
        <v>0</v>
      </c>
      <c r="L126" s="618">
        <v>8.6000000000000007E-2</v>
      </c>
      <c r="M126" s="618">
        <v>385.94499999999999</v>
      </c>
      <c r="N126" s="619">
        <v>0.10095734180753899</v>
      </c>
      <c r="O126" s="637"/>
      <c r="P126" s="638"/>
    </row>
    <row r="127" spans="1:16" ht="16.149999999999999">
      <c r="A127" s="611"/>
      <c r="B127" s="610"/>
      <c r="C127" s="610"/>
      <c r="D127" s="610"/>
      <c r="E127" s="610"/>
      <c r="F127" s="610"/>
      <c r="G127" s="610"/>
      <c r="H127" s="610"/>
      <c r="I127" s="610"/>
      <c r="J127" s="610"/>
      <c r="K127" s="610"/>
      <c r="L127" s="610"/>
      <c r="M127" s="610"/>
      <c r="N127" s="591"/>
      <c r="O127" s="611"/>
      <c r="P127" s="111"/>
    </row>
    <row r="128" spans="1:16" ht="32.450000000000003">
      <c r="A128" s="585" t="s">
        <v>870</v>
      </c>
      <c r="B128" s="184"/>
      <c r="C128" s="184"/>
      <c r="D128" s="184"/>
      <c r="E128" s="184"/>
      <c r="F128" s="184"/>
      <c r="G128" s="184"/>
      <c r="H128" s="184"/>
      <c r="I128" s="184"/>
      <c r="J128" s="184"/>
      <c r="K128" s="184"/>
      <c r="L128" s="184"/>
      <c r="M128" s="184"/>
      <c r="N128" s="587"/>
      <c r="O128" s="588"/>
      <c r="P128" s="588"/>
    </row>
    <row r="129" spans="1:16" ht="16.149999999999999">
      <c r="A129" s="67"/>
      <c r="B129" s="622"/>
      <c r="C129" s="622"/>
      <c r="D129" s="622"/>
      <c r="E129" s="622"/>
      <c r="F129" s="622"/>
      <c r="G129" s="622"/>
      <c r="H129" s="622"/>
      <c r="I129" s="622"/>
      <c r="J129" s="622"/>
      <c r="K129" s="622"/>
      <c r="L129" s="622"/>
      <c r="M129" s="622"/>
      <c r="N129" s="623"/>
      <c r="O129" s="639"/>
      <c r="P129" s="111"/>
    </row>
    <row r="130" spans="1:16" ht="16.149999999999999">
      <c r="A130" s="607" t="s">
        <v>871</v>
      </c>
      <c r="B130" s="168"/>
      <c r="C130" s="168"/>
      <c r="D130" s="168"/>
      <c r="E130" s="168"/>
      <c r="F130" s="168"/>
      <c r="G130" s="168"/>
      <c r="H130" s="168"/>
      <c r="I130" s="168"/>
      <c r="J130" s="168"/>
      <c r="K130" s="168"/>
      <c r="L130" s="168"/>
      <c r="M130" s="168"/>
      <c r="N130" s="640"/>
      <c r="O130" s="608"/>
      <c r="P130" s="609"/>
    </row>
    <row r="131" spans="1:16" ht="48.6">
      <c r="A131" s="601" t="s">
        <v>872</v>
      </c>
      <c r="B131" s="602">
        <v>328.23</v>
      </c>
      <c r="C131" s="602">
        <v>0</v>
      </c>
      <c r="D131" s="602">
        <v>0</v>
      </c>
      <c r="E131" s="602">
        <v>0</v>
      </c>
      <c r="F131" s="602">
        <v>0</v>
      </c>
      <c r="G131" s="597">
        <v>328.23</v>
      </c>
      <c r="H131" s="602">
        <v>304.80900000000003</v>
      </c>
      <c r="I131" s="602">
        <v>0</v>
      </c>
      <c r="J131" s="602">
        <v>0</v>
      </c>
      <c r="K131" s="602">
        <v>0</v>
      </c>
      <c r="L131" s="602">
        <v>0</v>
      </c>
      <c r="M131" s="597">
        <v>304.80900000000003</v>
      </c>
      <c r="N131" s="603">
        <v>-7.1355451969655398E-2</v>
      </c>
      <c r="O131" s="604" t="s">
        <v>873</v>
      </c>
      <c r="P131" s="605" t="s">
        <v>874</v>
      </c>
    </row>
    <row r="132" spans="1:16" ht="32.450000000000003">
      <c r="A132" s="604" t="s">
        <v>875</v>
      </c>
      <c r="B132" s="602">
        <v>6.4</v>
      </c>
      <c r="C132" s="602">
        <v>0</v>
      </c>
      <c r="D132" s="602">
        <v>0</v>
      </c>
      <c r="E132" s="602">
        <v>0</v>
      </c>
      <c r="F132" s="602">
        <v>0</v>
      </c>
      <c r="G132" s="597">
        <v>6.4</v>
      </c>
      <c r="H132" s="602">
        <v>6.4</v>
      </c>
      <c r="I132" s="602">
        <v>0</v>
      </c>
      <c r="J132" s="602">
        <v>0</v>
      </c>
      <c r="K132" s="602">
        <v>0</v>
      </c>
      <c r="L132" s="602">
        <v>0</v>
      </c>
      <c r="M132" s="597">
        <v>6.4</v>
      </c>
      <c r="N132" s="603">
        <v>0</v>
      </c>
      <c r="O132" s="604" t="s">
        <v>876</v>
      </c>
      <c r="P132" s="605" t="s">
        <v>47</v>
      </c>
    </row>
    <row r="133" spans="1:16" ht="32.450000000000003">
      <c r="A133" s="604" t="s">
        <v>877</v>
      </c>
      <c r="B133" s="602">
        <v>2.8</v>
      </c>
      <c r="C133" s="602">
        <v>0</v>
      </c>
      <c r="D133" s="602">
        <v>0</v>
      </c>
      <c r="E133" s="602">
        <v>0</v>
      </c>
      <c r="F133" s="602">
        <v>0</v>
      </c>
      <c r="G133" s="597">
        <v>2.8</v>
      </c>
      <c r="H133" s="602">
        <v>4.8</v>
      </c>
      <c r="I133" s="602">
        <v>0</v>
      </c>
      <c r="J133" s="602">
        <v>0</v>
      </c>
      <c r="K133" s="602">
        <v>0</v>
      </c>
      <c r="L133" s="602">
        <v>0</v>
      </c>
      <c r="M133" s="597">
        <v>4.8</v>
      </c>
      <c r="N133" s="603">
        <v>0.7142857142857143</v>
      </c>
      <c r="O133" s="604" t="s">
        <v>878</v>
      </c>
      <c r="P133" s="605" t="s">
        <v>879</v>
      </c>
    </row>
    <row r="134" spans="1:16" ht="32.450000000000003">
      <c r="A134" s="601" t="s">
        <v>880</v>
      </c>
      <c r="B134" s="602">
        <v>0</v>
      </c>
      <c r="C134" s="602">
        <v>148.965</v>
      </c>
      <c r="D134" s="602">
        <v>0</v>
      </c>
      <c r="E134" s="602">
        <v>0</v>
      </c>
      <c r="F134" s="602">
        <v>0</v>
      </c>
      <c r="G134" s="597">
        <v>148.965</v>
      </c>
      <c r="H134" s="602">
        <v>0</v>
      </c>
      <c r="I134" s="602">
        <v>346.38400000000001</v>
      </c>
      <c r="J134" s="602">
        <v>0</v>
      </c>
      <c r="K134" s="602">
        <v>0</v>
      </c>
      <c r="L134" s="602">
        <v>0</v>
      </c>
      <c r="M134" s="597">
        <v>346.38400000000001</v>
      </c>
      <c r="N134" s="603">
        <v>1.3252710368207297</v>
      </c>
      <c r="O134" s="604" t="s">
        <v>881</v>
      </c>
      <c r="P134" s="605" t="s">
        <v>882</v>
      </c>
    </row>
    <row r="135" spans="1:16" ht="48.6">
      <c r="A135" s="604" t="s">
        <v>883</v>
      </c>
      <c r="B135" s="602">
        <v>11.13</v>
      </c>
      <c r="C135" s="602">
        <v>1.8720000000000001</v>
      </c>
      <c r="D135" s="602">
        <v>0</v>
      </c>
      <c r="E135" s="602">
        <v>0</v>
      </c>
      <c r="F135" s="602">
        <v>0</v>
      </c>
      <c r="G135" s="597">
        <v>13.002000000000001</v>
      </c>
      <c r="H135" s="602">
        <v>11.13</v>
      </c>
      <c r="I135" s="602">
        <v>0.113</v>
      </c>
      <c r="J135" s="602">
        <v>0</v>
      </c>
      <c r="K135" s="602">
        <v>0</v>
      </c>
      <c r="L135" s="602">
        <v>0</v>
      </c>
      <c r="M135" s="597">
        <v>11.243</v>
      </c>
      <c r="N135" s="603">
        <v>-0.1352868789417013</v>
      </c>
      <c r="O135" s="604" t="s">
        <v>884</v>
      </c>
      <c r="P135" s="605" t="s">
        <v>885</v>
      </c>
    </row>
    <row r="136" spans="1:16" ht="48.6">
      <c r="A136" s="604" t="s">
        <v>886</v>
      </c>
      <c r="B136" s="602">
        <v>0</v>
      </c>
      <c r="C136" s="602">
        <v>0</v>
      </c>
      <c r="D136" s="602">
        <v>4.9000000000000004</v>
      </c>
      <c r="E136" s="602">
        <v>0</v>
      </c>
      <c r="F136" s="602">
        <v>0</v>
      </c>
      <c r="G136" s="597">
        <v>4.9000000000000004</v>
      </c>
      <c r="H136" s="602">
        <v>0</v>
      </c>
      <c r="I136" s="602">
        <v>0</v>
      </c>
      <c r="J136" s="602">
        <v>6.9</v>
      </c>
      <c r="K136" s="602">
        <v>0</v>
      </c>
      <c r="L136" s="602">
        <v>0</v>
      </c>
      <c r="M136" s="597">
        <v>6.9</v>
      </c>
      <c r="N136" s="603">
        <v>0.4081632653061224</v>
      </c>
      <c r="O136" s="604" t="s">
        <v>887</v>
      </c>
      <c r="P136" s="605" t="s">
        <v>888</v>
      </c>
    </row>
    <row r="137" spans="1:16" ht="16.149999999999999">
      <c r="A137" s="607" t="s">
        <v>889</v>
      </c>
      <c r="B137" s="168">
        <v>348.56</v>
      </c>
      <c r="C137" s="168">
        <v>150.83700000000002</v>
      </c>
      <c r="D137" s="168">
        <v>4.9000000000000004</v>
      </c>
      <c r="E137" s="168">
        <v>0</v>
      </c>
      <c r="F137" s="168">
        <v>0</v>
      </c>
      <c r="G137" s="168">
        <v>504.29699999999997</v>
      </c>
      <c r="H137" s="168">
        <v>327.13900000000001</v>
      </c>
      <c r="I137" s="168">
        <v>346.49700000000001</v>
      </c>
      <c r="J137" s="168">
        <v>6.9</v>
      </c>
      <c r="K137" s="168">
        <v>0</v>
      </c>
      <c r="L137" s="168">
        <v>0</v>
      </c>
      <c r="M137" s="168">
        <v>680.53600000000006</v>
      </c>
      <c r="N137" s="337">
        <v>0.34947461515733802</v>
      </c>
      <c r="O137" s="608"/>
      <c r="P137" s="609"/>
    </row>
    <row r="138" spans="1:16" ht="16.149999999999999">
      <c r="A138" s="582"/>
      <c r="B138" s="610"/>
      <c r="C138" s="610"/>
      <c r="D138" s="610"/>
      <c r="E138" s="610"/>
      <c r="F138" s="610"/>
      <c r="G138" s="610"/>
      <c r="H138" s="610"/>
      <c r="I138" s="610"/>
      <c r="J138" s="610"/>
      <c r="K138" s="610"/>
      <c r="L138" s="610"/>
      <c r="M138" s="610"/>
      <c r="N138" s="591"/>
      <c r="O138" s="611"/>
      <c r="P138" s="111"/>
    </row>
    <row r="139" spans="1:16" ht="16.149999999999999">
      <c r="A139" s="592" t="s">
        <v>508</v>
      </c>
      <c r="B139" s="208"/>
      <c r="C139" s="208"/>
      <c r="D139" s="208"/>
      <c r="E139" s="208"/>
      <c r="F139" s="208"/>
      <c r="G139" s="208"/>
      <c r="H139" s="208"/>
      <c r="I139" s="208"/>
      <c r="J139" s="208"/>
      <c r="K139" s="208"/>
      <c r="L139" s="208"/>
      <c r="M139" s="208"/>
      <c r="N139" s="593"/>
      <c r="O139" s="594"/>
      <c r="P139" s="594"/>
    </row>
    <row r="140" spans="1:16" ht="64.900000000000006">
      <c r="A140" s="601" t="s">
        <v>890</v>
      </c>
      <c r="B140" s="602">
        <v>0</v>
      </c>
      <c r="C140" s="602">
        <v>0</v>
      </c>
      <c r="D140" s="602">
        <v>0</v>
      </c>
      <c r="E140" s="602">
        <v>0</v>
      </c>
      <c r="F140" s="602">
        <v>826</v>
      </c>
      <c r="G140" s="597">
        <v>826</v>
      </c>
      <c r="H140" s="602">
        <v>0</v>
      </c>
      <c r="I140" s="602">
        <v>0</v>
      </c>
      <c r="J140" s="602">
        <v>0</v>
      </c>
      <c r="K140" s="602">
        <v>0</v>
      </c>
      <c r="L140" s="602">
        <v>865</v>
      </c>
      <c r="M140" s="597">
        <v>865</v>
      </c>
      <c r="N140" s="603">
        <v>4.7215496368038741E-2</v>
      </c>
      <c r="O140" s="604" t="s">
        <v>891</v>
      </c>
      <c r="P140" s="605" t="s">
        <v>892</v>
      </c>
    </row>
    <row r="141" spans="1:16" ht="32.450000000000003">
      <c r="A141" s="604" t="s">
        <v>893</v>
      </c>
      <c r="B141" s="602">
        <v>0</v>
      </c>
      <c r="C141" s="602">
        <v>0</v>
      </c>
      <c r="D141" s="602">
        <v>0</v>
      </c>
      <c r="E141" s="602">
        <v>0</v>
      </c>
      <c r="F141" s="602">
        <v>-316.5</v>
      </c>
      <c r="G141" s="597">
        <v>-316.5</v>
      </c>
      <c r="H141" s="602">
        <v>0</v>
      </c>
      <c r="I141" s="602">
        <v>0</v>
      </c>
      <c r="J141" s="602">
        <v>0</v>
      </c>
      <c r="K141" s="602">
        <v>0</v>
      </c>
      <c r="L141" s="602">
        <v>-200</v>
      </c>
      <c r="M141" s="597">
        <v>-200</v>
      </c>
      <c r="N141" s="603">
        <v>-0.36808846761453395</v>
      </c>
      <c r="O141" s="604" t="s">
        <v>894</v>
      </c>
      <c r="P141" s="605" t="s">
        <v>895</v>
      </c>
    </row>
    <row r="142" spans="1:16" ht="48.6">
      <c r="A142" s="604" t="s">
        <v>896</v>
      </c>
      <c r="B142" s="602">
        <v>0</v>
      </c>
      <c r="C142" s="602">
        <v>0</v>
      </c>
      <c r="D142" s="602">
        <v>0</v>
      </c>
      <c r="E142" s="602">
        <v>0</v>
      </c>
      <c r="F142" s="602">
        <v>-90</v>
      </c>
      <c r="G142" s="597">
        <v>-90</v>
      </c>
      <c r="H142" s="602">
        <v>0</v>
      </c>
      <c r="I142" s="602">
        <v>0</v>
      </c>
      <c r="J142" s="602">
        <v>0</v>
      </c>
      <c r="K142" s="602">
        <v>0</v>
      </c>
      <c r="L142" s="602">
        <v>144.107</v>
      </c>
      <c r="M142" s="597">
        <v>144.107</v>
      </c>
      <c r="N142" s="603">
        <v>-2.6011888888888888</v>
      </c>
      <c r="O142" s="604" t="s">
        <v>897</v>
      </c>
      <c r="P142" s="605" t="s">
        <v>898</v>
      </c>
    </row>
    <row r="143" spans="1:16" ht="32.450000000000003">
      <c r="A143" s="612" t="s">
        <v>899</v>
      </c>
      <c r="B143" s="602">
        <v>0</v>
      </c>
      <c r="C143" s="602">
        <v>0</v>
      </c>
      <c r="D143" s="602">
        <v>0</v>
      </c>
      <c r="E143" s="602">
        <v>0</v>
      </c>
      <c r="F143" s="602">
        <v>1.3</v>
      </c>
      <c r="G143" s="597">
        <v>1.3</v>
      </c>
      <c r="H143" s="602">
        <v>0</v>
      </c>
      <c r="I143" s="602">
        <v>0</v>
      </c>
      <c r="J143" s="602">
        <v>0</v>
      </c>
      <c r="K143" s="602">
        <v>0</v>
      </c>
      <c r="L143" s="602">
        <v>-5</v>
      </c>
      <c r="M143" s="597">
        <v>-5</v>
      </c>
      <c r="N143" s="603">
        <v>-4.8461538461538458</v>
      </c>
      <c r="O143" s="604" t="s">
        <v>900</v>
      </c>
      <c r="P143" s="605" t="s">
        <v>901</v>
      </c>
    </row>
    <row r="144" spans="1:16" ht="16.149999999999999">
      <c r="A144" s="607" t="s">
        <v>902</v>
      </c>
      <c r="B144" s="168">
        <v>0</v>
      </c>
      <c r="C144" s="168">
        <v>0</v>
      </c>
      <c r="D144" s="168">
        <v>0</v>
      </c>
      <c r="E144" s="168">
        <v>0</v>
      </c>
      <c r="F144" s="168">
        <v>420.8</v>
      </c>
      <c r="G144" s="168">
        <v>420.8</v>
      </c>
      <c r="H144" s="168">
        <v>0</v>
      </c>
      <c r="I144" s="168">
        <v>0</v>
      </c>
      <c r="J144" s="168">
        <v>0</v>
      </c>
      <c r="K144" s="168">
        <v>0</v>
      </c>
      <c r="L144" s="168">
        <v>804.10699999999997</v>
      </c>
      <c r="M144" s="168">
        <v>804.10699999999997</v>
      </c>
      <c r="N144" s="337">
        <v>0.91090066539923942</v>
      </c>
      <c r="O144" s="608"/>
      <c r="P144" s="609"/>
    </row>
    <row r="145" spans="1:16" ht="16.149999999999999">
      <c r="A145" s="611"/>
      <c r="B145" s="641"/>
      <c r="C145" s="641"/>
      <c r="D145" s="641"/>
      <c r="E145" s="641"/>
      <c r="F145" s="641"/>
      <c r="G145" s="641"/>
      <c r="H145" s="641"/>
      <c r="I145" s="641"/>
      <c r="J145" s="641"/>
      <c r="K145" s="641"/>
      <c r="L145" s="641"/>
      <c r="M145" s="641"/>
      <c r="N145" s="591"/>
      <c r="O145" s="611"/>
      <c r="P145" s="111"/>
    </row>
    <row r="146" spans="1:16" ht="32.450000000000003">
      <c r="A146" s="617" t="s">
        <v>903</v>
      </c>
      <c r="B146" s="618">
        <v>348.56</v>
      </c>
      <c r="C146" s="618">
        <v>150.83700000000002</v>
      </c>
      <c r="D146" s="618">
        <v>4.9000000000000004</v>
      </c>
      <c r="E146" s="618">
        <v>0</v>
      </c>
      <c r="F146" s="618">
        <v>420.8</v>
      </c>
      <c r="G146" s="618">
        <v>925.09699999999998</v>
      </c>
      <c r="H146" s="618">
        <v>327.13900000000001</v>
      </c>
      <c r="I146" s="618">
        <v>346.49700000000001</v>
      </c>
      <c r="J146" s="618">
        <v>6.9</v>
      </c>
      <c r="K146" s="618">
        <v>0</v>
      </c>
      <c r="L146" s="618">
        <v>804.10699999999997</v>
      </c>
      <c r="M146" s="618">
        <v>1484.643</v>
      </c>
      <c r="N146" s="619">
        <v>0.60485116695870822</v>
      </c>
      <c r="O146" s="642"/>
      <c r="P146" s="621"/>
    </row>
    <row r="147" spans="1:16" ht="16.149999999999999">
      <c r="A147" s="643"/>
      <c r="B147" s="644"/>
      <c r="C147" s="644"/>
      <c r="D147" s="644"/>
      <c r="E147" s="644"/>
      <c r="F147" s="644"/>
      <c r="G147" s="644"/>
      <c r="H147" s="644"/>
      <c r="I147" s="644"/>
      <c r="J147" s="644"/>
      <c r="K147" s="644"/>
      <c r="L147" s="644"/>
      <c r="M147" s="644"/>
      <c r="N147" s="645"/>
      <c r="O147" s="611"/>
      <c r="P147" s="111"/>
    </row>
    <row r="148" spans="1:16" ht="16.149999999999999">
      <c r="A148" s="585" t="s">
        <v>904</v>
      </c>
      <c r="B148" s="184"/>
      <c r="C148" s="184"/>
      <c r="D148" s="184"/>
      <c r="E148" s="184"/>
      <c r="F148" s="184"/>
      <c r="G148" s="184"/>
      <c r="H148" s="184"/>
      <c r="I148" s="184"/>
      <c r="J148" s="184"/>
      <c r="K148" s="184"/>
      <c r="L148" s="184"/>
      <c r="M148" s="184"/>
      <c r="N148" s="587"/>
      <c r="O148" s="588"/>
      <c r="P148" s="588"/>
    </row>
    <row r="149" spans="1:16" ht="16.149999999999999">
      <c r="A149" s="67"/>
      <c r="B149" s="622"/>
      <c r="C149" s="622"/>
      <c r="D149" s="622"/>
      <c r="E149" s="622"/>
      <c r="F149" s="622"/>
      <c r="G149" s="622"/>
      <c r="H149" s="622"/>
      <c r="I149" s="622"/>
      <c r="J149" s="622"/>
      <c r="K149" s="622"/>
      <c r="L149" s="622"/>
      <c r="M149" s="622"/>
      <c r="N149" s="623"/>
      <c r="O149" s="639"/>
      <c r="P149" s="67"/>
    </row>
    <row r="150" spans="1:16" ht="32.450000000000003">
      <c r="A150" s="646" t="s">
        <v>905</v>
      </c>
      <c r="B150" s="602">
        <v>7.3769999999999998</v>
      </c>
      <c r="C150" s="602">
        <v>0.35599999999999998</v>
      </c>
      <c r="D150" s="602">
        <v>0</v>
      </c>
      <c r="E150" s="602">
        <v>0</v>
      </c>
      <c r="F150" s="602">
        <v>0.04</v>
      </c>
      <c r="G150" s="647">
        <v>7.7729999999999997</v>
      </c>
      <c r="H150" s="602">
        <v>7.3769999999999998</v>
      </c>
      <c r="I150" s="602">
        <v>0.15</v>
      </c>
      <c r="J150" s="602">
        <v>0</v>
      </c>
      <c r="K150" s="602">
        <v>0</v>
      </c>
      <c r="L150" s="602">
        <v>0.04</v>
      </c>
      <c r="M150" s="647">
        <v>7.5670000000000002</v>
      </c>
      <c r="N150" s="648">
        <v>-2.6501994082078931E-2</v>
      </c>
      <c r="O150" s="604" t="s">
        <v>906</v>
      </c>
      <c r="P150" s="649" t="s">
        <v>238</v>
      </c>
    </row>
    <row r="151" spans="1:16" ht="32.450000000000003">
      <c r="A151" s="630" t="s">
        <v>907</v>
      </c>
      <c r="B151" s="602">
        <v>891.68100000000004</v>
      </c>
      <c r="C151" s="602">
        <v>0</v>
      </c>
      <c r="D151" s="602">
        <v>0</v>
      </c>
      <c r="E151" s="602">
        <v>0</v>
      </c>
      <c r="F151" s="602">
        <v>0</v>
      </c>
      <c r="G151" s="597">
        <v>891.68100000000004</v>
      </c>
      <c r="H151" s="602">
        <v>833.02099999999996</v>
      </c>
      <c r="I151" s="602">
        <v>0</v>
      </c>
      <c r="J151" s="602">
        <v>0</v>
      </c>
      <c r="K151" s="602">
        <v>0</v>
      </c>
      <c r="L151" s="602">
        <v>0</v>
      </c>
      <c r="M151" s="597">
        <v>833.02099999999996</v>
      </c>
      <c r="N151" s="603">
        <v>-6.5785858395547375E-2</v>
      </c>
      <c r="O151" s="604" t="s">
        <v>908</v>
      </c>
      <c r="P151" s="649" t="s">
        <v>909</v>
      </c>
    </row>
    <row r="152" spans="1:16" ht="32.450000000000003">
      <c r="A152" s="604" t="s">
        <v>910</v>
      </c>
      <c r="B152" s="602">
        <v>-190</v>
      </c>
      <c r="C152" s="602">
        <v>0</v>
      </c>
      <c r="D152" s="602">
        <v>0</v>
      </c>
      <c r="E152" s="602">
        <v>0</v>
      </c>
      <c r="F152" s="602">
        <v>0</v>
      </c>
      <c r="G152" s="597">
        <v>-190</v>
      </c>
      <c r="H152" s="602">
        <v>-190</v>
      </c>
      <c r="I152" s="602">
        <v>0</v>
      </c>
      <c r="J152" s="602">
        <v>0</v>
      </c>
      <c r="K152" s="602">
        <v>0</v>
      </c>
      <c r="L152" s="602">
        <v>0</v>
      </c>
      <c r="M152" s="597">
        <v>-190</v>
      </c>
      <c r="N152" s="603">
        <v>0</v>
      </c>
      <c r="O152" s="612" t="s">
        <v>911</v>
      </c>
      <c r="P152" s="605" t="s">
        <v>65</v>
      </c>
    </row>
    <row r="153" spans="1:16" ht="16.149999999999999">
      <c r="A153" s="646" t="s">
        <v>912</v>
      </c>
      <c r="B153" s="650">
        <v>701.68100000000004</v>
      </c>
      <c r="C153" s="602">
        <v>0</v>
      </c>
      <c r="D153" s="602">
        <v>0</v>
      </c>
      <c r="E153" s="602">
        <v>0</v>
      </c>
      <c r="F153" s="602">
        <v>0</v>
      </c>
      <c r="G153" s="647">
        <v>701.68100000000004</v>
      </c>
      <c r="H153" s="650">
        <v>643.02099999999996</v>
      </c>
      <c r="I153" s="650">
        <v>0</v>
      </c>
      <c r="J153" s="650">
        <v>0</v>
      </c>
      <c r="K153" s="650">
        <v>0</v>
      </c>
      <c r="L153" s="602">
        <v>0</v>
      </c>
      <c r="M153" s="647">
        <v>643.02099999999996</v>
      </c>
      <c r="N153" s="648">
        <v>-8.3599242390773126E-2</v>
      </c>
      <c r="O153" s="604" t="s">
        <v>238</v>
      </c>
      <c r="P153" s="649" t="s">
        <v>238</v>
      </c>
    </row>
    <row r="154" spans="1:16" ht="32.450000000000003">
      <c r="A154" s="604" t="s">
        <v>913</v>
      </c>
      <c r="B154" s="602">
        <v>29.3</v>
      </c>
      <c r="C154" s="602">
        <v>0</v>
      </c>
      <c r="D154" s="602">
        <v>0</v>
      </c>
      <c r="E154" s="602">
        <v>0</v>
      </c>
      <c r="F154" s="602">
        <v>0</v>
      </c>
      <c r="G154" s="597">
        <v>29.3</v>
      </c>
      <c r="H154" s="602">
        <v>29.3</v>
      </c>
      <c r="I154" s="602">
        <v>0</v>
      </c>
      <c r="J154" s="602">
        <v>0</v>
      </c>
      <c r="K154" s="602">
        <v>0</v>
      </c>
      <c r="L154" s="602">
        <v>0</v>
      </c>
      <c r="M154" s="597">
        <v>29.3</v>
      </c>
      <c r="N154" s="613">
        <v>0</v>
      </c>
      <c r="O154" s="635" t="s">
        <v>914</v>
      </c>
      <c r="P154" s="605" t="s">
        <v>47</v>
      </c>
    </row>
    <row r="155" spans="1:16" ht="16.149999999999999">
      <c r="A155" s="630" t="s">
        <v>915</v>
      </c>
      <c r="B155" s="602">
        <v>0</v>
      </c>
      <c r="C155" s="602">
        <v>26.5</v>
      </c>
      <c r="D155" s="602">
        <v>0</v>
      </c>
      <c r="E155" s="602">
        <v>0</v>
      </c>
      <c r="F155" s="602">
        <v>0</v>
      </c>
      <c r="G155" s="597">
        <v>26.5</v>
      </c>
      <c r="H155" s="602">
        <v>0</v>
      </c>
      <c r="I155" s="602">
        <v>31.809000000000001</v>
      </c>
      <c r="J155" s="602">
        <v>0</v>
      </c>
      <c r="K155" s="602">
        <v>0</v>
      </c>
      <c r="L155" s="602">
        <v>0</v>
      </c>
      <c r="M155" s="597">
        <v>31.809000000000001</v>
      </c>
      <c r="N155" s="613">
        <v>0.20033962264150948</v>
      </c>
      <c r="O155" s="612" t="s">
        <v>916</v>
      </c>
      <c r="P155" s="605" t="s">
        <v>917</v>
      </c>
    </row>
    <row r="156" spans="1:16" ht="64.900000000000006">
      <c r="A156" s="604" t="s">
        <v>918</v>
      </c>
      <c r="B156" s="602">
        <v>0</v>
      </c>
      <c r="C156" s="602">
        <v>0</v>
      </c>
      <c r="D156" s="602">
        <v>82.4</v>
      </c>
      <c r="E156" s="602">
        <v>0</v>
      </c>
      <c r="F156" s="602">
        <v>0</v>
      </c>
      <c r="G156" s="597">
        <v>82.4</v>
      </c>
      <c r="H156" s="602">
        <v>0</v>
      </c>
      <c r="I156" s="602">
        <v>0</v>
      </c>
      <c r="J156" s="602">
        <v>84.85</v>
      </c>
      <c r="K156" s="602">
        <v>0</v>
      </c>
      <c r="L156" s="602">
        <v>0</v>
      </c>
      <c r="M156" s="597">
        <v>84.85</v>
      </c>
      <c r="N156" s="603">
        <v>2.9733009708737723E-2</v>
      </c>
      <c r="O156" s="604" t="s">
        <v>919</v>
      </c>
      <c r="P156" s="605" t="s">
        <v>920</v>
      </c>
    </row>
    <row r="157" spans="1:16" ht="16.149999999999999">
      <c r="A157" s="604" t="s">
        <v>921</v>
      </c>
      <c r="B157" s="602">
        <v>0</v>
      </c>
      <c r="C157" s="602">
        <v>0</v>
      </c>
      <c r="D157" s="602">
        <v>0</v>
      </c>
      <c r="E157" s="602">
        <v>0</v>
      </c>
      <c r="F157" s="602">
        <v>0</v>
      </c>
      <c r="G157" s="597">
        <v>0</v>
      </c>
      <c r="H157" s="602">
        <v>0</v>
      </c>
      <c r="I157" s="602">
        <v>0</v>
      </c>
      <c r="J157" s="602">
        <v>0</v>
      </c>
      <c r="K157" s="602">
        <v>0</v>
      </c>
      <c r="L157" s="602">
        <v>0</v>
      </c>
      <c r="M157" s="597">
        <v>0</v>
      </c>
      <c r="N157" s="603" t="s">
        <v>204</v>
      </c>
      <c r="O157" s="612" t="s">
        <v>922</v>
      </c>
      <c r="P157" s="605" t="s">
        <v>47</v>
      </c>
    </row>
    <row r="158" spans="1:16" ht="16.149999999999999">
      <c r="A158" s="646" t="s">
        <v>923</v>
      </c>
      <c r="B158" s="602">
        <v>0</v>
      </c>
      <c r="C158" s="602">
        <v>0</v>
      </c>
      <c r="D158" s="650">
        <v>82.4</v>
      </c>
      <c r="E158" s="602">
        <v>0</v>
      </c>
      <c r="F158" s="602">
        <v>0</v>
      </c>
      <c r="G158" s="647">
        <v>82.4</v>
      </c>
      <c r="H158" s="602">
        <v>0</v>
      </c>
      <c r="I158" s="650">
        <v>0</v>
      </c>
      <c r="J158" s="650">
        <v>84.85</v>
      </c>
      <c r="K158" s="650">
        <v>0</v>
      </c>
      <c r="L158" s="602">
        <v>0</v>
      </c>
      <c r="M158" s="647">
        <v>84.85</v>
      </c>
      <c r="N158" s="648">
        <v>2.9733009708737723E-2</v>
      </c>
      <c r="O158" s="604" t="s">
        <v>238</v>
      </c>
      <c r="P158" s="605" t="s">
        <v>238</v>
      </c>
    </row>
    <row r="159" spans="1:16" ht="48.6">
      <c r="A159" s="646" t="s">
        <v>924</v>
      </c>
      <c r="B159" s="602">
        <v>809.20699999999999</v>
      </c>
      <c r="C159" s="602">
        <v>0</v>
      </c>
      <c r="D159" s="602">
        <v>0</v>
      </c>
      <c r="E159" s="602">
        <v>0</v>
      </c>
      <c r="F159" s="602">
        <v>0</v>
      </c>
      <c r="G159" s="597">
        <v>809.20699999999999</v>
      </c>
      <c r="H159" s="602">
        <v>760.70699999999999</v>
      </c>
      <c r="I159" s="602">
        <v>0</v>
      </c>
      <c r="J159" s="602">
        <v>0</v>
      </c>
      <c r="K159" s="602">
        <v>0</v>
      </c>
      <c r="L159" s="602">
        <v>0</v>
      </c>
      <c r="M159" s="597">
        <v>760.70699999999999</v>
      </c>
      <c r="N159" s="603">
        <v>-5.9935220530717107E-2</v>
      </c>
      <c r="O159" s="604" t="s">
        <v>925</v>
      </c>
      <c r="P159" s="605" t="s">
        <v>926</v>
      </c>
    </row>
    <row r="160" spans="1:16" ht="48.6">
      <c r="A160" s="646" t="s">
        <v>927</v>
      </c>
      <c r="B160" s="602">
        <v>0</v>
      </c>
      <c r="C160" s="602">
        <v>0</v>
      </c>
      <c r="D160" s="602">
        <v>340.70499999999998</v>
      </c>
      <c r="E160" s="602">
        <v>0</v>
      </c>
      <c r="F160" s="602">
        <v>0</v>
      </c>
      <c r="G160" s="597">
        <v>340.70499999999998</v>
      </c>
      <c r="H160" s="602">
        <v>0</v>
      </c>
      <c r="I160" s="602">
        <v>0</v>
      </c>
      <c r="J160" s="602">
        <v>356.89</v>
      </c>
      <c r="K160" s="602">
        <v>0</v>
      </c>
      <c r="L160" s="602">
        <v>0</v>
      </c>
      <c r="M160" s="597">
        <v>356.89</v>
      </c>
      <c r="N160" s="603">
        <v>4.7504439324342181E-2</v>
      </c>
      <c r="O160" s="604" t="s">
        <v>928</v>
      </c>
      <c r="P160" s="605" t="s">
        <v>929</v>
      </c>
    </row>
    <row r="161" spans="1:16" ht="75" customHeight="1">
      <c r="A161" s="646" t="s">
        <v>930</v>
      </c>
      <c r="B161" s="602">
        <v>0</v>
      </c>
      <c r="C161" s="602">
        <v>0</v>
      </c>
      <c r="D161" s="602">
        <v>0</v>
      </c>
      <c r="E161" s="602">
        <v>26.6</v>
      </c>
      <c r="F161" s="602">
        <v>0</v>
      </c>
      <c r="G161" s="597">
        <v>26.6</v>
      </c>
      <c r="H161" s="602">
        <v>0</v>
      </c>
      <c r="I161" s="602">
        <v>0</v>
      </c>
      <c r="J161" s="602">
        <v>0</v>
      </c>
      <c r="K161" s="602">
        <v>0</v>
      </c>
      <c r="L161" s="602">
        <v>0</v>
      </c>
      <c r="M161" s="597">
        <v>0</v>
      </c>
      <c r="N161" s="613">
        <v>-1</v>
      </c>
      <c r="O161" s="651" t="s">
        <v>238</v>
      </c>
      <c r="P161" s="652" t="s">
        <v>238</v>
      </c>
    </row>
    <row r="162" spans="1:16" ht="32.450000000000003">
      <c r="A162" s="646" t="s">
        <v>931</v>
      </c>
      <c r="B162" s="602">
        <v>0</v>
      </c>
      <c r="C162" s="602">
        <v>0</v>
      </c>
      <c r="D162" s="602">
        <v>0</v>
      </c>
      <c r="E162" s="602">
        <v>-11.6</v>
      </c>
      <c r="F162" s="602">
        <v>0</v>
      </c>
      <c r="G162" s="597">
        <v>-11.6</v>
      </c>
      <c r="H162" s="602">
        <v>0</v>
      </c>
      <c r="I162" s="602">
        <v>0</v>
      </c>
      <c r="J162" s="602">
        <v>0</v>
      </c>
      <c r="K162" s="602">
        <v>-8.9</v>
      </c>
      <c r="L162" s="602">
        <v>0</v>
      </c>
      <c r="M162" s="597">
        <v>-8.9</v>
      </c>
      <c r="N162" s="613">
        <v>-0.23275862068965511</v>
      </c>
      <c r="O162" s="651" t="s">
        <v>238</v>
      </c>
      <c r="P162" s="652" t="s">
        <v>238</v>
      </c>
    </row>
    <row r="163" spans="1:16" ht="16.149999999999999" customHeight="1">
      <c r="A163" s="653" t="s">
        <v>932</v>
      </c>
      <c r="B163" s="618">
        <v>1547.5649999999998</v>
      </c>
      <c r="C163" s="618">
        <v>26.856000000000002</v>
      </c>
      <c r="D163" s="618">
        <v>423.10500000000002</v>
      </c>
      <c r="E163" s="618">
        <v>15.000000000000002</v>
      </c>
      <c r="F163" s="618">
        <v>0.04</v>
      </c>
      <c r="G163" s="618">
        <v>2012.5659999999998</v>
      </c>
      <c r="H163" s="618">
        <v>1440.405</v>
      </c>
      <c r="I163" s="618">
        <v>31.959</v>
      </c>
      <c r="J163" s="618">
        <v>441.74</v>
      </c>
      <c r="K163" s="618">
        <v>-8.9</v>
      </c>
      <c r="L163" s="618">
        <v>0.04</v>
      </c>
      <c r="M163" s="618">
        <v>1905.2439999999999</v>
      </c>
      <c r="N163" s="619">
        <v>-5.3325953037068052E-2</v>
      </c>
      <c r="O163" s="642"/>
      <c r="P163" s="621"/>
    </row>
    <row r="164" spans="1:16" ht="16.149999999999999">
      <c r="A164" s="611"/>
      <c r="B164" s="610"/>
      <c r="C164" s="610"/>
      <c r="D164" s="610"/>
      <c r="E164" s="610"/>
      <c r="F164" s="610"/>
      <c r="G164" s="610"/>
      <c r="H164" s="610"/>
      <c r="I164" s="610"/>
      <c r="J164" s="610"/>
      <c r="K164" s="610"/>
      <c r="L164" s="610"/>
      <c r="M164" s="610"/>
      <c r="N164" s="591"/>
      <c r="O164" s="611"/>
      <c r="P164" s="111"/>
    </row>
    <row r="165" spans="1:16" ht="16.149999999999999">
      <c r="A165" s="654" t="s">
        <v>933</v>
      </c>
      <c r="B165" s="184"/>
      <c r="C165" s="184"/>
      <c r="D165" s="184"/>
      <c r="E165" s="184"/>
      <c r="F165" s="184"/>
      <c r="G165" s="184"/>
      <c r="H165" s="184"/>
      <c r="I165" s="184"/>
      <c r="J165" s="184"/>
      <c r="K165" s="184"/>
      <c r="L165" s="184"/>
      <c r="M165" s="184"/>
      <c r="N165" s="587"/>
      <c r="O165" s="588"/>
      <c r="P165" s="588"/>
    </row>
    <row r="166" spans="1:16" ht="16.149999999999999">
      <c r="A166" s="67"/>
      <c r="B166" s="622"/>
      <c r="C166" s="622"/>
      <c r="D166" s="622"/>
      <c r="E166" s="622"/>
      <c r="F166" s="622"/>
      <c r="G166" s="622"/>
      <c r="H166" s="622"/>
      <c r="I166" s="622"/>
      <c r="J166" s="622"/>
      <c r="K166" s="622"/>
      <c r="L166" s="622"/>
      <c r="M166" s="622"/>
      <c r="N166" s="623"/>
      <c r="O166" s="639"/>
      <c r="P166" s="67"/>
    </row>
    <row r="167" spans="1:16" ht="16.149999999999999">
      <c r="A167" s="592" t="s">
        <v>934</v>
      </c>
      <c r="B167" s="208"/>
      <c r="C167" s="208"/>
      <c r="D167" s="208"/>
      <c r="E167" s="208"/>
      <c r="F167" s="208"/>
      <c r="G167" s="208"/>
      <c r="H167" s="208"/>
      <c r="I167" s="208"/>
      <c r="J167" s="208"/>
      <c r="K167" s="208"/>
      <c r="L167" s="208"/>
      <c r="M167" s="208"/>
      <c r="N167" s="593"/>
      <c r="O167" s="594"/>
      <c r="P167" s="594"/>
    </row>
    <row r="168" spans="1:16" ht="32.450000000000003">
      <c r="A168" s="604" t="s">
        <v>935</v>
      </c>
      <c r="B168" s="602">
        <v>7.8810000000000002</v>
      </c>
      <c r="C168" s="602">
        <v>0</v>
      </c>
      <c r="D168" s="602">
        <v>0</v>
      </c>
      <c r="E168" s="602">
        <v>0</v>
      </c>
      <c r="F168" s="602">
        <v>0</v>
      </c>
      <c r="G168" s="597">
        <v>7.8810000000000002</v>
      </c>
      <c r="H168" s="602">
        <v>1.089</v>
      </c>
      <c r="I168" s="602">
        <v>0</v>
      </c>
      <c r="J168" s="602">
        <v>0</v>
      </c>
      <c r="K168" s="602">
        <v>0</v>
      </c>
      <c r="L168" s="602">
        <v>0</v>
      </c>
      <c r="M168" s="597">
        <v>1.089</v>
      </c>
      <c r="N168" s="603">
        <v>-0.86181956604491816</v>
      </c>
      <c r="O168" s="604" t="s">
        <v>936</v>
      </c>
      <c r="P168" s="605" t="s">
        <v>937</v>
      </c>
    </row>
    <row r="169" spans="1:16" ht="64.900000000000006">
      <c r="A169" s="604" t="s">
        <v>938</v>
      </c>
      <c r="B169" s="602">
        <v>0.46</v>
      </c>
      <c r="C169" s="602">
        <v>0</v>
      </c>
      <c r="D169" s="602">
        <v>0</v>
      </c>
      <c r="E169" s="602">
        <v>0</v>
      </c>
      <c r="F169" s="602">
        <v>0</v>
      </c>
      <c r="G169" s="597">
        <v>0.46</v>
      </c>
      <c r="H169" s="602">
        <v>0.76</v>
      </c>
      <c r="I169" s="602">
        <v>0</v>
      </c>
      <c r="J169" s="602">
        <v>0</v>
      </c>
      <c r="K169" s="602">
        <v>0</v>
      </c>
      <c r="L169" s="602">
        <v>0</v>
      </c>
      <c r="M169" s="597">
        <v>0.76</v>
      </c>
      <c r="N169" s="603">
        <v>0.65217391304347816</v>
      </c>
      <c r="O169" s="604" t="s">
        <v>939</v>
      </c>
      <c r="P169" s="605" t="s">
        <v>940</v>
      </c>
    </row>
    <row r="170" spans="1:16" ht="32.450000000000003">
      <c r="A170" s="612" t="s">
        <v>941</v>
      </c>
      <c r="B170" s="602">
        <v>3.2290000000000001</v>
      </c>
      <c r="C170" s="602">
        <v>0</v>
      </c>
      <c r="D170" s="602">
        <v>0</v>
      </c>
      <c r="E170" s="602">
        <v>0</v>
      </c>
      <c r="F170" s="602">
        <v>0</v>
      </c>
      <c r="G170" s="597">
        <v>3.2290000000000001</v>
      </c>
      <c r="H170" s="602">
        <v>2.2290000000000001</v>
      </c>
      <c r="I170" s="602">
        <v>0</v>
      </c>
      <c r="J170" s="602">
        <v>0</v>
      </c>
      <c r="K170" s="602">
        <v>0</v>
      </c>
      <c r="L170" s="602">
        <v>0</v>
      </c>
      <c r="M170" s="597">
        <v>2.2290000000000001</v>
      </c>
      <c r="N170" s="603">
        <v>-0.30969340353050478</v>
      </c>
      <c r="O170" s="604" t="s">
        <v>942</v>
      </c>
      <c r="P170" s="605" t="s">
        <v>943</v>
      </c>
    </row>
    <row r="171" spans="1:16" ht="32.450000000000003">
      <c r="A171" s="604" t="s">
        <v>944</v>
      </c>
      <c r="B171" s="602">
        <v>9.9000000000000005E-2</v>
      </c>
      <c r="C171" s="602">
        <v>0</v>
      </c>
      <c r="D171" s="602">
        <v>0</v>
      </c>
      <c r="E171" s="602">
        <v>0</v>
      </c>
      <c r="F171" s="602">
        <v>0</v>
      </c>
      <c r="G171" s="597">
        <v>9.9000000000000005E-2</v>
      </c>
      <c r="H171" s="602">
        <v>9.9000000000000005E-2</v>
      </c>
      <c r="I171" s="602">
        <v>0</v>
      </c>
      <c r="J171" s="602">
        <v>0</v>
      </c>
      <c r="K171" s="602">
        <v>0</v>
      </c>
      <c r="L171" s="602">
        <v>0</v>
      </c>
      <c r="M171" s="597">
        <v>9.9000000000000005E-2</v>
      </c>
      <c r="N171" s="603">
        <v>0</v>
      </c>
      <c r="O171" s="604" t="s">
        <v>945</v>
      </c>
      <c r="P171" s="605" t="s">
        <v>47</v>
      </c>
    </row>
    <row r="172" spans="1:16" ht="48.6">
      <c r="A172" s="612" t="s">
        <v>946</v>
      </c>
      <c r="B172" s="602">
        <v>1.548</v>
      </c>
      <c r="C172" s="602">
        <v>0</v>
      </c>
      <c r="D172" s="602">
        <v>0</v>
      </c>
      <c r="E172" s="602">
        <v>0</v>
      </c>
      <c r="F172" s="602">
        <v>0</v>
      </c>
      <c r="G172" s="597">
        <v>1.548</v>
      </c>
      <c r="H172" s="602">
        <v>1.548</v>
      </c>
      <c r="I172" s="602">
        <v>0</v>
      </c>
      <c r="J172" s="602">
        <v>0</v>
      </c>
      <c r="K172" s="602">
        <v>0</v>
      </c>
      <c r="L172" s="602">
        <v>0</v>
      </c>
      <c r="M172" s="597">
        <v>1.548</v>
      </c>
      <c r="N172" s="603">
        <v>0</v>
      </c>
      <c r="O172" s="604" t="s">
        <v>947</v>
      </c>
      <c r="P172" s="605" t="s">
        <v>47</v>
      </c>
    </row>
    <row r="173" spans="1:16" ht="32.450000000000003">
      <c r="A173" s="604" t="s">
        <v>948</v>
      </c>
      <c r="B173" s="602">
        <v>6.8529999999999998</v>
      </c>
      <c r="C173" s="602">
        <v>0</v>
      </c>
      <c r="D173" s="602">
        <v>0</v>
      </c>
      <c r="E173" s="602">
        <v>0</v>
      </c>
      <c r="F173" s="602">
        <v>0</v>
      </c>
      <c r="G173" s="597">
        <v>6.8529999999999998</v>
      </c>
      <c r="H173" s="602">
        <v>8.5640000000000001</v>
      </c>
      <c r="I173" s="602">
        <v>0</v>
      </c>
      <c r="J173" s="602">
        <v>0</v>
      </c>
      <c r="K173" s="602">
        <v>0</v>
      </c>
      <c r="L173" s="602">
        <v>0</v>
      </c>
      <c r="M173" s="597">
        <v>8.5640000000000001</v>
      </c>
      <c r="N173" s="603">
        <v>0.24967167663796883</v>
      </c>
      <c r="O173" s="655" t="s">
        <v>949</v>
      </c>
      <c r="P173" s="624" t="s">
        <v>950</v>
      </c>
    </row>
    <row r="174" spans="1:16" ht="16.149999999999999">
      <c r="A174" s="607" t="s">
        <v>951</v>
      </c>
      <c r="B174" s="168">
        <v>20.07</v>
      </c>
      <c r="C174" s="168">
        <v>0</v>
      </c>
      <c r="D174" s="168">
        <v>0</v>
      </c>
      <c r="E174" s="168">
        <v>0</v>
      </c>
      <c r="F174" s="168">
        <v>0</v>
      </c>
      <c r="G174" s="168">
        <v>20.07</v>
      </c>
      <c r="H174" s="168">
        <v>14.289000000000001</v>
      </c>
      <c r="I174" s="168">
        <v>0</v>
      </c>
      <c r="J174" s="168">
        <v>0</v>
      </c>
      <c r="K174" s="168">
        <v>0</v>
      </c>
      <c r="L174" s="168">
        <v>0</v>
      </c>
      <c r="M174" s="168">
        <v>14.289000000000001</v>
      </c>
      <c r="N174" s="337">
        <v>-0.28804185351270545</v>
      </c>
      <c r="O174" s="608"/>
      <c r="P174" s="609"/>
    </row>
    <row r="175" spans="1:16" ht="16.149999999999999">
      <c r="A175" s="67"/>
      <c r="B175" s="633"/>
      <c r="C175" s="633"/>
      <c r="D175" s="633"/>
      <c r="E175" s="633"/>
      <c r="F175" s="633"/>
      <c r="G175" s="633"/>
      <c r="H175" s="633"/>
      <c r="I175" s="633"/>
      <c r="J175" s="633"/>
      <c r="K175" s="633"/>
      <c r="L175" s="633"/>
      <c r="M175" s="633"/>
      <c r="N175" s="584"/>
      <c r="O175" s="611"/>
      <c r="P175" s="111"/>
    </row>
    <row r="176" spans="1:16" ht="16.149999999999999">
      <c r="A176" s="67"/>
      <c r="B176" s="622"/>
      <c r="C176" s="622"/>
      <c r="D176" s="622"/>
      <c r="E176" s="622"/>
      <c r="F176" s="622"/>
      <c r="G176" s="622"/>
      <c r="H176" s="622"/>
      <c r="I176" s="622"/>
      <c r="J176" s="622"/>
      <c r="K176" s="622"/>
      <c r="L176" s="622"/>
      <c r="M176" s="622"/>
      <c r="N176" s="623"/>
      <c r="O176" s="639"/>
      <c r="P176" s="67"/>
    </row>
    <row r="177" spans="1:17" ht="16.149999999999999">
      <c r="A177" s="592" t="s">
        <v>952</v>
      </c>
      <c r="B177" s="208"/>
      <c r="C177" s="208"/>
      <c r="D177" s="208"/>
      <c r="E177" s="208"/>
      <c r="F177" s="208"/>
      <c r="G177" s="208"/>
      <c r="H177" s="208"/>
      <c r="I177" s="208"/>
      <c r="J177" s="208"/>
      <c r="K177" s="208"/>
      <c r="L177" s="208"/>
      <c r="M177" s="208"/>
      <c r="N177" s="593"/>
      <c r="O177" s="594"/>
      <c r="P177" s="594"/>
    </row>
    <row r="178" spans="1:17" ht="113.45">
      <c r="A178" s="612" t="s">
        <v>953</v>
      </c>
      <c r="B178" s="602">
        <v>25.574999999999999</v>
      </c>
      <c r="C178" s="602">
        <v>0</v>
      </c>
      <c r="D178" s="602">
        <v>0</v>
      </c>
      <c r="E178" s="602">
        <v>0</v>
      </c>
      <c r="F178" s="602">
        <v>0</v>
      </c>
      <c r="G178" s="597">
        <v>25.574999999999999</v>
      </c>
      <c r="H178" s="602">
        <v>16.236000000000001</v>
      </c>
      <c r="I178" s="602">
        <v>0</v>
      </c>
      <c r="J178" s="602">
        <v>0</v>
      </c>
      <c r="K178" s="602">
        <v>0</v>
      </c>
      <c r="L178" s="602">
        <v>0</v>
      </c>
      <c r="M178" s="597">
        <v>16.236000000000001</v>
      </c>
      <c r="N178" s="603">
        <v>-0.3651612903225806</v>
      </c>
      <c r="O178" s="604" t="s">
        <v>954</v>
      </c>
      <c r="P178" s="605" t="s">
        <v>955</v>
      </c>
    </row>
    <row r="179" spans="1:17" ht="64.900000000000006">
      <c r="A179" s="612" t="s">
        <v>956</v>
      </c>
      <c r="B179" s="602">
        <v>25</v>
      </c>
      <c r="C179" s="602">
        <v>0</v>
      </c>
      <c r="D179" s="602">
        <v>0</v>
      </c>
      <c r="E179" s="602">
        <v>0</v>
      </c>
      <c r="F179" s="602">
        <v>0</v>
      </c>
      <c r="G179" s="597">
        <v>25</v>
      </c>
      <c r="H179" s="602">
        <v>20.7</v>
      </c>
      <c r="I179" s="602">
        <v>0</v>
      </c>
      <c r="J179" s="602">
        <v>0</v>
      </c>
      <c r="K179" s="602">
        <v>0</v>
      </c>
      <c r="L179" s="602">
        <v>0</v>
      </c>
      <c r="M179" s="597">
        <v>20.7</v>
      </c>
      <c r="N179" s="603">
        <v>-0.17200000000000004</v>
      </c>
      <c r="O179" s="604" t="s">
        <v>957</v>
      </c>
      <c r="P179" s="605" t="s">
        <v>958</v>
      </c>
    </row>
    <row r="180" spans="1:17" ht="16.149999999999999">
      <c r="A180" s="607" t="s">
        <v>959</v>
      </c>
      <c r="B180" s="168">
        <v>50.575000000000003</v>
      </c>
      <c r="C180" s="168">
        <v>0</v>
      </c>
      <c r="D180" s="168">
        <v>0</v>
      </c>
      <c r="E180" s="168">
        <v>0</v>
      </c>
      <c r="F180" s="168">
        <v>0</v>
      </c>
      <c r="G180" s="168">
        <v>50.575000000000003</v>
      </c>
      <c r="H180" s="168">
        <v>36.936</v>
      </c>
      <c r="I180" s="168">
        <v>0</v>
      </c>
      <c r="J180" s="168">
        <v>0</v>
      </c>
      <c r="K180" s="168">
        <v>0</v>
      </c>
      <c r="L180" s="168">
        <v>0</v>
      </c>
      <c r="M180" s="168">
        <v>36.936</v>
      </c>
      <c r="N180" s="337">
        <v>-0.26967869500741476</v>
      </c>
      <c r="O180" s="608"/>
      <c r="P180" s="609"/>
    </row>
    <row r="181" spans="1:17" ht="16.149999999999999">
      <c r="A181" s="643"/>
      <c r="B181" s="644"/>
      <c r="C181" s="644"/>
      <c r="D181" s="644"/>
      <c r="E181" s="644"/>
      <c r="F181" s="644"/>
      <c r="G181" s="644"/>
      <c r="H181" s="644"/>
      <c r="I181" s="644"/>
      <c r="J181" s="644"/>
      <c r="K181" s="644"/>
      <c r="L181" s="644"/>
      <c r="M181" s="644"/>
      <c r="N181" s="645"/>
      <c r="O181" s="611"/>
      <c r="P181" s="111"/>
    </row>
    <row r="182" spans="1:17" ht="16.149999999999999">
      <c r="A182" s="592" t="s">
        <v>960</v>
      </c>
      <c r="B182" s="208"/>
      <c r="C182" s="208"/>
      <c r="D182" s="208"/>
      <c r="E182" s="208"/>
      <c r="F182" s="208"/>
      <c r="G182" s="208"/>
      <c r="H182" s="208"/>
      <c r="I182" s="208"/>
      <c r="J182" s="208"/>
      <c r="K182" s="208"/>
      <c r="L182" s="208"/>
      <c r="M182" s="208"/>
      <c r="N182" s="593"/>
      <c r="O182" s="594"/>
      <c r="P182" s="594"/>
    </row>
    <row r="183" spans="1:17" ht="64.900000000000006" customHeight="1">
      <c r="A183" s="630" t="s">
        <v>960</v>
      </c>
      <c r="B183" s="602">
        <v>202.38499999999999</v>
      </c>
      <c r="C183" s="602">
        <v>3.5430000000000001</v>
      </c>
      <c r="D183" s="602">
        <v>0.66</v>
      </c>
      <c r="E183" s="602">
        <v>0</v>
      </c>
      <c r="F183" s="602">
        <v>0</v>
      </c>
      <c r="G183" s="597">
        <v>206.58799999999999</v>
      </c>
      <c r="H183" s="602">
        <v>198.88499999999999</v>
      </c>
      <c r="I183" s="602">
        <v>3.3759999999999999</v>
      </c>
      <c r="J183" s="602">
        <v>0.19400000000000001</v>
      </c>
      <c r="K183" s="602">
        <v>0</v>
      </c>
      <c r="L183" s="602">
        <v>0</v>
      </c>
      <c r="M183" s="597">
        <v>202.45499999999998</v>
      </c>
      <c r="N183" s="631">
        <v>-2.0006002284740691E-2</v>
      </c>
      <c r="O183" s="604" t="s">
        <v>961</v>
      </c>
      <c r="P183" s="656" t="s">
        <v>962</v>
      </c>
    </row>
    <row r="184" spans="1:17" ht="32.450000000000003">
      <c r="A184" s="607" t="s">
        <v>963</v>
      </c>
      <c r="B184" s="168">
        <v>202.38499999999999</v>
      </c>
      <c r="C184" s="168">
        <v>3.5430000000000001</v>
      </c>
      <c r="D184" s="168">
        <v>0.66</v>
      </c>
      <c r="E184" s="168">
        <v>0</v>
      </c>
      <c r="F184" s="168">
        <v>0</v>
      </c>
      <c r="G184" s="168">
        <v>206.58799999999999</v>
      </c>
      <c r="H184" s="168">
        <v>198.88499999999999</v>
      </c>
      <c r="I184" s="168">
        <v>3.3759999999999999</v>
      </c>
      <c r="J184" s="168">
        <v>0.19400000000000001</v>
      </c>
      <c r="K184" s="168">
        <v>0</v>
      </c>
      <c r="L184" s="168">
        <v>0</v>
      </c>
      <c r="M184" s="168">
        <v>202.45499999999998</v>
      </c>
      <c r="N184" s="337">
        <v>-2.0006002284740691E-2</v>
      </c>
      <c r="O184" s="608"/>
      <c r="P184" s="609"/>
    </row>
    <row r="185" spans="1:17" ht="16.149999999999999">
      <c r="A185" s="643"/>
      <c r="B185" s="657"/>
      <c r="C185" s="657"/>
      <c r="D185" s="657"/>
      <c r="E185" s="657"/>
      <c r="F185" s="657"/>
      <c r="G185" s="657"/>
      <c r="H185" s="657"/>
      <c r="I185" s="657"/>
      <c r="J185" s="657"/>
      <c r="K185" s="657"/>
      <c r="L185" s="657"/>
      <c r="M185" s="657"/>
      <c r="N185" s="645"/>
      <c r="O185" s="611"/>
      <c r="P185" s="111"/>
    </row>
    <row r="186" spans="1:17" ht="32.450000000000003">
      <c r="A186" s="617" t="s">
        <v>964</v>
      </c>
      <c r="B186" s="618">
        <v>273.02999999999997</v>
      </c>
      <c r="C186" s="618">
        <v>3.5430000000000001</v>
      </c>
      <c r="D186" s="618">
        <v>0.66</v>
      </c>
      <c r="E186" s="618">
        <v>0</v>
      </c>
      <c r="F186" s="618">
        <v>0</v>
      </c>
      <c r="G186" s="618">
        <v>277.233</v>
      </c>
      <c r="H186" s="618">
        <v>250.10999999999999</v>
      </c>
      <c r="I186" s="618">
        <v>3.3759999999999999</v>
      </c>
      <c r="J186" s="618">
        <v>0.19400000000000001</v>
      </c>
      <c r="K186" s="618">
        <v>0</v>
      </c>
      <c r="L186" s="618">
        <v>0</v>
      </c>
      <c r="M186" s="618">
        <v>253.67999999999998</v>
      </c>
      <c r="N186" s="658">
        <v>-8.4957418489140998E-2</v>
      </c>
      <c r="O186" s="642"/>
      <c r="P186" s="621"/>
    </row>
    <row r="187" spans="1:17" ht="16.149999999999999">
      <c r="A187" s="67"/>
      <c r="B187" s="633"/>
      <c r="C187" s="633"/>
      <c r="D187" s="633"/>
      <c r="E187" s="633"/>
      <c r="F187" s="633"/>
      <c r="G187" s="633"/>
      <c r="H187" s="633"/>
      <c r="I187" s="633"/>
      <c r="J187" s="633"/>
      <c r="K187" s="633"/>
      <c r="L187" s="633"/>
      <c r="M187" s="633"/>
      <c r="N187" s="584"/>
      <c r="O187" s="611"/>
      <c r="P187" s="111"/>
    </row>
    <row r="188" spans="1:17" ht="16.149999999999999">
      <c r="A188" s="611"/>
      <c r="B188" s="610"/>
      <c r="C188" s="610"/>
      <c r="D188" s="610"/>
      <c r="E188" s="610"/>
      <c r="F188" s="610"/>
      <c r="G188" s="610"/>
      <c r="H188" s="610"/>
      <c r="I188" s="610"/>
      <c r="J188" s="610"/>
      <c r="K188" s="610"/>
      <c r="L188" s="610"/>
      <c r="M188" s="610"/>
      <c r="N188" s="591"/>
      <c r="O188" s="611"/>
      <c r="P188" s="111"/>
    </row>
    <row r="189" spans="1:17" ht="16.149999999999999">
      <c r="A189" s="170" t="s">
        <v>372</v>
      </c>
      <c r="B189" s="169"/>
      <c r="C189" s="169"/>
      <c r="D189" s="169"/>
      <c r="E189" s="169"/>
      <c r="F189" s="169"/>
      <c r="G189" s="597">
        <v>0</v>
      </c>
      <c r="H189" s="169"/>
      <c r="I189" s="169"/>
      <c r="J189" s="169"/>
      <c r="K189" s="169"/>
      <c r="L189" s="169"/>
      <c r="M189" s="168"/>
      <c r="N189" s="591"/>
      <c r="O189" s="611"/>
      <c r="P189" s="111"/>
    </row>
    <row r="190" spans="1:17" s="161" customFormat="1" ht="18.600000000000001">
      <c r="A190" s="659"/>
      <c r="B190" s="660"/>
      <c r="C190" s="660"/>
      <c r="D190" s="660"/>
      <c r="E190" s="660"/>
      <c r="F190" s="660"/>
      <c r="G190" s="660"/>
      <c r="H190" s="660"/>
      <c r="I190" s="660"/>
      <c r="J190" s="660"/>
      <c r="K190" s="660"/>
      <c r="L190" s="660"/>
      <c r="M190" s="660"/>
      <c r="N190" s="661"/>
      <c r="O190" s="659"/>
      <c r="P190" s="662"/>
      <c r="Q190" s="162"/>
    </row>
    <row r="191" spans="1:17" ht="16.149999999999999">
      <c r="A191" s="663" t="s">
        <v>965</v>
      </c>
      <c r="B191" s="618">
        <v>2988.9479999999999</v>
      </c>
      <c r="C191" s="618">
        <v>203.19800000000001</v>
      </c>
      <c r="D191" s="618">
        <v>561.95000000000005</v>
      </c>
      <c r="E191" s="618">
        <v>15.000000000000002</v>
      </c>
      <c r="F191" s="618">
        <v>421.39600000000007</v>
      </c>
      <c r="G191" s="618">
        <v>4190.4920000000002</v>
      </c>
      <c r="H191" s="618">
        <v>3117.0869999999995</v>
      </c>
      <c r="I191" s="618">
        <v>402.459</v>
      </c>
      <c r="J191" s="618">
        <v>554.62</v>
      </c>
      <c r="K191" s="618">
        <v>-8.9</v>
      </c>
      <c r="L191" s="618">
        <v>804.26599999999996</v>
      </c>
      <c r="M191" s="618">
        <v>4869.5319999999992</v>
      </c>
      <c r="N191" s="658">
        <v>0.16204302501949627</v>
      </c>
      <c r="O191" s="664"/>
      <c r="P191" s="664"/>
    </row>
    <row r="192" spans="1:17" ht="15">
      <c r="A192" s="665"/>
      <c r="B192" s="666"/>
      <c r="C192" s="666"/>
      <c r="D192" s="666"/>
      <c r="E192" s="666"/>
      <c r="F192" s="666"/>
      <c r="G192" s="666"/>
      <c r="H192" s="666"/>
      <c r="I192" s="666"/>
      <c r="J192" s="666"/>
      <c r="K192" s="666"/>
      <c r="L192" s="666"/>
      <c r="M192" s="666"/>
      <c r="N192" s="666"/>
      <c r="O192" s="666"/>
      <c r="P192" s="666"/>
    </row>
    <row r="193" spans="1:16" ht="16.149999999999999">
      <c r="A193" s="667" t="s">
        <v>966</v>
      </c>
      <c r="B193" s="184"/>
      <c r="C193" s="184"/>
      <c r="D193" s="184"/>
      <c r="E193" s="184"/>
      <c r="F193" s="184"/>
      <c r="G193" s="184"/>
      <c r="H193" s="184"/>
      <c r="I193" s="184"/>
      <c r="J193" s="184"/>
      <c r="K193" s="184"/>
      <c r="L193" s="184"/>
      <c r="M193" s="184"/>
      <c r="N193" s="668"/>
      <c r="O193" s="669"/>
      <c r="P193" s="669"/>
    </row>
    <row r="194" spans="1:16" ht="16.149999999999999">
      <c r="A194" s="670"/>
      <c r="B194" s="671"/>
      <c r="C194" s="671"/>
      <c r="D194" s="671"/>
      <c r="E194" s="671"/>
      <c r="F194" s="671"/>
      <c r="G194" s="672"/>
      <c r="H194" s="671"/>
      <c r="I194" s="671"/>
      <c r="J194" s="671"/>
      <c r="K194" s="671"/>
      <c r="L194" s="671"/>
      <c r="M194" s="672"/>
      <c r="N194" s="673"/>
      <c r="O194" s="669"/>
      <c r="P194" s="669"/>
    </row>
    <row r="195" spans="1:16" ht="32.450000000000003">
      <c r="A195" s="635" t="s">
        <v>967</v>
      </c>
      <c r="B195" s="602">
        <v>4.4820000000000002</v>
      </c>
      <c r="C195" s="602">
        <v>0</v>
      </c>
      <c r="D195" s="602">
        <v>0</v>
      </c>
      <c r="E195" s="602">
        <v>0</v>
      </c>
      <c r="F195" s="602">
        <v>0</v>
      </c>
      <c r="G195" s="647">
        <v>4.4820000000000002</v>
      </c>
      <c r="H195" s="602">
        <v>4.4820000000000002</v>
      </c>
      <c r="I195" s="602">
        <v>0</v>
      </c>
      <c r="J195" s="602">
        <v>0</v>
      </c>
      <c r="K195" s="602">
        <v>0</v>
      </c>
      <c r="L195" s="602">
        <v>0</v>
      </c>
      <c r="M195" s="647">
        <v>4.4820000000000002</v>
      </c>
      <c r="N195" s="674">
        <v>0</v>
      </c>
      <c r="O195" s="604" t="s">
        <v>968</v>
      </c>
      <c r="P195" s="605" t="s">
        <v>47</v>
      </c>
    </row>
    <row r="196" spans="1:16" ht="16.149999999999999">
      <c r="A196" s="635"/>
      <c r="B196" s="675"/>
      <c r="C196" s="675"/>
      <c r="D196" s="675"/>
      <c r="E196" s="675"/>
      <c r="F196" s="675"/>
      <c r="G196" s="675"/>
      <c r="H196" s="675"/>
      <c r="I196" s="675"/>
      <c r="J196" s="675"/>
      <c r="K196" s="675"/>
      <c r="L196" s="675"/>
      <c r="M196" s="675"/>
      <c r="N196" s="674"/>
      <c r="O196" s="669" t="s">
        <v>238</v>
      </c>
      <c r="P196" s="669" t="s">
        <v>238</v>
      </c>
    </row>
    <row r="197" spans="1:16" ht="16.149999999999999">
      <c r="A197" s="676" t="s">
        <v>969</v>
      </c>
      <c r="B197" s="677">
        <v>4.4820000000000002</v>
      </c>
      <c r="C197" s="677">
        <v>0</v>
      </c>
      <c r="D197" s="677">
        <v>0</v>
      </c>
      <c r="E197" s="677">
        <v>0</v>
      </c>
      <c r="F197" s="677">
        <v>0</v>
      </c>
      <c r="G197" s="677">
        <v>4.4820000000000002</v>
      </c>
      <c r="H197" s="677">
        <v>4.4820000000000002</v>
      </c>
      <c r="I197" s="677">
        <v>0</v>
      </c>
      <c r="J197" s="677">
        <v>0</v>
      </c>
      <c r="K197" s="677">
        <v>0</v>
      </c>
      <c r="L197" s="677">
        <v>0</v>
      </c>
      <c r="M197" s="677">
        <v>4.4820000000000002</v>
      </c>
      <c r="N197" s="678">
        <v>0</v>
      </c>
      <c r="O197" s="669"/>
      <c r="P197" s="669"/>
    </row>
    <row r="198" spans="1:16" ht="16.149999999999999">
      <c r="A198" s="679"/>
      <c r="B198" s="680"/>
      <c r="C198" s="680"/>
      <c r="D198" s="680"/>
      <c r="E198" s="680"/>
      <c r="F198" s="680"/>
      <c r="G198" s="680"/>
      <c r="H198" s="680"/>
      <c r="I198" s="680"/>
      <c r="J198" s="680"/>
      <c r="K198" s="680"/>
      <c r="L198" s="680"/>
      <c r="M198" s="680"/>
      <c r="N198" s="681"/>
      <c r="O198" s="669"/>
      <c r="P198" s="669"/>
    </row>
    <row r="199" spans="1:16" ht="32.450000000000003">
      <c r="A199" s="636" t="s">
        <v>970</v>
      </c>
      <c r="B199" s="682">
        <v>4.4820000000000002</v>
      </c>
      <c r="C199" s="682">
        <v>0</v>
      </c>
      <c r="D199" s="682">
        <v>0</v>
      </c>
      <c r="E199" s="682">
        <v>0</v>
      </c>
      <c r="F199" s="682">
        <v>0</v>
      </c>
      <c r="G199" s="682">
        <v>4.4820000000000002</v>
      </c>
      <c r="H199" s="682">
        <v>4.4820000000000002</v>
      </c>
      <c r="I199" s="682">
        <v>0</v>
      </c>
      <c r="J199" s="682">
        <v>0</v>
      </c>
      <c r="K199" s="682">
        <v>0</v>
      </c>
      <c r="L199" s="682">
        <v>0</v>
      </c>
      <c r="M199" s="682">
        <v>4.4820000000000002</v>
      </c>
      <c r="N199" s="658">
        <v>0</v>
      </c>
      <c r="O199" s="669"/>
      <c r="P199" s="669"/>
    </row>
    <row r="200" spans="1:16" ht="16.149999999999999">
      <c r="A200" s="679"/>
      <c r="B200" s="671"/>
      <c r="C200" s="671"/>
      <c r="D200" s="671"/>
      <c r="E200" s="671"/>
      <c r="F200" s="671"/>
      <c r="G200" s="671"/>
      <c r="H200" s="671"/>
      <c r="I200" s="671"/>
      <c r="J200" s="671"/>
      <c r="K200" s="671"/>
      <c r="L200" s="671"/>
      <c r="M200" s="671"/>
      <c r="N200" s="683"/>
      <c r="O200" s="669"/>
      <c r="P200" s="669"/>
    </row>
    <row r="201" spans="1:16" ht="32.450000000000003">
      <c r="A201" s="667" t="s">
        <v>971</v>
      </c>
      <c r="B201" s="684"/>
      <c r="C201" s="684"/>
      <c r="D201" s="684"/>
      <c r="E201" s="684"/>
      <c r="F201" s="684"/>
      <c r="G201" s="684"/>
      <c r="H201" s="684"/>
      <c r="I201" s="684"/>
      <c r="J201" s="684"/>
      <c r="K201" s="684"/>
      <c r="L201" s="684"/>
      <c r="M201" s="684"/>
      <c r="N201" s="668"/>
      <c r="O201" s="669"/>
      <c r="P201" s="669"/>
    </row>
    <row r="202" spans="1:16" ht="16.149999999999999">
      <c r="A202" s="679"/>
      <c r="B202" s="671"/>
      <c r="C202" s="671"/>
      <c r="D202" s="671"/>
      <c r="E202" s="671"/>
      <c r="F202" s="671"/>
      <c r="G202" s="671"/>
      <c r="H202" s="671"/>
      <c r="I202" s="671"/>
      <c r="J202" s="671"/>
      <c r="K202" s="671"/>
      <c r="L202" s="671"/>
      <c r="M202" s="671"/>
      <c r="N202" s="683"/>
      <c r="O202" s="669"/>
      <c r="P202" s="669"/>
    </row>
    <row r="203" spans="1:16" ht="32.450000000000003">
      <c r="A203" s="635" t="s">
        <v>972</v>
      </c>
      <c r="B203" s="602">
        <v>120</v>
      </c>
      <c r="C203" s="602">
        <v>0</v>
      </c>
      <c r="D203" s="602">
        <v>0</v>
      </c>
      <c r="E203" s="602">
        <v>0</v>
      </c>
      <c r="F203" s="602"/>
      <c r="G203" s="647">
        <v>120</v>
      </c>
      <c r="H203" s="602">
        <v>120</v>
      </c>
      <c r="I203" s="602">
        <v>0</v>
      </c>
      <c r="J203" s="602">
        <v>0</v>
      </c>
      <c r="K203" s="602">
        <v>0</v>
      </c>
      <c r="L203" s="602">
        <v>0</v>
      </c>
      <c r="M203" s="647">
        <v>120</v>
      </c>
      <c r="N203" s="674">
        <v>0</v>
      </c>
      <c r="O203" s="604" t="s">
        <v>973</v>
      </c>
      <c r="P203" s="605" t="s">
        <v>47</v>
      </c>
    </row>
    <row r="204" spans="1:16" ht="32.450000000000003">
      <c r="A204" s="676" t="s">
        <v>974</v>
      </c>
      <c r="B204" s="677">
        <v>120</v>
      </c>
      <c r="C204" s="677">
        <v>0</v>
      </c>
      <c r="D204" s="677">
        <v>0</v>
      </c>
      <c r="E204" s="677">
        <v>0</v>
      </c>
      <c r="F204" s="677">
        <v>0</v>
      </c>
      <c r="G204" s="677">
        <v>120</v>
      </c>
      <c r="H204" s="677">
        <v>120</v>
      </c>
      <c r="I204" s="677">
        <v>0</v>
      </c>
      <c r="J204" s="677">
        <v>0</v>
      </c>
      <c r="K204" s="677">
        <v>0</v>
      </c>
      <c r="L204" s="677">
        <v>0</v>
      </c>
      <c r="M204" s="677">
        <v>120</v>
      </c>
      <c r="N204" s="678">
        <v>0</v>
      </c>
      <c r="O204" s="669" t="s">
        <v>238</v>
      </c>
      <c r="P204" s="669" t="s">
        <v>238</v>
      </c>
    </row>
    <row r="205" spans="1:16" ht="16.149999999999999">
      <c r="A205" s="679"/>
      <c r="B205" s="680"/>
      <c r="C205" s="680"/>
      <c r="D205" s="680"/>
      <c r="E205" s="680"/>
      <c r="F205" s="680"/>
      <c r="G205" s="680"/>
      <c r="H205" s="680"/>
      <c r="I205" s="680"/>
      <c r="J205" s="680"/>
      <c r="K205" s="680"/>
      <c r="L205" s="680"/>
      <c r="M205" s="680"/>
      <c r="N205" s="681"/>
      <c r="O205" s="669"/>
      <c r="P205" s="669"/>
    </row>
    <row r="206" spans="1:16" ht="32.450000000000003">
      <c r="A206" s="636" t="s">
        <v>975</v>
      </c>
      <c r="B206" s="682">
        <v>120</v>
      </c>
      <c r="C206" s="682">
        <v>0</v>
      </c>
      <c r="D206" s="682">
        <v>0</v>
      </c>
      <c r="E206" s="682">
        <v>0</v>
      </c>
      <c r="F206" s="682">
        <v>0</v>
      </c>
      <c r="G206" s="682">
        <v>120</v>
      </c>
      <c r="H206" s="682">
        <v>120</v>
      </c>
      <c r="I206" s="682">
        <v>0</v>
      </c>
      <c r="J206" s="682">
        <v>0</v>
      </c>
      <c r="K206" s="682">
        <v>0</v>
      </c>
      <c r="L206" s="682">
        <v>0</v>
      </c>
      <c r="M206" s="682">
        <v>120</v>
      </c>
      <c r="N206" s="658">
        <v>0</v>
      </c>
      <c r="O206" s="669"/>
      <c r="P206" s="669"/>
    </row>
    <row r="207" spans="1:16" ht="16.149999999999999">
      <c r="A207" s="679"/>
      <c r="B207" s="671"/>
      <c r="C207" s="671"/>
      <c r="D207" s="671"/>
      <c r="E207" s="671"/>
      <c r="F207" s="671"/>
      <c r="G207" s="671"/>
      <c r="H207" s="671"/>
      <c r="I207" s="671"/>
      <c r="J207" s="671"/>
      <c r="K207" s="671"/>
      <c r="L207" s="671"/>
      <c r="M207" s="671"/>
      <c r="N207" s="683"/>
      <c r="O207" s="669"/>
      <c r="P207" s="66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C5BC-DFC4-4F0A-8CFA-4C9E2E32FFAA}">
  <sheetPr>
    <tabColor theme="8" tint="-0.499984740745262"/>
  </sheetPr>
  <dimension ref="A1:P139"/>
  <sheetViews>
    <sheetView showGridLines="0" zoomScale="50" zoomScaleNormal="50" workbookViewId="0">
      <pane xSplit="1" ySplit="4" topLeftCell="G127" activePane="bottomRight" state="frozen"/>
      <selection pane="bottomRight" activeCell="V4" sqref="V4"/>
      <selection pane="bottomLeft" activeCell="BA149" sqref="BA149"/>
      <selection pane="topRight" activeCell="BA149" sqref="BA149"/>
    </sheetView>
  </sheetViews>
  <sheetFormatPr defaultColWidth="9.28515625" defaultRowHeight="14.45" outlineLevelCol="1"/>
  <cols>
    <col min="1" max="1" width="40.7109375" style="3" customWidth="1"/>
    <col min="2" max="14" width="17.7109375" customWidth="1" outlineLevel="1"/>
    <col min="15" max="16" width="75.7109375" customWidth="1" outlineLevel="1"/>
  </cols>
  <sheetData>
    <row r="1" spans="1:16" ht="24.6" customHeight="1" thickBot="1"/>
    <row r="2" spans="1:16" ht="24.6" customHeight="1">
      <c r="A2" s="574"/>
      <c r="B2" s="576"/>
      <c r="C2" s="577"/>
      <c r="D2" s="577"/>
      <c r="E2" s="577"/>
      <c r="F2" s="577"/>
      <c r="G2" s="575"/>
      <c r="H2" s="576"/>
      <c r="I2" s="577"/>
      <c r="J2" s="577"/>
      <c r="K2" s="577"/>
      <c r="L2" s="577"/>
      <c r="M2" s="575"/>
      <c r="N2" s="578"/>
      <c r="O2" s="579"/>
      <c r="P2" s="580"/>
    </row>
    <row r="3" spans="1:16" ht="100.15" customHeight="1">
      <c r="A3" s="685" t="s">
        <v>7</v>
      </c>
      <c r="B3" s="295" t="s">
        <v>11</v>
      </c>
      <c r="C3" s="295" t="s">
        <v>12</v>
      </c>
      <c r="D3" s="295" t="s">
        <v>13</v>
      </c>
      <c r="E3" s="295" t="s">
        <v>14</v>
      </c>
      <c r="F3" s="295" t="s">
        <v>15</v>
      </c>
      <c r="G3" s="295" t="s">
        <v>16</v>
      </c>
      <c r="H3" s="295" t="s">
        <v>17</v>
      </c>
      <c r="I3" s="295" t="s">
        <v>18</v>
      </c>
      <c r="J3" s="295" t="s">
        <v>19</v>
      </c>
      <c r="K3" s="295" t="s">
        <v>20</v>
      </c>
      <c r="L3" s="295" t="s">
        <v>21</v>
      </c>
      <c r="M3" s="295" t="s">
        <v>22</v>
      </c>
      <c r="N3" s="12" t="s">
        <v>23</v>
      </c>
      <c r="O3" s="13" t="s">
        <v>24</v>
      </c>
      <c r="P3" s="276" t="s">
        <v>25</v>
      </c>
    </row>
    <row r="4" spans="1:16" ht="22.9" thickBot="1">
      <c r="A4" s="273"/>
      <c r="B4" s="272"/>
      <c r="C4" s="272"/>
      <c r="D4" s="272"/>
      <c r="E4" s="272"/>
      <c r="F4" s="272"/>
      <c r="G4" s="272"/>
      <c r="H4" s="272"/>
      <c r="I4" s="272"/>
      <c r="J4" s="272"/>
      <c r="K4" s="272"/>
      <c r="L4" s="272"/>
      <c r="M4" s="272"/>
      <c r="N4" s="581"/>
      <c r="O4" s="270"/>
      <c r="P4" s="270"/>
    </row>
    <row r="5" spans="1:16" ht="16.149999999999999">
      <c r="A5" s="686"/>
      <c r="B5" s="687"/>
      <c r="C5" s="687"/>
      <c r="D5" s="687"/>
      <c r="E5" s="687"/>
      <c r="F5" s="687"/>
      <c r="G5" s="687"/>
      <c r="H5" s="687"/>
      <c r="I5" s="687"/>
      <c r="J5" s="687"/>
      <c r="K5" s="687"/>
      <c r="L5" s="687"/>
      <c r="M5" s="687"/>
      <c r="N5" s="688"/>
      <c r="O5" s="689"/>
      <c r="P5" s="689"/>
    </row>
    <row r="6" spans="1:16" ht="16.149999999999999">
      <c r="A6" s="690" t="s">
        <v>976</v>
      </c>
      <c r="B6" s="691"/>
      <c r="C6" s="691"/>
      <c r="D6" s="691"/>
      <c r="E6" s="691"/>
      <c r="F6" s="691"/>
      <c r="G6" s="691"/>
      <c r="H6" s="691"/>
      <c r="I6" s="691"/>
      <c r="J6" s="691"/>
      <c r="K6" s="691"/>
      <c r="L6" s="691"/>
      <c r="M6" s="691"/>
      <c r="N6" s="691"/>
      <c r="O6" s="588"/>
      <c r="P6" s="588"/>
    </row>
    <row r="7" spans="1:16" ht="16.149999999999999">
      <c r="A7" s="592" t="s">
        <v>977</v>
      </c>
      <c r="B7" s="208"/>
      <c r="C7" s="208"/>
      <c r="D7" s="208"/>
      <c r="E7" s="208"/>
      <c r="F7" s="208"/>
      <c r="G7" s="208"/>
      <c r="H7" s="208"/>
      <c r="I7" s="208"/>
      <c r="J7" s="208"/>
      <c r="K7" s="208"/>
      <c r="L7" s="208"/>
      <c r="M7" s="208"/>
      <c r="N7" s="692"/>
      <c r="O7" s="693"/>
      <c r="P7" s="693"/>
    </row>
    <row r="8" spans="1:16" ht="89.1" customHeight="1">
      <c r="A8" s="595" t="s">
        <v>978</v>
      </c>
      <c r="B8" s="694">
        <v>3.2</v>
      </c>
      <c r="C8" s="694">
        <v>0</v>
      </c>
      <c r="D8" s="694">
        <v>0</v>
      </c>
      <c r="E8" s="694">
        <v>0</v>
      </c>
      <c r="F8" s="694">
        <v>0</v>
      </c>
      <c r="G8" s="695">
        <v>3.2</v>
      </c>
      <c r="H8" s="694">
        <v>2.85</v>
      </c>
      <c r="I8" s="694">
        <v>0</v>
      </c>
      <c r="J8" s="694">
        <v>0</v>
      </c>
      <c r="K8" s="694">
        <v>0</v>
      </c>
      <c r="L8" s="694">
        <v>0</v>
      </c>
      <c r="M8" s="695">
        <v>2.85</v>
      </c>
      <c r="N8" s="371" t="e">
        <v>#REF!</v>
      </c>
      <c r="O8" s="595" t="s">
        <v>979</v>
      </c>
      <c r="P8" s="600" t="s">
        <v>980</v>
      </c>
    </row>
    <row r="9" spans="1:16" ht="16.149999999999999">
      <c r="A9" s="607" t="s">
        <v>981</v>
      </c>
      <c r="B9" s="168">
        <v>3.2</v>
      </c>
      <c r="C9" s="168">
        <v>0</v>
      </c>
      <c r="D9" s="168">
        <v>0</v>
      </c>
      <c r="E9" s="168">
        <v>0</v>
      </c>
      <c r="F9" s="168">
        <v>0</v>
      </c>
      <c r="G9" s="168">
        <v>3.2</v>
      </c>
      <c r="H9" s="168">
        <v>2.85</v>
      </c>
      <c r="I9" s="168">
        <v>0</v>
      </c>
      <c r="J9" s="168">
        <v>0</v>
      </c>
      <c r="K9" s="168">
        <v>0</v>
      </c>
      <c r="L9" s="168">
        <v>0</v>
      </c>
      <c r="M9" s="168">
        <v>2.85</v>
      </c>
      <c r="N9" s="337">
        <v>-0.10937500000000003</v>
      </c>
      <c r="O9" s="696"/>
      <c r="P9" s="697"/>
    </row>
    <row r="10" spans="1:16" ht="16.149999999999999">
      <c r="A10" s="67"/>
      <c r="B10" s="698"/>
      <c r="C10" s="698"/>
      <c r="D10" s="698"/>
      <c r="E10" s="698"/>
      <c r="F10" s="698"/>
      <c r="G10" s="698"/>
      <c r="H10" s="698"/>
      <c r="I10" s="698"/>
      <c r="J10" s="698"/>
      <c r="K10" s="698"/>
      <c r="L10" s="698"/>
      <c r="M10" s="698"/>
      <c r="N10" s="699"/>
      <c r="O10" s="111"/>
      <c r="P10" s="111"/>
    </row>
    <row r="11" spans="1:16" ht="16.149999999999999">
      <c r="A11" s="592" t="s">
        <v>982</v>
      </c>
      <c r="B11" s="594"/>
      <c r="C11" s="594"/>
      <c r="D11" s="594"/>
      <c r="E11" s="594"/>
      <c r="F11" s="594"/>
      <c r="G11" s="594"/>
      <c r="H11" s="594"/>
      <c r="I11" s="594"/>
      <c r="J11" s="594"/>
      <c r="K11" s="594"/>
      <c r="L11" s="594"/>
      <c r="M11" s="594"/>
      <c r="N11" s="692"/>
      <c r="O11" s="693"/>
      <c r="P11" s="693"/>
    </row>
    <row r="12" spans="1:16" ht="35.65" customHeight="1">
      <c r="A12" s="595" t="s">
        <v>983</v>
      </c>
      <c r="B12" s="694">
        <v>5</v>
      </c>
      <c r="C12" s="694">
        <v>0</v>
      </c>
      <c r="D12" s="694">
        <v>0</v>
      </c>
      <c r="E12" s="694">
        <v>0</v>
      </c>
      <c r="F12" s="694">
        <v>0</v>
      </c>
      <c r="G12" s="695">
        <v>5</v>
      </c>
      <c r="H12" s="694">
        <v>5</v>
      </c>
      <c r="I12" s="694">
        <v>0</v>
      </c>
      <c r="J12" s="694">
        <v>0</v>
      </c>
      <c r="K12" s="694">
        <v>0</v>
      </c>
      <c r="L12" s="694">
        <v>0</v>
      </c>
      <c r="M12" s="695">
        <v>5</v>
      </c>
      <c r="N12" s="371">
        <v>0</v>
      </c>
      <c r="O12" s="595" t="s">
        <v>984</v>
      </c>
      <c r="P12" s="600" t="s">
        <v>47</v>
      </c>
    </row>
    <row r="13" spans="1:16" ht="37.15" customHeight="1">
      <c r="A13" s="612" t="s">
        <v>985</v>
      </c>
      <c r="B13" s="150">
        <v>0.5</v>
      </c>
      <c r="C13" s="150">
        <v>0</v>
      </c>
      <c r="D13" s="150">
        <v>0</v>
      </c>
      <c r="E13" s="150">
        <v>0</v>
      </c>
      <c r="F13" s="150">
        <v>0</v>
      </c>
      <c r="G13" s="695">
        <v>0.5</v>
      </c>
      <c r="H13" s="150">
        <v>0.5</v>
      </c>
      <c r="I13" s="150">
        <v>0</v>
      </c>
      <c r="J13" s="150">
        <v>0</v>
      </c>
      <c r="K13" s="150">
        <v>0</v>
      </c>
      <c r="L13" s="150">
        <v>0</v>
      </c>
      <c r="M13" s="695">
        <v>0.5</v>
      </c>
      <c r="N13" s="371">
        <v>0</v>
      </c>
      <c r="O13" s="612" t="s">
        <v>986</v>
      </c>
      <c r="P13" s="605" t="s">
        <v>47</v>
      </c>
    </row>
    <row r="14" spans="1:16" ht="53.65" customHeight="1">
      <c r="A14" s="256" t="s">
        <v>987</v>
      </c>
      <c r="B14" s="150">
        <v>3.1040000000000001</v>
      </c>
      <c r="C14" s="150">
        <v>8.0000000000000002E-3</v>
      </c>
      <c r="D14" s="150">
        <v>0</v>
      </c>
      <c r="E14" s="150">
        <v>0</v>
      </c>
      <c r="F14" s="150">
        <v>0</v>
      </c>
      <c r="G14" s="695">
        <v>3.1120000000000001</v>
      </c>
      <c r="H14" s="150">
        <v>3.2050000000000001</v>
      </c>
      <c r="I14" s="150">
        <v>1.0999999999999999E-2</v>
      </c>
      <c r="J14" s="150">
        <v>0</v>
      </c>
      <c r="K14" s="150">
        <v>0</v>
      </c>
      <c r="L14" s="150">
        <v>0</v>
      </c>
      <c r="M14" s="695">
        <v>3.2160000000000002</v>
      </c>
      <c r="N14" s="371">
        <v>3.3419023136246818E-2</v>
      </c>
      <c r="O14" s="612" t="s">
        <v>988</v>
      </c>
      <c r="P14" s="605" t="s">
        <v>989</v>
      </c>
    </row>
    <row r="15" spans="1:16" ht="41.65" customHeight="1">
      <c r="A15" s="256" t="s">
        <v>990</v>
      </c>
      <c r="B15" s="150">
        <v>1.946</v>
      </c>
      <c r="C15" s="150">
        <v>8.6999999999999994E-2</v>
      </c>
      <c r="D15" s="150">
        <v>0</v>
      </c>
      <c r="E15" s="150">
        <v>0</v>
      </c>
      <c r="F15" s="150">
        <v>0</v>
      </c>
      <c r="G15" s="695">
        <v>2.0329999999999999</v>
      </c>
      <c r="H15" s="150">
        <v>2.0070000000000001</v>
      </c>
      <c r="I15" s="150">
        <v>4.5999999999999999E-2</v>
      </c>
      <c r="J15" s="150">
        <v>0</v>
      </c>
      <c r="K15" s="150">
        <v>0</v>
      </c>
      <c r="L15" s="150">
        <v>0</v>
      </c>
      <c r="M15" s="695">
        <v>2.0529999999999999</v>
      </c>
      <c r="N15" s="371">
        <v>9.8376783079193401E-3</v>
      </c>
      <c r="O15" s="612" t="s">
        <v>991</v>
      </c>
      <c r="P15" s="605" t="s">
        <v>989</v>
      </c>
    </row>
    <row r="16" spans="1:16" ht="71.650000000000006" customHeight="1">
      <c r="A16" s="612" t="s">
        <v>992</v>
      </c>
      <c r="B16" s="150">
        <v>17.388999999999999</v>
      </c>
      <c r="C16" s="150">
        <v>0</v>
      </c>
      <c r="D16" s="150">
        <v>0</v>
      </c>
      <c r="E16" s="150">
        <v>0</v>
      </c>
      <c r="F16" s="150">
        <v>0</v>
      </c>
      <c r="G16" s="695">
        <v>17.388999999999999</v>
      </c>
      <c r="H16" s="150">
        <v>31.234000000000002</v>
      </c>
      <c r="I16" s="150">
        <v>0</v>
      </c>
      <c r="J16" s="150">
        <v>0</v>
      </c>
      <c r="K16" s="150">
        <v>0</v>
      </c>
      <c r="L16" s="150">
        <v>0</v>
      </c>
      <c r="M16" s="695">
        <v>31.234000000000002</v>
      </c>
      <c r="N16" s="371">
        <v>0.79619299557191348</v>
      </c>
      <c r="O16" s="612" t="s">
        <v>993</v>
      </c>
      <c r="P16" s="605" t="s">
        <v>994</v>
      </c>
    </row>
    <row r="17" spans="1:16" ht="56.65" customHeight="1">
      <c r="A17" s="612" t="s">
        <v>995</v>
      </c>
      <c r="B17" s="150">
        <v>15.013999999999999</v>
      </c>
      <c r="C17" s="150">
        <v>0</v>
      </c>
      <c r="D17" s="150">
        <v>0</v>
      </c>
      <c r="E17" s="150">
        <v>0</v>
      </c>
      <c r="F17" s="150">
        <v>0</v>
      </c>
      <c r="G17" s="695">
        <v>15.013999999999999</v>
      </c>
      <c r="H17" s="150">
        <v>15.013999999999999</v>
      </c>
      <c r="I17" s="150">
        <v>0</v>
      </c>
      <c r="J17" s="150">
        <v>0</v>
      </c>
      <c r="K17" s="150">
        <v>0</v>
      </c>
      <c r="L17" s="150">
        <v>0</v>
      </c>
      <c r="M17" s="695">
        <v>15.013999999999999</v>
      </c>
      <c r="N17" s="371">
        <v>0</v>
      </c>
      <c r="O17" s="612" t="s">
        <v>996</v>
      </c>
      <c r="P17" s="605" t="s">
        <v>47</v>
      </c>
    </row>
    <row r="18" spans="1:16" ht="16.149999999999999">
      <c r="A18" s="607" t="s">
        <v>997</v>
      </c>
      <c r="B18" s="168">
        <v>42.953000000000003</v>
      </c>
      <c r="C18" s="168">
        <v>9.5000000000000001E-2</v>
      </c>
      <c r="D18" s="168">
        <v>0</v>
      </c>
      <c r="E18" s="168">
        <v>0</v>
      </c>
      <c r="F18" s="168">
        <v>0</v>
      </c>
      <c r="G18" s="168">
        <v>43.048000000000002</v>
      </c>
      <c r="H18" s="168">
        <v>56.959999999999994</v>
      </c>
      <c r="I18" s="168">
        <v>5.6999999999999995E-2</v>
      </c>
      <c r="J18" s="168">
        <v>0</v>
      </c>
      <c r="K18" s="168">
        <v>0</v>
      </c>
      <c r="L18" s="168">
        <v>0</v>
      </c>
      <c r="M18" s="168">
        <v>57.016999999999996</v>
      </c>
      <c r="N18" s="371">
        <v>0.32449823452889781</v>
      </c>
      <c r="O18" s="696"/>
      <c r="P18" s="697"/>
    </row>
    <row r="19" spans="1:16" ht="16.149999999999999">
      <c r="A19" s="111"/>
      <c r="B19" s="700"/>
      <c r="C19" s="700"/>
      <c r="D19" s="700"/>
      <c r="E19" s="700"/>
      <c r="F19" s="700"/>
      <c r="G19" s="700"/>
      <c r="H19" s="700"/>
      <c r="I19" s="700"/>
      <c r="J19" s="700"/>
      <c r="K19" s="700"/>
      <c r="L19" s="700"/>
      <c r="M19" s="700"/>
      <c r="N19" s="371"/>
      <c r="O19" s="111"/>
      <c r="P19" s="111"/>
    </row>
    <row r="20" spans="1:16" ht="16.149999999999999">
      <c r="A20" s="653" t="s">
        <v>998</v>
      </c>
      <c r="B20" s="701">
        <v>46.153000000000006</v>
      </c>
      <c r="C20" s="701">
        <v>9.5000000000000001E-2</v>
      </c>
      <c r="D20" s="701">
        <v>0</v>
      </c>
      <c r="E20" s="701">
        <v>0</v>
      </c>
      <c r="F20" s="701">
        <v>0</v>
      </c>
      <c r="G20" s="701">
        <v>46.248000000000005</v>
      </c>
      <c r="H20" s="701">
        <v>59.809999999999995</v>
      </c>
      <c r="I20" s="701">
        <v>5.6999999999999995E-2</v>
      </c>
      <c r="J20" s="701">
        <v>0</v>
      </c>
      <c r="K20" s="701">
        <v>0</v>
      </c>
      <c r="L20" s="701">
        <v>0</v>
      </c>
      <c r="M20" s="701">
        <v>59.866999999999997</v>
      </c>
      <c r="N20" s="702">
        <v>0.29447759903130927</v>
      </c>
      <c r="O20" s="703"/>
      <c r="P20" s="704"/>
    </row>
    <row r="21" spans="1:16" ht="16.149999999999999">
      <c r="A21" s="686"/>
      <c r="B21" s="705"/>
      <c r="C21" s="705"/>
      <c r="D21" s="705"/>
      <c r="E21" s="705"/>
      <c r="F21" s="705"/>
      <c r="G21" s="705"/>
      <c r="H21" s="705"/>
      <c r="I21" s="705"/>
      <c r="J21" s="705"/>
      <c r="K21" s="705"/>
      <c r="L21" s="705"/>
      <c r="M21" s="705"/>
      <c r="N21" s="688"/>
      <c r="O21" s="689"/>
      <c r="P21" s="689"/>
    </row>
    <row r="22" spans="1:16" ht="16.149999999999999">
      <c r="A22" s="585" t="s">
        <v>999</v>
      </c>
      <c r="B22" s="213"/>
      <c r="C22" s="213"/>
      <c r="D22" s="213"/>
      <c r="E22" s="213"/>
      <c r="F22" s="213"/>
      <c r="G22" s="213"/>
      <c r="H22" s="213"/>
      <c r="I22" s="213"/>
      <c r="J22" s="213"/>
      <c r="K22" s="213"/>
      <c r="L22" s="213"/>
      <c r="M22" s="213"/>
      <c r="N22" s="706"/>
      <c r="O22" s="588"/>
      <c r="P22" s="588"/>
    </row>
    <row r="23" spans="1:16" ht="16.149999999999999">
      <c r="A23" s="689"/>
      <c r="B23" s="707"/>
      <c r="C23" s="707"/>
      <c r="D23" s="707"/>
      <c r="E23" s="707"/>
      <c r="F23" s="707"/>
      <c r="G23" s="707"/>
      <c r="H23" s="707"/>
      <c r="I23" s="707"/>
      <c r="J23" s="707"/>
      <c r="K23" s="707"/>
      <c r="L23" s="707"/>
      <c r="M23" s="707"/>
      <c r="N23" s="708"/>
      <c r="O23" s="689"/>
      <c r="P23" s="689"/>
    </row>
    <row r="24" spans="1:16" ht="16.149999999999999">
      <c r="A24" s="592" t="s">
        <v>1000</v>
      </c>
      <c r="B24" s="208"/>
      <c r="C24" s="208"/>
      <c r="D24" s="208"/>
      <c r="E24" s="208"/>
      <c r="F24" s="208"/>
      <c r="G24" s="208"/>
      <c r="H24" s="208"/>
      <c r="I24" s="208"/>
      <c r="J24" s="208"/>
      <c r="K24" s="208"/>
      <c r="L24" s="208"/>
      <c r="M24" s="208"/>
      <c r="N24" s="692"/>
      <c r="O24" s="693"/>
      <c r="P24" s="693"/>
    </row>
    <row r="25" spans="1:16" ht="73.5" customHeight="1">
      <c r="A25" s="709" t="s">
        <v>1000</v>
      </c>
      <c r="B25" s="150">
        <v>36.320999999999998</v>
      </c>
      <c r="C25" s="710">
        <v>0</v>
      </c>
      <c r="D25" s="710">
        <v>0</v>
      </c>
      <c r="E25" s="710">
        <v>0</v>
      </c>
      <c r="F25" s="710">
        <v>0</v>
      </c>
      <c r="G25" s="695">
        <v>36.320999999999998</v>
      </c>
      <c r="H25" s="694">
        <v>36.320999999999998</v>
      </c>
      <c r="I25" s="694">
        <v>0</v>
      </c>
      <c r="J25" s="694">
        <v>0</v>
      </c>
      <c r="K25" s="694">
        <v>0</v>
      </c>
      <c r="L25" s="694">
        <v>0</v>
      </c>
      <c r="M25" s="695">
        <v>36.320999999999998</v>
      </c>
      <c r="N25" s="371">
        <v>0</v>
      </c>
      <c r="O25" s="612" t="s">
        <v>1001</v>
      </c>
      <c r="P25" s="605" t="s">
        <v>47</v>
      </c>
    </row>
    <row r="26" spans="1:16" ht="16.149999999999999">
      <c r="A26" s="592" t="s">
        <v>1002</v>
      </c>
      <c r="B26" s="208">
        <v>36.320999999999998</v>
      </c>
      <c r="C26" s="208">
        <v>0</v>
      </c>
      <c r="D26" s="208">
        <v>0</v>
      </c>
      <c r="E26" s="208">
        <v>0</v>
      </c>
      <c r="F26" s="208">
        <v>0</v>
      </c>
      <c r="G26" s="208">
        <v>36.320999999999998</v>
      </c>
      <c r="H26" s="208">
        <v>36.320999999999998</v>
      </c>
      <c r="I26" s="208">
        <v>0</v>
      </c>
      <c r="J26" s="208">
        <v>0</v>
      </c>
      <c r="K26" s="208">
        <v>0</v>
      </c>
      <c r="L26" s="208">
        <v>0</v>
      </c>
      <c r="M26" s="208">
        <v>36.320999999999998</v>
      </c>
      <c r="N26" s="337">
        <v>0</v>
      </c>
      <c r="O26" s="693"/>
      <c r="P26" s="693"/>
    </row>
    <row r="27" spans="1:16" ht="16.149999999999999">
      <c r="A27" s="711"/>
      <c r="B27" s="712"/>
      <c r="C27" s="712"/>
      <c r="D27" s="712"/>
      <c r="E27" s="712"/>
      <c r="F27" s="712"/>
      <c r="G27" s="712"/>
      <c r="H27" s="712"/>
      <c r="I27" s="712"/>
      <c r="J27" s="712"/>
      <c r="K27" s="712"/>
      <c r="L27" s="712"/>
      <c r="M27" s="712"/>
      <c r="N27" s="713"/>
      <c r="O27" s="711"/>
      <c r="P27" s="714"/>
    </row>
    <row r="28" spans="1:16" ht="16.149999999999999">
      <c r="A28" s="592" t="s">
        <v>999</v>
      </c>
      <c r="B28" s="208"/>
      <c r="C28" s="208"/>
      <c r="D28" s="208"/>
      <c r="E28" s="208"/>
      <c r="F28" s="208"/>
      <c r="G28" s="208"/>
      <c r="H28" s="208"/>
      <c r="I28" s="208"/>
      <c r="J28" s="208"/>
      <c r="K28" s="208"/>
      <c r="L28" s="208"/>
      <c r="M28" s="208"/>
      <c r="N28" s="692"/>
      <c r="O28" s="693"/>
      <c r="P28" s="693"/>
    </row>
    <row r="29" spans="1:16" ht="67.5" customHeight="1">
      <c r="A29" s="715" t="s">
        <v>1003</v>
      </c>
      <c r="B29" s="694">
        <v>0.95</v>
      </c>
      <c r="C29" s="694">
        <v>0</v>
      </c>
      <c r="D29" s="694">
        <v>0</v>
      </c>
      <c r="E29" s="694">
        <v>0</v>
      </c>
      <c r="F29" s="694">
        <v>0</v>
      </c>
      <c r="G29" s="695">
        <v>0.95</v>
      </c>
      <c r="H29" s="694">
        <v>0.95</v>
      </c>
      <c r="I29" s="694">
        <v>0</v>
      </c>
      <c r="J29" s="694">
        <v>0</v>
      </c>
      <c r="K29" s="694">
        <v>0</v>
      </c>
      <c r="L29" s="694">
        <v>0</v>
      </c>
      <c r="M29" s="695">
        <v>0.95</v>
      </c>
      <c r="N29" s="371">
        <v>0</v>
      </c>
      <c r="O29" s="595" t="s">
        <v>1004</v>
      </c>
      <c r="P29" s="600" t="s">
        <v>47</v>
      </c>
    </row>
    <row r="30" spans="1:16" ht="54.6" customHeight="1">
      <c r="A30" s="256" t="s">
        <v>1005</v>
      </c>
      <c r="B30" s="150">
        <v>3.5</v>
      </c>
      <c r="C30" s="150">
        <v>0</v>
      </c>
      <c r="D30" s="150">
        <v>0</v>
      </c>
      <c r="E30" s="150">
        <v>0</v>
      </c>
      <c r="F30" s="150">
        <v>0</v>
      </c>
      <c r="G30" s="695">
        <v>3.5</v>
      </c>
      <c r="H30" s="694">
        <v>4.7</v>
      </c>
      <c r="I30" s="694">
        <v>0</v>
      </c>
      <c r="J30" s="694">
        <v>0</v>
      </c>
      <c r="K30" s="694">
        <v>0</v>
      </c>
      <c r="L30" s="694">
        <v>0</v>
      </c>
      <c r="M30" s="695">
        <v>4.7</v>
      </c>
      <c r="N30" s="371">
        <v>0.34285714285714292</v>
      </c>
      <c r="O30" s="612" t="s">
        <v>1006</v>
      </c>
      <c r="P30" s="605" t="s">
        <v>989</v>
      </c>
    </row>
    <row r="31" spans="1:16" ht="31.15" customHeight="1">
      <c r="A31" s="256" t="s">
        <v>1007</v>
      </c>
      <c r="B31" s="150">
        <v>0.1</v>
      </c>
      <c r="C31" s="150">
        <v>0</v>
      </c>
      <c r="D31" s="150">
        <v>0</v>
      </c>
      <c r="E31" s="150">
        <v>0</v>
      </c>
      <c r="F31" s="150">
        <v>0</v>
      </c>
      <c r="G31" s="695">
        <v>0.1</v>
      </c>
      <c r="H31" s="694">
        <v>0.10299999999999999</v>
      </c>
      <c r="I31" s="694">
        <v>0</v>
      </c>
      <c r="J31" s="694">
        <v>0</v>
      </c>
      <c r="K31" s="694">
        <v>0</v>
      </c>
      <c r="L31" s="694">
        <v>0</v>
      </c>
      <c r="M31" s="695">
        <v>0.10299999999999999</v>
      </c>
      <c r="N31" s="371">
        <v>2.9999999999999888E-2</v>
      </c>
      <c r="O31" s="612" t="s">
        <v>1008</v>
      </c>
      <c r="P31" s="605" t="s">
        <v>989</v>
      </c>
    </row>
    <row r="32" spans="1:16" ht="31.15" customHeight="1">
      <c r="A32" s="612" t="s">
        <v>1009</v>
      </c>
      <c r="B32" s="150">
        <v>-0.06</v>
      </c>
      <c r="C32" s="150">
        <v>0</v>
      </c>
      <c r="D32" s="150">
        <v>0</v>
      </c>
      <c r="E32" s="150">
        <v>0</v>
      </c>
      <c r="F32" s="150">
        <v>0</v>
      </c>
      <c r="G32" s="695">
        <v>-0.06</v>
      </c>
      <c r="H32" s="694">
        <v>-0.06</v>
      </c>
      <c r="I32" s="694">
        <v>0</v>
      </c>
      <c r="J32" s="694">
        <v>0</v>
      </c>
      <c r="K32" s="694">
        <v>0</v>
      </c>
      <c r="L32" s="694">
        <v>0</v>
      </c>
      <c r="M32" s="695">
        <v>-0.06</v>
      </c>
      <c r="N32" s="371">
        <v>0</v>
      </c>
      <c r="O32" s="612" t="s">
        <v>1010</v>
      </c>
      <c r="P32" s="605" t="s">
        <v>65</v>
      </c>
    </row>
    <row r="33" spans="1:16" ht="16.149999999999999">
      <c r="A33" s="607" t="s">
        <v>1011</v>
      </c>
      <c r="B33" s="168">
        <v>4.49</v>
      </c>
      <c r="C33" s="168">
        <v>0</v>
      </c>
      <c r="D33" s="168">
        <v>0</v>
      </c>
      <c r="E33" s="168">
        <v>0</v>
      </c>
      <c r="F33" s="168">
        <v>0</v>
      </c>
      <c r="G33" s="168">
        <v>4.49</v>
      </c>
      <c r="H33" s="168">
        <v>5.6930000000000005</v>
      </c>
      <c r="I33" s="168">
        <v>0</v>
      </c>
      <c r="J33" s="168">
        <v>0</v>
      </c>
      <c r="K33" s="168">
        <v>0</v>
      </c>
      <c r="L33" s="168">
        <v>0</v>
      </c>
      <c r="M33" s="168">
        <v>5.6930000000000005</v>
      </c>
      <c r="N33" s="337">
        <v>0.26792873051224947</v>
      </c>
      <c r="O33" s="696"/>
      <c r="P33" s="716"/>
    </row>
    <row r="34" spans="1:16" ht="16.149999999999999">
      <c r="A34" s="653" t="s">
        <v>1012</v>
      </c>
      <c r="B34" s="701">
        <v>40.811</v>
      </c>
      <c r="C34" s="701">
        <v>0</v>
      </c>
      <c r="D34" s="701">
        <v>0</v>
      </c>
      <c r="E34" s="701">
        <v>0</v>
      </c>
      <c r="F34" s="701">
        <v>0</v>
      </c>
      <c r="G34" s="701">
        <v>40.811</v>
      </c>
      <c r="H34" s="701">
        <v>42.013999999999996</v>
      </c>
      <c r="I34" s="701">
        <v>0</v>
      </c>
      <c r="J34" s="701">
        <v>0</v>
      </c>
      <c r="K34" s="701">
        <v>0</v>
      </c>
      <c r="L34" s="701">
        <v>0</v>
      </c>
      <c r="M34" s="701">
        <v>42.013999999999996</v>
      </c>
      <c r="N34" s="702">
        <v>2.9477346793756482E-2</v>
      </c>
      <c r="O34" s="717"/>
      <c r="P34" s="704"/>
    </row>
    <row r="35" spans="1:16" ht="16.149999999999999">
      <c r="A35" s="689"/>
      <c r="B35" s="707"/>
      <c r="C35" s="707"/>
      <c r="D35" s="707"/>
      <c r="E35" s="707"/>
      <c r="F35" s="707"/>
      <c r="G35" s="707"/>
      <c r="H35" s="707"/>
      <c r="I35" s="707"/>
      <c r="J35" s="707"/>
      <c r="K35" s="707"/>
      <c r="L35" s="707"/>
      <c r="M35" s="707"/>
      <c r="N35" s="718"/>
      <c r="O35" s="689"/>
      <c r="P35" s="689"/>
    </row>
    <row r="36" spans="1:16" ht="16.149999999999999">
      <c r="A36" s="585" t="s">
        <v>1013</v>
      </c>
      <c r="B36" s="213"/>
      <c r="C36" s="213"/>
      <c r="D36" s="213"/>
      <c r="E36" s="213"/>
      <c r="F36" s="213"/>
      <c r="G36" s="213"/>
      <c r="H36" s="213"/>
      <c r="I36" s="213"/>
      <c r="J36" s="213"/>
      <c r="K36" s="213"/>
      <c r="L36" s="213"/>
      <c r="M36" s="213"/>
      <c r="N36" s="706"/>
      <c r="O36" s="588"/>
      <c r="P36" s="588"/>
    </row>
    <row r="37" spans="1:16" ht="33" customHeight="1">
      <c r="A37" s="709" t="s">
        <v>1014</v>
      </c>
      <c r="B37" s="150">
        <v>13.826000000000001</v>
      </c>
      <c r="C37" s="710">
        <v>0</v>
      </c>
      <c r="D37" s="710">
        <v>0</v>
      </c>
      <c r="E37" s="710">
        <v>0</v>
      </c>
      <c r="F37" s="710">
        <v>0</v>
      </c>
      <c r="G37" s="695">
        <v>13.826000000000001</v>
      </c>
      <c r="H37" s="694">
        <v>16.826000000000001</v>
      </c>
      <c r="I37" s="694">
        <v>0</v>
      </c>
      <c r="J37" s="694">
        <v>0</v>
      </c>
      <c r="K37" s="694">
        <v>0</v>
      </c>
      <c r="L37" s="694">
        <v>0</v>
      </c>
      <c r="M37" s="695">
        <v>16.826000000000001</v>
      </c>
      <c r="N37" s="371">
        <v>0.21698249674526254</v>
      </c>
      <c r="O37" s="612" t="s">
        <v>1015</v>
      </c>
      <c r="P37" s="605" t="s">
        <v>1016</v>
      </c>
    </row>
    <row r="38" spans="1:16" ht="44.1" customHeight="1">
      <c r="A38" s="709" t="s">
        <v>1017</v>
      </c>
      <c r="B38" s="150">
        <v>1.819</v>
      </c>
      <c r="C38" s="710">
        <v>0</v>
      </c>
      <c r="D38" s="710">
        <v>0</v>
      </c>
      <c r="E38" s="710">
        <v>0</v>
      </c>
      <c r="F38" s="710">
        <v>0</v>
      </c>
      <c r="G38" s="695">
        <v>1.819</v>
      </c>
      <c r="H38" s="694">
        <v>1.819</v>
      </c>
      <c r="I38" s="694">
        <v>0</v>
      </c>
      <c r="J38" s="694">
        <v>0</v>
      </c>
      <c r="K38" s="694">
        <v>0</v>
      </c>
      <c r="L38" s="694">
        <v>0</v>
      </c>
      <c r="M38" s="695">
        <v>1.819</v>
      </c>
      <c r="N38" s="371">
        <v>0</v>
      </c>
      <c r="O38" s="612" t="s">
        <v>1018</v>
      </c>
      <c r="P38" s="605" t="s">
        <v>47</v>
      </c>
    </row>
    <row r="39" spans="1:16" ht="32.450000000000003">
      <c r="A39" s="653" t="s">
        <v>1019</v>
      </c>
      <c r="B39" s="701">
        <v>15.645</v>
      </c>
      <c r="C39" s="701">
        <v>0</v>
      </c>
      <c r="D39" s="701">
        <v>0</v>
      </c>
      <c r="E39" s="701">
        <v>0</v>
      </c>
      <c r="F39" s="701">
        <v>0</v>
      </c>
      <c r="G39" s="701">
        <v>15.645</v>
      </c>
      <c r="H39" s="701">
        <v>18.645</v>
      </c>
      <c r="I39" s="701">
        <v>0</v>
      </c>
      <c r="J39" s="701">
        <v>0</v>
      </c>
      <c r="K39" s="701">
        <v>0</v>
      </c>
      <c r="L39" s="701">
        <v>0</v>
      </c>
      <c r="M39" s="701">
        <v>18.645</v>
      </c>
      <c r="N39" s="702">
        <v>0.19175455417066156</v>
      </c>
      <c r="O39" s="703"/>
      <c r="P39" s="704"/>
    </row>
    <row r="40" spans="1:16" ht="16.149999999999999">
      <c r="A40" s="689"/>
      <c r="B40" s="705"/>
      <c r="C40" s="705"/>
      <c r="D40" s="705"/>
      <c r="E40" s="705"/>
      <c r="F40" s="705"/>
      <c r="G40" s="705"/>
      <c r="H40" s="705"/>
      <c r="I40" s="705"/>
      <c r="J40" s="705"/>
      <c r="K40" s="705"/>
      <c r="L40" s="705"/>
      <c r="M40" s="705"/>
      <c r="N40" s="688"/>
      <c r="O40" s="689"/>
      <c r="P40" s="689"/>
    </row>
    <row r="41" spans="1:16" ht="16.149999999999999">
      <c r="A41" s="585" t="s">
        <v>1020</v>
      </c>
      <c r="B41" s="213"/>
      <c r="C41" s="213"/>
      <c r="D41" s="213"/>
      <c r="E41" s="213"/>
      <c r="F41" s="213"/>
      <c r="G41" s="213"/>
      <c r="H41" s="213"/>
      <c r="I41" s="213"/>
      <c r="J41" s="213"/>
      <c r="K41" s="213"/>
      <c r="L41" s="213"/>
      <c r="M41" s="213"/>
      <c r="N41" s="706"/>
      <c r="O41" s="588"/>
      <c r="P41" s="588"/>
    </row>
    <row r="42" spans="1:16" ht="16.149999999999999">
      <c r="A42" s="689"/>
      <c r="B42" s="719"/>
      <c r="C42" s="719"/>
      <c r="D42" s="719"/>
      <c r="E42" s="719"/>
      <c r="F42" s="719"/>
      <c r="G42" s="719"/>
      <c r="H42" s="719"/>
      <c r="I42" s="719"/>
      <c r="J42" s="719"/>
      <c r="K42" s="719"/>
      <c r="L42" s="719"/>
      <c r="M42" s="719"/>
      <c r="N42" s="720"/>
      <c r="O42" s="689"/>
      <c r="P42" s="689"/>
    </row>
    <row r="43" spans="1:16" ht="87.6" customHeight="1">
      <c r="A43" s="721" t="s">
        <v>1021</v>
      </c>
      <c r="B43" s="694">
        <v>13.964</v>
      </c>
      <c r="C43" s="722">
        <v>0.7</v>
      </c>
      <c r="D43" s="722">
        <v>0.35599999999999998</v>
      </c>
      <c r="E43" s="722">
        <v>0</v>
      </c>
      <c r="F43" s="722">
        <v>0</v>
      </c>
      <c r="G43" s="695">
        <v>15.02</v>
      </c>
      <c r="H43" s="694">
        <v>14.353999999999999</v>
      </c>
      <c r="I43" s="694">
        <v>0.75000000000000011</v>
      </c>
      <c r="J43" s="694">
        <v>0.1</v>
      </c>
      <c r="K43" s="694">
        <v>0</v>
      </c>
      <c r="L43" s="694">
        <v>0</v>
      </c>
      <c r="M43" s="695">
        <v>15.203999999999999</v>
      </c>
      <c r="N43" s="371">
        <v>1.2250332889480645E-2</v>
      </c>
      <c r="O43" s="711" t="s">
        <v>1022</v>
      </c>
      <c r="P43" s="714" t="s">
        <v>989</v>
      </c>
    </row>
    <row r="44" spans="1:16" ht="70.5" customHeight="1">
      <c r="A44" s="721" t="s">
        <v>1023</v>
      </c>
      <c r="B44" s="150">
        <v>141.30000000000001</v>
      </c>
      <c r="C44" s="723">
        <v>0</v>
      </c>
      <c r="D44" s="723">
        <v>0</v>
      </c>
      <c r="E44" s="723">
        <v>0</v>
      </c>
      <c r="F44" s="723">
        <v>0</v>
      </c>
      <c r="G44" s="695">
        <v>141.30000000000001</v>
      </c>
      <c r="H44" s="694">
        <v>141.30000000000001</v>
      </c>
      <c r="I44" s="694">
        <v>0</v>
      </c>
      <c r="J44" s="694">
        <v>0</v>
      </c>
      <c r="K44" s="694">
        <v>0</v>
      </c>
      <c r="L44" s="694">
        <v>0</v>
      </c>
      <c r="M44" s="695">
        <v>141.30000000000001</v>
      </c>
      <c r="N44" s="371">
        <v>0</v>
      </c>
      <c r="O44" s="711" t="s">
        <v>1024</v>
      </c>
      <c r="P44" s="714" t="s">
        <v>65</v>
      </c>
    </row>
    <row r="45" spans="1:16" ht="16.149999999999999">
      <c r="A45" s="686"/>
      <c r="B45" s="705"/>
      <c r="C45" s="705"/>
      <c r="D45" s="705"/>
      <c r="E45" s="705"/>
      <c r="F45" s="705"/>
      <c r="G45" s="705"/>
      <c r="H45" s="705"/>
      <c r="I45" s="705"/>
      <c r="J45" s="705"/>
      <c r="K45" s="705"/>
      <c r="L45" s="705"/>
      <c r="M45" s="705"/>
      <c r="N45" s="688"/>
      <c r="O45" s="689"/>
      <c r="P45" s="689"/>
    </row>
    <row r="46" spans="1:16" ht="16.149999999999999">
      <c r="A46" s="653" t="s">
        <v>1025</v>
      </c>
      <c r="B46" s="701">
        <v>155.26400000000001</v>
      </c>
      <c r="C46" s="701">
        <v>0.7</v>
      </c>
      <c r="D46" s="701">
        <v>0.35599999999999998</v>
      </c>
      <c r="E46" s="701">
        <v>0</v>
      </c>
      <c r="F46" s="701">
        <v>0</v>
      </c>
      <c r="G46" s="701">
        <v>156.32000000000002</v>
      </c>
      <c r="H46" s="701">
        <v>155.654</v>
      </c>
      <c r="I46" s="701">
        <v>0.75000000000000011</v>
      </c>
      <c r="J46" s="701">
        <v>0.1</v>
      </c>
      <c r="K46" s="701">
        <v>0</v>
      </c>
      <c r="L46" s="701">
        <v>0</v>
      </c>
      <c r="M46" s="701">
        <v>156.50400000000002</v>
      </c>
      <c r="N46" s="702">
        <v>1.1770726714431772E-3</v>
      </c>
      <c r="O46" s="703"/>
      <c r="P46" s="704"/>
    </row>
    <row r="47" spans="1:16" ht="16.149999999999999">
      <c r="A47" s="689"/>
      <c r="B47" s="705"/>
      <c r="C47" s="705"/>
      <c r="D47" s="705"/>
      <c r="E47" s="705"/>
      <c r="F47" s="705"/>
      <c r="G47" s="705"/>
      <c r="H47" s="705"/>
      <c r="I47" s="705"/>
      <c r="J47" s="705"/>
      <c r="K47" s="705"/>
      <c r="L47" s="705"/>
      <c r="M47" s="705"/>
      <c r="N47" s="688"/>
      <c r="O47" s="689"/>
      <c r="P47" s="689"/>
    </row>
    <row r="48" spans="1:16" ht="16.149999999999999">
      <c r="A48" s="585" t="s">
        <v>1026</v>
      </c>
      <c r="B48" s="213"/>
      <c r="C48" s="213"/>
      <c r="D48" s="213"/>
      <c r="E48" s="213"/>
      <c r="F48" s="213"/>
      <c r="G48" s="213"/>
      <c r="H48" s="213"/>
      <c r="I48" s="213"/>
      <c r="J48" s="213"/>
      <c r="K48" s="213"/>
      <c r="L48" s="213"/>
      <c r="M48" s="213"/>
      <c r="N48" s="706"/>
      <c r="O48" s="588"/>
      <c r="P48" s="588"/>
    </row>
    <row r="49" spans="1:16" ht="16.149999999999999">
      <c r="A49" s="689"/>
      <c r="B49" s="705"/>
      <c r="C49" s="705"/>
      <c r="D49" s="705"/>
      <c r="E49" s="705"/>
      <c r="F49" s="705"/>
      <c r="G49" s="705"/>
      <c r="H49" s="705"/>
      <c r="I49" s="705"/>
      <c r="J49" s="705"/>
      <c r="K49" s="705"/>
      <c r="L49" s="705"/>
      <c r="M49" s="705"/>
      <c r="N49" s="688"/>
      <c r="O49" s="689"/>
      <c r="P49" s="689"/>
    </row>
    <row r="50" spans="1:16" ht="32.450000000000003">
      <c r="A50" s="592" t="s">
        <v>1027</v>
      </c>
      <c r="B50" s="208"/>
      <c r="C50" s="208"/>
      <c r="D50" s="208"/>
      <c r="E50" s="208"/>
      <c r="F50" s="208"/>
      <c r="G50" s="208"/>
      <c r="H50" s="208"/>
      <c r="I50" s="208"/>
      <c r="J50" s="208"/>
      <c r="K50" s="208"/>
      <c r="L50" s="208"/>
      <c r="M50" s="208"/>
      <c r="N50" s="692"/>
      <c r="O50" s="693"/>
      <c r="P50" s="724"/>
    </row>
    <row r="51" spans="1:16" ht="59.1" customHeight="1">
      <c r="A51" s="612" t="s">
        <v>1028</v>
      </c>
      <c r="B51" s="150">
        <v>61.777999999999999</v>
      </c>
      <c r="C51" s="712">
        <v>0.255</v>
      </c>
      <c r="D51" s="712">
        <v>9</v>
      </c>
      <c r="E51" s="712">
        <v>0</v>
      </c>
      <c r="F51" s="712">
        <v>0</v>
      </c>
      <c r="G51" s="695">
        <v>71.033000000000001</v>
      </c>
      <c r="H51" s="694">
        <v>50.972999999999999</v>
      </c>
      <c r="I51" s="694">
        <v>0.255</v>
      </c>
      <c r="J51" s="694">
        <v>11.3</v>
      </c>
      <c r="K51" s="694">
        <v>0</v>
      </c>
      <c r="L51" s="694">
        <v>0</v>
      </c>
      <c r="M51" s="695">
        <v>62.528000000000006</v>
      </c>
      <c r="N51" s="371">
        <v>-0.11973308180704736</v>
      </c>
      <c r="O51" s="711" t="s">
        <v>1029</v>
      </c>
      <c r="P51" s="714" t="s">
        <v>1030</v>
      </c>
    </row>
    <row r="52" spans="1:16" ht="32.450000000000003">
      <c r="A52" s="607" t="s">
        <v>1031</v>
      </c>
      <c r="B52" s="168">
        <v>61.777999999999999</v>
      </c>
      <c r="C52" s="168">
        <v>0.255</v>
      </c>
      <c r="D52" s="168">
        <v>9</v>
      </c>
      <c r="E52" s="168">
        <v>0</v>
      </c>
      <c r="F52" s="168">
        <v>0</v>
      </c>
      <c r="G52" s="168">
        <v>71.033000000000001</v>
      </c>
      <c r="H52" s="168">
        <v>50.972999999999999</v>
      </c>
      <c r="I52" s="168">
        <v>0.255</v>
      </c>
      <c r="J52" s="168">
        <v>11.3</v>
      </c>
      <c r="K52" s="168">
        <v>0</v>
      </c>
      <c r="L52" s="168">
        <v>0</v>
      </c>
      <c r="M52" s="168">
        <v>62.528000000000006</v>
      </c>
      <c r="N52" s="337">
        <v>-0.11973308180704736</v>
      </c>
      <c r="O52" s="696"/>
      <c r="P52" s="716"/>
    </row>
    <row r="53" spans="1:16" ht="16.149999999999999">
      <c r="A53" s="686"/>
      <c r="B53" s="705"/>
      <c r="C53" s="705"/>
      <c r="D53" s="705"/>
      <c r="E53" s="705"/>
      <c r="F53" s="705"/>
      <c r="G53" s="705"/>
      <c r="H53" s="705"/>
      <c r="I53" s="705"/>
      <c r="J53" s="705"/>
      <c r="K53" s="705"/>
      <c r="L53" s="705"/>
      <c r="M53" s="705"/>
      <c r="N53" s="688"/>
      <c r="O53" s="689"/>
      <c r="P53" s="689"/>
    </row>
    <row r="54" spans="1:16" ht="32.450000000000003">
      <c r="A54" s="592" t="s">
        <v>1032</v>
      </c>
      <c r="B54" s="208"/>
      <c r="C54" s="208"/>
      <c r="D54" s="208"/>
      <c r="E54" s="208"/>
      <c r="F54" s="208"/>
      <c r="G54" s="208"/>
      <c r="H54" s="208"/>
      <c r="I54" s="208"/>
      <c r="J54" s="208"/>
      <c r="K54" s="208"/>
      <c r="L54" s="208"/>
      <c r="M54" s="208"/>
      <c r="N54" s="692"/>
      <c r="O54" s="693"/>
      <c r="P54" s="724"/>
    </row>
    <row r="55" spans="1:16" ht="32.450000000000003">
      <c r="A55" s="725" t="s">
        <v>1032</v>
      </c>
      <c r="B55" s="694">
        <v>6.1929999999999996</v>
      </c>
      <c r="C55" s="726">
        <v>0.14299999999999999</v>
      </c>
      <c r="D55" s="726">
        <v>1.6180000000000001</v>
      </c>
      <c r="E55" s="726">
        <v>0</v>
      </c>
      <c r="F55" s="726">
        <v>1.7999999999999999E-2</v>
      </c>
      <c r="G55" s="695">
        <v>7.9719999999999995</v>
      </c>
      <c r="H55" s="694">
        <v>7.1159999999999997</v>
      </c>
      <c r="I55" s="694">
        <v>0.151</v>
      </c>
      <c r="J55" s="694">
        <v>1.456</v>
      </c>
      <c r="K55" s="694">
        <v>0</v>
      </c>
      <c r="L55" s="694">
        <v>0</v>
      </c>
      <c r="M55" s="695">
        <v>8.722999999999999</v>
      </c>
      <c r="N55" s="371">
        <v>9.4204716507777161E-2</v>
      </c>
      <c r="O55" s="595" t="s">
        <v>1033</v>
      </c>
      <c r="P55" s="600" t="s">
        <v>989</v>
      </c>
    </row>
    <row r="56" spans="1:16" ht="32.450000000000003">
      <c r="A56" s="607" t="s">
        <v>1034</v>
      </c>
      <c r="B56" s="168">
        <v>6.1929999999999996</v>
      </c>
      <c r="C56" s="168">
        <v>0.14299999999999999</v>
      </c>
      <c r="D56" s="168">
        <v>1.6180000000000001</v>
      </c>
      <c r="E56" s="168">
        <v>0</v>
      </c>
      <c r="F56" s="168">
        <v>1.7999999999999999E-2</v>
      </c>
      <c r="G56" s="168">
        <v>7.9719999999999995</v>
      </c>
      <c r="H56" s="168">
        <v>7.1159999999999997</v>
      </c>
      <c r="I56" s="168">
        <v>0.151</v>
      </c>
      <c r="J56" s="168">
        <v>1.456</v>
      </c>
      <c r="K56" s="168">
        <v>0</v>
      </c>
      <c r="L56" s="168">
        <v>0</v>
      </c>
      <c r="M56" s="168">
        <v>8.722999999999999</v>
      </c>
      <c r="N56" s="337">
        <v>9.4204716507777161E-2</v>
      </c>
      <c r="O56" s="696"/>
      <c r="P56" s="716"/>
    </row>
    <row r="57" spans="1:16" ht="16.149999999999999">
      <c r="A57" s="686"/>
      <c r="B57" s="705"/>
      <c r="C57" s="705"/>
      <c r="D57" s="705"/>
      <c r="E57" s="705"/>
      <c r="F57" s="705"/>
      <c r="G57" s="705"/>
      <c r="H57" s="705"/>
      <c r="I57" s="705"/>
      <c r="J57" s="705"/>
      <c r="K57" s="705"/>
      <c r="L57" s="705"/>
      <c r="M57" s="705"/>
      <c r="N57" s="718"/>
      <c r="O57" s="727"/>
      <c r="P57" s="689"/>
    </row>
    <row r="58" spans="1:16" ht="16.149999999999999">
      <c r="A58" s="592" t="s">
        <v>1035</v>
      </c>
      <c r="B58" s="208"/>
      <c r="C58" s="208"/>
      <c r="D58" s="208"/>
      <c r="E58" s="208"/>
      <c r="F58" s="208"/>
      <c r="G58" s="208"/>
      <c r="H58" s="208"/>
      <c r="I58" s="208"/>
      <c r="J58" s="208"/>
      <c r="K58" s="208"/>
      <c r="L58" s="208"/>
      <c r="M58" s="208"/>
      <c r="N58" s="692"/>
      <c r="O58" s="693"/>
      <c r="P58" s="724"/>
    </row>
    <row r="59" spans="1:16" ht="32.450000000000003">
      <c r="A59" s="725" t="s">
        <v>1036</v>
      </c>
      <c r="B59" s="694">
        <v>-2.0910000000000002</v>
      </c>
      <c r="C59" s="726">
        <v>2.5</v>
      </c>
      <c r="D59" s="726">
        <v>1</v>
      </c>
      <c r="E59" s="726">
        <v>0</v>
      </c>
      <c r="F59" s="726">
        <v>0</v>
      </c>
      <c r="G59" s="695">
        <v>1.4089999999999998</v>
      </c>
      <c r="H59" s="694">
        <v>-2.0910000000000002</v>
      </c>
      <c r="I59" s="694">
        <v>2.6</v>
      </c>
      <c r="J59" s="694">
        <v>1</v>
      </c>
      <c r="K59" s="694">
        <v>0</v>
      </c>
      <c r="L59" s="694">
        <v>0</v>
      </c>
      <c r="M59" s="695">
        <v>1.5089999999999999</v>
      </c>
      <c r="N59" s="371">
        <v>7.0972320794890062E-2</v>
      </c>
      <c r="O59" s="595" t="s">
        <v>1037</v>
      </c>
      <c r="P59" s="600" t="s">
        <v>1038</v>
      </c>
    </row>
    <row r="60" spans="1:16" ht="16.149999999999999">
      <c r="A60" s="607" t="s">
        <v>1039</v>
      </c>
      <c r="B60" s="168">
        <v>-2.0910000000000002</v>
      </c>
      <c r="C60" s="168">
        <v>2.5</v>
      </c>
      <c r="D60" s="168">
        <v>1</v>
      </c>
      <c r="E60" s="168">
        <v>0</v>
      </c>
      <c r="F60" s="168">
        <v>0</v>
      </c>
      <c r="G60" s="168">
        <v>1.4089999999999998</v>
      </c>
      <c r="H60" s="168">
        <v>-2.0910000000000002</v>
      </c>
      <c r="I60" s="168">
        <v>2.6</v>
      </c>
      <c r="J60" s="168">
        <v>1</v>
      </c>
      <c r="K60" s="168">
        <v>0</v>
      </c>
      <c r="L60" s="168">
        <v>0</v>
      </c>
      <c r="M60" s="168">
        <v>1.5089999999999999</v>
      </c>
      <c r="N60" s="337">
        <v>7.0972320794890062E-2</v>
      </c>
      <c r="O60" s="696"/>
      <c r="P60" s="716"/>
    </row>
    <row r="61" spans="1:16" ht="32.450000000000003">
      <c r="A61" s="653" t="s">
        <v>1040</v>
      </c>
      <c r="B61" s="701">
        <v>65.88</v>
      </c>
      <c r="C61" s="701">
        <v>2.8979999999999997</v>
      </c>
      <c r="D61" s="701">
        <v>11.618</v>
      </c>
      <c r="E61" s="701">
        <v>0</v>
      </c>
      <c r="F61" s="701">
        <v>1.7999999999999999E-2</v>
      </c>
      <c r="G61" s="701">
        <v>80.414000000000001</v>
      </c>
      <c r="H61" s="701">
        <v>55.997999999999998</v>
      </c>
      <c r="I61" s="701">
        <v>3.0059999999999998</v>
      </c>
      <c r="J61" s="701">
        <v>13.756</v>
      </c>
      <c r="K61" s="701">
        <v>0</v>
      </c>
      <c r="L61" s="701">
        <v>0</v>
      </c>
      <c r="M61" s="701">
        <v>72.760000000000005</v>
      </c>
      <c r="N61" s="702">
        <v>-9.5182430919989014E-2</v>
      </c>
      <c r="O61" s="703"/>
      <c r="P61" s="704"/>
    </row>
    <row r="62" spans="1:16" ht="16.149999999999999">
      <c r="A62" s="689"/>
      <c r="B62" s="705"/>
      <c r="C62" s="705"/>
      <c r="D62" s="705"/>
      <c r="E62" s="705"/>
      <c r="F62" s="705"/>
      <c r="G62" s="705"/>
      <c r="H62" s="705"/>
      <c r="I62" s="705"/>
      <c r="J62" s="705"/>
      <c r="K62" s="705"/>
      <c r="L62" s="705"/>
      <c r="M62" s="705"/>
      <c r="N62" s="688"/>
      <c r="O62" s="689"/>
      <c r="P62" s="689"/>
    </row>
    <row r="63" spans="1:16" ht="32.450000000000003">
      <c r="A63" s="728" t="s">
        <v>1041</v>
      </c>
      <c r="B63" s="729"/>
      <c r="C63" s="729"/>
      <c r="D63" s="729"/>
      <c r="E63" s="729"/>
      <c r="F63" s="729"/>
      <c r="G63" s="729"/>
      <c r="H63" s="729"/>
      <c r="I63" s="729"/>
      <c r="J63" s="729"/>
      <c r="K63" s="729"/>
      <c r="L63" s="729"/>
      <c r="M63" s="729"/>
      <c r="N63" s="730"/>
      <c r="O63" s="731"/>
      <c r="P63" s="732"/>
    </row>
    <row r="64" spans="1:16" ht="16.149999999999999">
      <c r="A64" s="689"/>
      <c r="B64" s="705"/>
      <c r="C64" s="705"/>
      <c r="D64" s="705"/>
      <c r="E64" s="705"/>
      <c r="F64" s="705"/>
      <c r="G64" s="705"/>
      <c r="H64" s="719"/>
      <c r="I64" s="719"/>
      <c r="J64" s="719"/>
      <c r="K64" s="719"/>
      <c r="L64" s="719"/>
      <c r="M64" s="719"/>
      <c r="N64" s="720"/>
      <c r="O64" s="689"/>
      <c r="P64" s="689"/>
    </row>
    <row r="65" spans="1:16" ht="53.65" customHeight="1">
      <c r="A65" s="733" t="s">
        <v>1042</v>
      </c>
      <c r="B65" s="150">
        <v>7.7389999999999999</v>
      </c>
      <c r="C65" s="723">
        <v>0</v>
      </c>
      <c r="D65" s="723">
        <v>0</v>
      </c>
      <c r="E65" s="723">
        <v>0</v>
      </c>
      <c r="F65" s="723">
        <v>0</v>
      </c>
      <c r="G65" s="734">
        <v>7.7389999999999999</v>
      </c>
      <c r="H65" s="694">
        <v>6.5819999999999999</v>
      </c>
      <c r="I65" s="694">
        <v>0</v>
      </c>
      <c r="J65" s="694">
        <v>0</v>
      </c>
      <c r="K65" s="694">
        <v>0</v>
      </c>
      <c r="L65" s="694">
        <v>0</v>
      </c>
      <c r="M65" s="695">
        <v>6.5819999999999999</v>
      </c>
      <c r="N65" s="371">
        <v>-0.1495025197053883</v>
      </c>
      <c r="O65" s="711" t="s">
        <v>1043</v>
      </c>
      <c r="P65" s="605" t="s">
        <v>980</v>
      </c>
    </row>
    <row r="66" spans="1:16" ht="16.149999999999999">
      <c r="A66" s="689"/>
      <c r="B66" s="705"/>
      <c r="C66" s="705"/>
      <c r="D66" s="705"/>
      <c r="E66" s="705"/>
      <c r="F66" s="705"/>
      <c r="G66" s="705"/>
      <c r="H66" s="705"/>
      <c r="I66" s="705"/>
      <c r="J66" s="705"/>
      <c r="K66" s="705"/>
      <c r="L66" s="705"/>
      <c r="M66" s="705"/>
      <c r="N66" s="688"/>
      <c r="O66" s="689"/>
      <c r="P66" s="689"/>
    </row>
    <row r="67" spans="1:16" ht="32.450000000000003">
      <c r="A67" s="653" t="s">
        <v>1044</v>
      </c>
      <c r="B67" s="701">
        <v>7.7389999999999999</v>
      </c>
      <c r="C67" s="701">
        <v>0</v>
      </c>
      <c r="D67" s="701">
        <v>0</v>
      </c>
      <c r="E67" s="701">
        <v>0</v>
      </c>
      <c r="F67" s="701">
        <v>0</v>
      </c>
      <c r="G67" s="701">
        <v>7.7389999999999999</v>
      </c>
      <c r="H67" s="701">
        <v>6.5819999999999999</v>
      </c>
      <c r="I67" s="701">
        <v>0</v>
      </c>
      <c r="J67" s="701">
        <v>0</v>
      </c>
      <c r="K67" s="701">
        <v>0</v>
      </c>
      <c r="L67" s="701">
        <v>0</v>
      </c>
      <c r="M67" s="701">
        <v>6.5819999999999999</v>
      </c>
      <c r="N67" s="702">
        <v>-0.1495025197053883</v>
      </c>
      <c r="O67" s="735"/>
      <c r="P67" s="704"/>
    </row>
    <row r="68" spans="1:16" ht="16.149999999999999">
      <c r="A68" s="689"/>
      <c r="B68" s="705"/>
      <c r="C68" s="705"/>
      <c r="D68" s="705"/>
      <c r="E68" s="705"/>
      <c r="F68" s="705"/>
      <c r="G68" s="705"/>
      <c r="H68" s="705"/>
      <c r="I68" s="705"/>
      <c r="J68" s="705"/>
      <c r="K68" s="705"/>
      <c r="L68" s="705"/>
      <c r="M68" s="705"/>
      <c r="N68" s="688"/>
      <c r="O68" s="689"/>
      <c r="P68" s="689"/>
    </row>
    <row r="69" spans="1:16" ht="16.149999999999999">
      <c r="A69" s="585" t="s">
        <v>1045</v>
      </c>
      <c r="B69" s="213"/>
      <c r="C69" s="213"/>
      <c r="D69" s="213"/>
      <c r="E69" s="213"/>
      <c r="F69" s="213"/>
      <c r="G69" s="213"/>
      <c r="H69" s="213"/>
      <c r="I69" s="213"/>
      <c r="J69" s="213"/>
      <c r="K69" s="213"/>
      <c r="L69" s="213"/>
      <c r="M69" s="213"/>
      <c r="N69" s="706"/>
      <c r="O69" s="588"/>
      <c r="P69" s="588"/>
    </row>
    <row r="70" spans="1:16" ht="16.149999999999999">
      <c r="A70" s="689"/>
      <c r="B70" s="705"/>
      <c r="C70" s="705"/>
      <c r="D70" s="705"/>
      <c r="E70" s="705"/>
      <c r="F70" s="705"/>
      <c r="G70" s="705"/>
      <c r="H70" s="719"/>
      <c r="I70" s="719"/>
      <c r="J70" s="719"/>
      <c r="K70" s="719"/>
      <c r="L70" s="719"/>
      <c r="M70" s="719"/>
      <c r="N70" s="720"/>
      <c r="O70" s="689"/>
      <c r="P70" s="689"/>
    </row>
    <row r="71" spans="1:16" ht="32.450000000000003">
      <c r="A71" s="733" t="s">
        <v>1046</v>
      </c>
      <c r="B71" s="150">
        <v>291.39999999999998</v>
      </c>
      <c r="C71" s="723">
        <v>0</v>
      </c>
      <c r="D71" s="723">
        <v>0</v>
      </c>
      <c r="E71" s="723">
        <v>0</v>
      </c>
      <c r="F71" s="723">
        <v>0</v>
      </c>
      <c r="G71" s="734">
        <v>291.39999999999998</v>
      </c>
      <c r="H71" s="694">
        <v>481.4</v>
      </c>
      <c r="I71" s="694">
        <v>0</v>
      </c>
      <c r="J71" s="694">
        <v>0</v>
      </c>
      <c r="K71" s="694">
        <v>0</v>
      </c>
      <c r="L71" s="694">
        <v>0</v>
      </c>
      <c r="M71" s="695">
        <v>481.4</v>
      </c>
      <c r="N71" s="371">
        <v>0.6520247083047358</v>
      </c>
      <c r="O71" s="711" t="s">
        <v>1047</v>
      </c>
      <c r="P71" s="714" t="s">
        <v>1048</v>
      </c>
    </row>
    <row r="72" spans="1:16" ht="32.450000000000003">
      <c r="A72" s="733" t="s">
        <v>1049</v>
      </c>
      <c r="B72" s="150">
        <v>109.2</v>
      </c>
      <c r="C72" s="723">
        <v>0</v>
      </c>
      <c r="D72" s="723">
        <v>0</v>
      </c>
      <c r="E72" s="723">
        <v>0</v>
      </c>
      <c r="F72" s="723">
        <v>0</v>
      </c>
      <c r="G72" s="695">
        <v>109.2</v>
      </c>
      <c r="H72" s="694">
        <v>109.2</v>
      </c>
      <c r="I72" s="694">
        <v>0</v>
      </c>
      <c r="J72" s="694">
        <v>0</v>
      </c>
      <c r="K72" s="694">
        <v>0</v>
      </c>
      <c r="L72" s="694">
        <v>0</v>
      </c>
      <c r="M72" s="695">
        <v>109.2</v>
      </c>
      <c r="N72" s="371">
        <v>0</v>
      </c>
      <c r="O72" s="711" t="s">
        <v>1050</v>
      </c>
      <c r="P72" s="714" t="s">
        <v>65</v>
      </c>
    </row>
    <row r="73" spans="1:16" ht="32.65" customHeight="1">
      <c r="A73" s="653" t="s">
        <v>1051</v>
      </c>
      <c r="B73" s="701">
        <v>400.59999999999997</v>
      </c>
      <c r="C73" s="701">
        <v>0</v>
      </c>
      <c r="D73" s="701">
        <v>0</v>
      </c>
      <c r="E73" s="701">
        <v>0</v>
      </c>
      <c r="F73" s="701">
        <v>0</v>
      </c>
      <c r="G73" s="701">
        <v>400.59999999999997</v>
      </c>
      <c r="H73" s="701">
        <v>590.6</v>
      </c>
      <c r="I73" s="701">
        <v>0</v>
      </c>
      <c r="J73" s="701">
        <v>0</v>
      </c>
      <c r="K73" s="701">
        <v>0</v>
      </c>
      <c r="L73" s="701">
        <v>0</v>
      </c>
      <c r="M73" s="701">
        <v>590.6</v>
      </c>
      <c r="N73" s="702">
        <v>0.47428856714927625</v>
      </c>
      <c r="O73" s="703"/>
      <c r="P73" s="704"/>
    </row>
    <row r="74" spans="1:16" ht="16.149999999999999">
      <c r="A74" s="689"/>
      <c r="B74" s="707"/>
      <c r="C74" s="707"/>
      <c r="D74" s="707"/>
      <c r="E74" s="707"/>
      <c r="F74" s="707"/>
      <c r="G74" s="707"/>
      <c r="H74" s="707"/>
      <c r="I74" s="707"/>
      <c r="J74" s="707"/>
      <c r="K74" s="707"/>
      <c r="L74" s="707"/>
      <c r="M74" s="707"/>
      <c r="N74" s="718"/>
      <c r="O74" s="689"/>
      <c r="P74" s="689"/>
    </row>
    <row r="75" spans="1:16" ht="16.149999999999999">
      <c r="A75" s="585" t="s">
        <v>1052</v>
      </c>
      <c r="B75" s="213"/>
      <c r="C75" s="213"/>
      <c r="D75" s="213"/>
      <c r="E75" s="213"/>
      <c r="F75" s="213"/>
      <c r="G75" s="213"/>
      <c r="H75" s="213"/>
      <c r="I75" s="213"/>
      <c r="J75" s="213"/>
      <c r="K75" s="213"/>
      <c r="L75" s="213"/>
      <c r="M75" s="213"/>
      <c r="N75" s="706"/>
      <c r="O75" s="588"/>
      <c r="P75" s="588"/>
    </row>
    <row r="76" spans="1:16" ht="69.599999999999994" customHeight="1">
      <c r="A76" s="721" t="s">
        <v>1053</v>
      </c>
      <c r="B76" s="150">
        <v>397.9</v>
      </c>
      <c r="C76" s="723">
        <v>45.798999999999999</v>
      </c>
      <c r="D76" s="723">
        <v>0</v>
      </c>
      <c r="E76" s="723">
        <v>0</v>
      </c>
      <c r="F76" s="723">
        <v>0</v>
      </c>
      <c r="G76" s="695">
        <v>443.69899999999996</v>
      </c>
      <c r="H76" s="694">
        <v>436.45800000000003</v>
      </c>
      <c r="I76" s="694">
        <v>44.720999999999997</v>
      </c>
      <c r="J76" s="694">
        <v>0</v>
      </c>
      <c r="K76" s="694">
        <v>0</v>
      </c>
      <c r="L76" s="694">
        <v>0</v>
      </c>
      <c r="M76" s="695">
        <v>481.17900000000003</v>
      </c>
      <c r="N76" s="371">
        <v>8.4471680125490653E-2</v>
      </c>
      <c r="O76" s="612" t="s">
        <v>1054</v>
      </c>
      <c r="P76" s="714" t="s">
        <v>989</v>
      </c>
    </row>
    <row r="77" spans="1:16" ht="42" customHeight="1">
      <c r="A77" s="721" t="s">
        <v>1055</v>
      </c>
      <c r="B77" s="723">
        <v>0</v>
      </c>
      <c r="C77" s="723">
        <v>0</v>
      </c>
      <c r="D77" s="723">
        <v>97</v>
      </c>
      <c r="E77" s="723">
        <v>0</v>
      </c>
      <c r="F77" s="723">
        <v>0</v>
      </c>
      <c r="G77" s="695">
        <v>97</v>
      </c>
      <c r="H77" s="694">
        <v>0</v>
      </c>
      <c r="I77" s="694">
        <v>0</v>
      </c>
      <c r="J77" s="694">
        <v>167</v>
      </c>
      <c r="K77" s="694">
        <v>0</v>
      </c>
      <c r="L77" s="694">
        <v>0</v>
      </c>
      <c r="M77" s="695">
        <v>167</v>
      </c>
      <c r="N77" s="371">
        <v>0.72164948453608246</v>
      </c>
      <c r="O77" s="711" t="s">
        <v>1056</v>
      </c>
      <c r="P77" s="714" t="s">
        <v>1057</v>
      </c>
    </row>
    <row r="78" spans="1:16" ht="32.450000000000003">
      <c r="A78" s="653" t="s">
        <v>1058</v>
      </c>
      <c r="B78" s="701">
        <v>397.9</v>
      </c>
      <c r="C78" s="701">
        <v>45.798999999999999</v>
      </c>
      <c r="D78" s="701">
        <v>97</v>
      </c>
      <c r="E78" s="701">
        <v>0</v>
      </c>
      <c r="F78" s="701">
        <v>0</v>
      </c>
      <c r="G78" s="701">
        <v>540.69899999999996</v>
      </c>
      <c r="H78" s="701">
        <v>436.45800000000003</v>
      </c>
      <c r="I78" s="701">
        <v>44.720999999999997</v>
      </c>
      <c r="J78" s="701">
        <v>167</v>
      </c>
      <c r="K78" s="701">
        <v>0</v>
      </c>
      <c r="L78" s="701">
        <v>0</v>
      </c>
      <c r="M78" s="701">
        <v>648.17900000000009</v>
      </c>
      <c r="N78" s="702">
        <v>0.19877972772281832</v>
      </c>
      <c r="O78" s="703"/>
      <c r="P78" s="704"/>
    </row>
    <row r="79" spans="1:16" ht="16.149999999999999">
      <c r="A79" s="686"/>
      <c r="B79" s="707"/>
      <c r="C79" s="707"/>
      <c r="D79" s="707"/>
      <c r="E79" s="707"/>
      <c r="F79" s="707"/>
      <c r="G79" s="707"/>
      <c r="H79" s="707"/>
      <c r="I79" s="707"/>
      <c r="J79" s="707"/>
      <c r="K79" s="707"/>
      <c r="L79" s="707"/>
      <c r="M79" s="707"/>
      <c r="N79" s="718"/>
      <c r="O79" s="689"/>
      <c r="P79" s="689"/>
    </row>
    <row r="80" spans="1:16" ht="16.149999999999999">
      <c r="A80" s="585" t="s">
        <v>977</v>
      </c>
      <c r="B80" s="213"/>
      <c r="C80" s="213"/>
      <c r="D80" s="213"/>
      <c r="E80" s="213"/>
      <c r="F80" s="213"/>
      <c r="G80" s="213"/>
      <c r="H80" s="213"/>
      <c r="I80" s="213"/>
      <c r="J80" s="213"/>
      <c r="K80" s="213"/>
      <c r="L80" s="213"/>
      <c r="M80" s="213"/>
      <c r="N80" s="706"/>
      <c r="O80" s="588"/>
      <c r="P80" s="588"/>
    </row>
    <row r="81" spans="1:16" ht="16.149999999999999">
      <c r="A81" s="686"/>
      <c r="B81" s="707"/>
      <c r="C81" s="707"/>
      <c r="D81" s="707"/>
      <c r="E81" s="707"/>
      <c r="F81" s="707"/>
      <c r="G81" s="707"/>
      <c r="H81" s="707"/>
      <c r="I81" s="707"/>
      <c r="J81" s="707"/>
      <c r="K81" s="707"/>
      <c r="L81" s="707"/>
      <c r="M81" s="707"/>
      <c r="N81" s="718"/>
      <c r="O81" s="689"/>
      <c r="P81" s="689"/>
    </row>
    <row r="82" spans="1:16" ht="16.149999999999999">
      <c r="A82" s="716" t="s">
        <v>1059</v>
      </c>
      <c r="B82" s="736"/>
      <c r="C82" s="736"/>
      <c r="D82" s="736"/>
      <c r="E82" s="736"/>
      <c r="F82" s="736"/>
      <c r="G82" s="736"/>
      <c r="H82" s="736"/>
      <c r="I82" s="736"/>
      <c r="J82" s="736"/>
      <c r="K82" s="736"/>
      <c r="L82" s="736"/>
      <c r="M82" s="736"/>
      <c r="N82" s="737"/>
      <c r="O82" s="693" t="s">
        <v>238</v>
      </c>
      <c r="P82" s="693" t="s">
        <v>238</v>
      </c>
    </row>
    <row r="83" spans="1:16" ht="37.15" customHeight="1">
      <c r="A83" s="612" t="s">
        <v>1060</v>
      </c>
      <c r="B83" s="150">
        <v>3.847</v>
      </c>
      <c r="C83" s="150">
        <v>0</v>
      </c>
      <c r="D83" s="150">
        <v>0</v>
      </c>
      <c r="E83" s="150">
        <v>0</v>
      </c>
      <c r="F83" s="150">
        <v>0</v>
      </c>
      <c r="G83" s="695">
        <v>3.847</v>
      </c>
      <c r="H83" s="694">
        <v>4.0090000000000003</v>
      </c>
      <c r="I83" s="694">
        <v>0</v>
      </c>
      <c r="J83" s="694">
        <v>0</v>
      </c>
      <c r="K83" s="694">
        <v>0</v>
      </c>
      <c r="L83" s="694">
        <v>0</v>
      </c>
      <c r="M83" s="695">
        <v>4.0090000000000003</v>
      </c>
      <c r="N83" s="371">
        <v>4.2110735638159702E-2</v>
      </c>
      <c r="O83" s="612" t="s">
        <v>1061</v>
      </c>
      <c r="P83" s="605" t="s">
        <v>1062</v>
      </c>
    </row>
    <row r="84" spans="1:16" ht="44.65" customHeight="1">
      <c r="A84" s="256" t="s">
        <v>1063</v>
      </c>
      <c r="B84" s="150">
        <v>3.306</v>
      </c>
      <c r="C84" s="150">
        <v>0</v>
      </c>
      <c r="D84" s="150">
        <v>0</v>
      </c>
      <c r="E84" s="150">
        <v>0</v>
      </c>
      <c r="F84" s="150">
        <v>0</v>
      </c>
      <c r="G84" s="695">
        <v>3.306</v>
      </c>
      <c r="H84" s="694">
        <v>3.4049999999999998</v>
      </c>
      <c r="I84" s="694">
        <v>0</v>
      </c>
      <c r="J84" s="694">
        <v>0</v>
      </c>
      <c r="K84" s="694">
        <v>0</v>
      </c>
      <c r="L84" s="694">
        <v>0</v>
      </c>
      <c r="M84" s="695">
        <v>3.4049999999999998</v>
      </c>
      <c r="N84" s="371">
        <v>2.9945553539019888E-2</v>
      </c>
      <c r="O84" s="612" t="s">
        <v>1064</v>
      </c>
      <c r="P84" s="605" t="s">
        <v>989</v>
      </c>
    </row>
    <row r="85" spans="1:16" ht="39" customHeight="1">
      <c r="A85" s="612" t="s">
        <v>1065</v>
      </c>
      <c r="B85" s="150">
        <v>5.0549999999999997</v>
      </c>
      <c r="C85" s="150">
        <v>0</v>
      </c>
      <c r="D85" s="150">
        <v>0</v>
      </c>
      <c r="E85" s="150">
        <v>0</v>
      </c>
      <c r="F85" s="150">
        <v>0</v>
      </c>
      <c r="G85" s="695">
        <v>5.0549999999999997</v>
      </c>
      <c r="H85" s="694">
        <v>4.0549999999999997</v>
      </c>
      <c r="I85" s="694">
        <v>0</v>
      </c>
      <c r="J85" s="694">
        <v>0</v>
      </c>
      <c r="K85" s="694">
        <v>0</v>
      </c>
      <c r="L85" s="694">
        <v>0</v>
      </c>
      <c r="M85" s="695">
        <v>4.0549999999999997</v>
      </c>
      <c r="N85" s="371">
        <v>-0.19782393669634027</v>
      </c>
      <c r="O85" s="612" t="s">
        <v>1066</v>
      </c>
      <c r="P85" s="605" t="s">
        <v>980</v>
      </c>
    </row>
    <row r="86" spans="1:16" ht="39" customHeight="1">
      <c r="A86" s="256" t="s">
        <v>1067</v>
      </c>
      <c r="B86" s="150">
        <v>1.135</v>
      </c>
      <c r="C86" s="150">
        <v>0</v>
      </c>
      <c r="D86" s="150">
        <v>0</v>
      </c>
      <c r="E86" s="150">
        <v>0</v>
      </c>
      <c r="F86" s="150">
        <v>0</v>
      </c>
      <c r="G86" s="695">
        <v>1.135</v>
      </c>
      <c r="H86" s="694">
        <v>1.169</v>
      </c>
      <c r="I86" s="694">
        <v>0</v>
      </c>
      <c r="J86" s="694">
        <v>0</v>
      </c>
      <c r="K86" s="694">
        <v>0</v>
      </c>
      <c r="L86" s="694">
        <v>0</v>
      </c>
      <c r="M86" s="695">
        <v>1.169</v>
      </c>
      <c r="N86" s="371">
        <v>2.9955947136563903E-2</v>
      </c>
      <c r="O86" s="612" t="s">
        <v>1068</v>
      </c>
      <c r="P86" s="605" t="s">
        <v>989</v>
      </c>
    </row>
    <row r="87" spans="1:16" ht="58.5" customHeight="1">
      <c r="A87" s="256" t="s">
        <v>1069</v>
      </c>
      <c r="B87" s="150">
        <v>1.143</v>
      </c>
      <c r="C87" s="150">
        <v>0.185</v>
      </c>
      <c r="D87" s="150">
        <v>0</v>
      </c>
      <c r="E87" s="150">
        <v>0</v>
      </c>
      <c r="F87" s="150">
        <v>0</v>
      </c>
      <c r="G87" s="695">
        <v>1.3280000000000001</v>
      </c>
      <c r="H87" s="694">
        <v>1.181</v>
      </c>
      <c r="I87" s="694">
        <v>0.23100000000000001</v>
      </c>
      <c r="J87" s="694">
        <v>0</v>
      </c>
      <c r="K87" s="694">
        <v>0</v>
      </c>
      <c r="L87" s="694">
        <v>0</v>
      </c>
      <c r="M87" s="695">
        <v>1.4120000000000001</v>
      </c>
      <c r="N87" s="371">
        <v>6.3253012048192822E-2</v>
      </c>
      <c r="O87" s="612" t="s">
        <v>1070</v>
      </c>
      <c r="P87" s="605" t="s">
        <v>989</v>
      </c>
    </row>
    <row r="88" spans="1:16" ht="32.450000000000003">
      <c r="A88" s="256" t="s">
        <v>1071</v>
      </c>
      <c r="B88" s="150">
        <v>7.1390000000000002</v>
      </c>
      <c r="C88" s="150">
        <v>0</v>
      </c>
      <c r="D88" s="150">
        <v>0</v>
      </c>
      <c r="E88" s="150">
        <v>0</v>
      </c>
      <c r="F88" s="150">
        <v>0</v>
      </c>
      <c r="G88" s="695">
        <v>7.1390000000000002</v>
      </c>
      <c r="H88" s="694">
        <v>3.742</v>
      </c>
      <c r="I88" s="694">
        <v>0</v>
      </c>
      <c r="J88" s="694">
        <v>0</v>
      </c>
      <c r="K88" s="694">
        <v>0</v>
      </c>
      <c r="L88" s="694">
        <v>0</v>
      </c>
      <c r="M88" s="695">
        <v>3.742</v>
      </c>
      <c r="N88" s="371">
        <v>-0.47583695195405523</v>
      </c>
      <c r="O88" s="612" t="s">
        <v>1072</v>
      </c>
      <c r="P88" s="605" t="s">
        <v>980</v>
      </c>
    </row>
    <row r="89" spans="1:16" ht="62.1" customHeight="1">
      <c r="A89" s="256" t="s">
        <v>1073</v>
      </c>
      <c r="B89" s="150">
        <v>1.181</v>
      </c>
      <c r="C89" s="150">
        <v>0.03</v>
      </c>
      <c r="D89" s="150">
        <v>0</v>
      </c>
      <c r="E89" s="150">
        <v>0</v>
      </c>
      <c r="F89" s="150">
        <v>0</v>
      </c>
      <c r="G89" s="695">
        <v>1.2110000000000001</v>
      </c>
      <c r="H89" s="694">
        <v>1.216</v>
      </c>
      <c r="I89" s="694">
        <v>0</v>
      </c>
      <c r="J89" s="694">
        <v>0</v>
      </c>
      <c r="K89" s="694">
        <v>0</v>
      </c>
      <c r="L89" s="694">
        <v>0</v>
      </c>
      <c r="M89" s="695">
        <v>1.216</v>
      </c>
      <c r="N89" s="371">
        <v>4.1288191577208031E-3</v>
      </c>
      <c r="O89" s="612" t="s">
        <v>1074</v>
      </c>
      <c r="P89" s="605" t="s">
        <v>989</v>
      </c>
    </row>
    <row r="90" spans="1:16" ht="32.450000000000003">
      <c r="A90" s="612" t="s">
        <v>1075</v>
      </c>
      <c r="B90" s="150">
        <v>0.47799999999999998</v>
      </c>
      <c r="C90" s="150">
        <v>0</v>
      </c>
      <c r="D90" s="150">
        <v>0</v>
      </c>
      <c r="E90" s="150">
        <v>0</v>
      </c>
      <c r="F90" s="150">
        <v>0</v>
      </c>
      <c r="G90" s="695">
        <v>0.47799999999999998</v>
      </c>
      <c r="H90" s="694">
        <v>0.47799999999999998</v>
      </c>
      <c r="I90" s="694">
        <v>0</v>
      </c>
      <c r="J90" s="694">
        <v>0</v>
      </c>
      <c r="K90" s="694">
        <v>0</v>
      </c>
      <c r="L90" s="694">
        <v>0</v>
      </c>
      <c r="M90" s="695">
        <v>0.47799999999999998</v>
      </c>
      <c r="N90" s="371">
        <v>0</v>
      </c>
      <c r="O90" s="612" t="s">
        <v>1076</v>
      </c>
      <c r="P90" s="605" t="s">
        <v>65</v>
      </c>
    </row>
    <row r="91" spans="1:16" ht="32.450000000000003">
      <c r="A91" s="612" t="s">
        <v>1077</v>
      </c>
      <c r="B91" s="150">
        <v>7.5949999999999998</v>
      </c>
      <c r="C91" s="150">
        <v>0</v>
      </c>
      <c r="D91" s="150">
        <v>0</v>
      </c>
      <c r="E91" s="150">
        <v>0</v>
      </c>
      <c r="F91" s="150">
        <v>0</v>
      </c>
      <c r="G91" s="695">
        <v>7.5949999999999998</v>
      </c>
      <c r="H91" s="694">
        <v>7.2149999999999999</v>
      </c>
      <c r="I91" s="694">
        <v>0</v>
      </c>
      <c r="J91" s="694">
        <v>0</v>
      </c>
      <c r="K91" s="694">
        <v>0</v>
      </c>
      <c r="L91" s="694">
        <v>0</v>
      </c>
      <c r="M91" s="695">
        <v>7.2149999999999999</v>
      </c>
      <c r="N91" s="371">
        <v>-5.0032916392363382E-2</v>
      </c>
      <c r="O91" s="612" t="s">
        <v>1078</v>
      </c>
      <c r="P91" s="605" t="s">
        <v>980</v>
      </c>
    </row>
    <row r="92" spans="1:16" ht="32.450000000000003">
      <c r="A92" s="612" t="s">
        <v>1079</v>
      </c>
      <c r="B92" s="150">
        <v>0.433</v>
      </c>
      <c r="C92" s="150">
        <v>0</v>
      </c>
      <c r="D92" s="150">
        <v>0</v>
      </c>
      <c r="E92" s="150">
        <v>0</v>
      </c>
      <c r="F92" s="150">
        <v>0</v>
      </c>
      <c r="G92" s="695">
        <v>0.433</v>
      </c>
      <c r="H92" s="694">
        <v>0.44600000000000001</v>
      </c>
      <c r="I92" s="694">
        <v>0</v>
      </c>
      <c r="J92" s="694">
        <v>0</v>
      </c>
      <c r="K92" s="694">
        <v>0</v>
      </c>
      <c r="L92" s="694">
        <v>0</v>
      </c>
      <c r="M92" s="695">
        <v>0.44600000000000001</v>
      </c>
      <c r="N92" s="371">
        <v>3.0023094688221737E-2</v>
      </c>
      <c r="O92" s="612" t="s">
        <v>1080</v>
      </c>
      <c r="P92" s="605" t="s">
        <v>989</v>
      </c>
    </row>
    <row r="93" spans="1:16" ht="16.149999999999999">
      <c r="A93" s="36" t="s">
        <v>30</v>
      </c>
      <c r="B93" s="734">
        <v>31.312000000000001</v>
      </c>
      <c r="C93" s="734">
        <v>0.215</v>
      </c>
      <c r="D93" s="734">
        <v>0</v>
      </c>
      <c r="E93" s="734">
        <v>0</v>
      </c>
      <c r="F93" s="734">
        <v>0</v>
      </c>
      <c r="G93" s="734">
        <v>31.526999999999997</v>
      </c>
      <c r="H93" s="734">
        <v>26.916000000000004</v>
      </c>
      <c r="I93" s="734">
        <v>0.23100000000000001</v>
      </c>
      <c r="J93" s="734">
        <v>0</v>
      </c>
      <c r="K93" s="734">
        <v>0</v>
      </c>
      <c r="L93" s="734">
        <v>0</v>
      </c>
      <c r="M93" s="734">
        <v>27.147000000000006</v>
      </c>
      <c r="N93" s="738">
        <v>-0.13892853744409528</v>
      </c>
      <c r="O93" s="696"/>
      <c r="P93" s="716"/>
    </row>
    <row r="94" spans="1:16" ht="16.149999999999999">
      <c r="A94" s="686"/>
      <c r="B94" s="705"/>
      <c r="C94" s="705"/>
      <c r="D94" s="705"/>
      <c r="E94" s="705"/>
      <c r="F94" s="705"/>
      <c r="G94" s="705"/>
      <c r="H94" s="705"/>
      <c r="I94" s="705"/>
      <c r="J94" s="705"/>
      <c r="K94" s="705"/>
      <c r="L94" s="705"/>
      <c r="M94" s="705"/>
      <c r="N94" s="688"/>
      <c r="O94" s="689"/>
      <c r="P94" s="689"/>
    </row>
    <row r="95" spans="1:16" ht="32.450000000000003">
      <c r="A95" s="716" t="s">
        <v>1081</v>
      </c>
      <c r="B95" s="736"/>
      <c r="C95" s="736"/>
      <c r="D95" s="736"/>
      <c r="E95" s="736"/>
      <c r="F95" s="736"/>
      <c r="G95" s="736"/>
      <c r="H95" s="736"/>
      <c r="I95" s="736"/>
      <c r="J95" s="736"/>
      <c r="K95" s="736"/>
      <c r="L95" s="736"/>
      <c r="M95" s="736"/>
      <c r="N95" s="737"/>
      <c r="O95" s="693"/>
      <c r="P95" s="693"/>
    </row>
    <row r="96" spans="1:16" ht="48.6">
      <c r="A96" s="612" t="s">
        <v>1081</v>
      </c>
      <c r="B96" s="150">
        <v>42.2</v>
      </c>
      <c r="C96" s="150">
        <v>0</v>
      </c>
      <c r="D96" s="150">
        <v>0</v>
      </c>
      <c r="E96" s="150">
        <v>0</v>
      </c>
      <c r="F96" s="150">
        <v>0</v>
      </c>
      <c r="G96" s="695">
        <v>42.2</v>
      </c>
      <c r="H96" s="694">
        <v>36.299999999999997</v>
      </c>
      <c r="I96" s="694">
        <v>0</v>
      </c>
      <c r="J96" s="694">
        <v>0</v>
      </c>
      <c r="K96" s="694">
        <v>0</v>
      </c>
      <c r="L96" s="694">
        <v>0</v>
      </c>
      <c r="M96" s="695">
        <v>36.299999999999997</v>
      </c>
      <c r="N96" s="371">
        <v>-0.1398104265402845</v>
      </c>
      <c r="O96" s="612" t="s">
        <v>1082</v>
      </c>
      <c r="P96" s="605" t="s">
        <v>1083</v>
      </c>
    </row>
    <row r="97" spans="1:16" ht="32.450000000000003">
      <c r="A97" s="36" t="s">
        <v>1084</v>
      </c>
      <c r="B97" s="734">
        <v>42.2</v>
      </c>
      <c r="C97" s="734">
        <v>0</v>
      </c>
      <c r="D97" s="734">
        <v>0</v>
      </c>
      <c r="E97" s="734">
        <v>0</v>
      </c>
      <c r="F97" s="734">
        <v>0</v>
      </c>
      <c r="G97" s="734">
        <v>42.2</v>
      </c>
      <c r="H97" s="734">
        <v>36.299999999999997</v>
      </c>
      <c r="I97" s="734">
        <v>0</v>
      </c>
      <c r="J97" s="734">
        <v>0</v>
      </c>
      <c r="K97" s="734">
        <v>0</v>
      </c>
      <c r="L97" s="734">
        <v>0</v>
      </c>
      <c r="M97" s="734">
        <v>36.299999999999997</v>
      </c>
      <c r="N97" s="738">
        <v>-0.1398104265402845</v>
      </c>
      <c r="O97" s="696"/>
      <c r="P97" s="716"/>
    </row>
    <row r="98" spans="1:16" ht="16.149999999999999">
      <c r="A98" s="686"/>
      <c r="B98" s="705"/>
      <c r="C98" s="705"/>
      <c r="D98" s="705"/>
      <c r="E98" s="705"/>
      <c r="F98" s="705"/>
      <c r="G98" s="705"/>
      <c r="H98" s="705"/>
      <c r="I98" s="705"/>
      <c r="J98" s="705"/>
      <c r="K98" s="705"/>
      <c r="L98" s="705"/>
      <c r="M98" s="705"/>
      <c r="N98" s="688"/>
      <c r="O98" s="689"/>
      <c r="P98" s="689"/>
    </row>
    <row r="99" spans="1:16" ht="16.149999999999999">
      <c r="A99" s="739" t="s">
        <v>1085</v>
      </c>
      <c r="B99" s="740"/>
      <c r="C99" s="740"/>
      <c r="D99" s="740"/>
      <c r="E99" s="740"/>
      <c r="F99" s="740"/>
      <c r="G99" s="740"/>
      <c r="H99" s="740"/>
      <c r="I99" s="740"/>
      <c r="J99" s="740"/>
      <c r="K99" s="740"/>
      <c r="L99" s="740"/>
      <c r="M99" s="740"/>
      <c r="N99" s="741"/>
      <c r="O99" s="742"/>
      <c r="P99" s="742"/>
    </row>
    <row r="100" spans="1:16" ht="108.6" customHeight="1">
      <c r="A100" s="711" t="s">
        <v>1086</v>
      </c>
      <c r="B100" s="150">
        <v>2.8450000000000002</v>
      </c>
      <c r="C100" s="712">
        <v>0</v>
      </c>
      <c r="D100" s="712">
        <v>0</v>
      </c>
      <c r="E100" s="712">
        <v>0</v>
      </c>
      <c r="F100" s="712">
        <v>0</v>
      </c>
      <c r="G100" s="695">
        <v>2.8450000000000002</v>
      </c>
      <c r="H100" s="694">
        <v>2.738</v>
      </c>
      <c r="I100" s="694">
        <v>0</v>
      </c>
      <c r="J100" s="694">
        <v>0</v>
      </c>
      <c r="K100" s="694">
        <v>0</v>
      </c>
      <c r="L100" s="694">
        <v>0</v>
      </c>
      <c r="M100" s="695">
        <v>2.738</v>
      </c>
      <c r="N100" s="371">
        <v>-3.7609841827768081E-2</v>
      </c>
      <c r="O100" s="711" t="s">
        <v>1087</v>
      </c>
      <c r="P100" s="605" t="s">
        <v>980</v>
      </c>
    </row>
    <row r="101" spans="1:16" ht="32.450000000000003">
      <c r="A101" s="711" t="s">
        <v>1088</v>
      </c>
      <c r="B101" s="150">
        <v>1.623</v>
      </c>
      <c r="C101" s="712">
        <v>0</v>
      </c>
      <c r="D101" s="712">
        <v>0</v>
      </c>
      <c r="E101" s="712">
        <v>0</v>
      </c>
      <c r="F101" s="712">
        <v>0</v>
      </c>
      <c r="G101" s="695">
        <v>1.623</v>
      </c>
      <c r="H101" s="694">
        <v>1.5720000000000001</v>
      </c>
      <c r="I101" s="694">
        <v>0</v>
      </c>
      <c r="J101" s="694">
        <v>0</v>
      </c>
      <c r="K101" s="694">
        <v>0</v>
      </c>
      <c r="L101" s="694">
        <v>0</v>
      </c>
      <c r="M101" s="695">
        <v>1.5720000000000001</v>
      </c>
      <c r="N101" s="371">
        <v>-3.1423290203327132E-2</v>
      </c>
      <c r="O101" s="612" t="s">
        <v>1089</v>
      </c>
      <c r="P101" s="605" t="s">
        <v>980</v>
      </c>
    </row>
    <row r="102" spans="1:16" ht="32.450000000000003">
      <c r="A102" s="711" t="s">
        <v>1090</v>
      </c>
      <c r="B102" s="150">
        <v>0.77100000000000002</v>
      </c>
      <c r="C102" s="712">
        <v>0</v>
      </c>
      <c r="D102" s="712">
        <v>0</v>
      </c>
      <c r="E102" s="712">
        <v>0</v>
      </c>
      <c r="F102" s="712">
        <v>0</v>
      </c>
      <c r="G102" s="695">
        <v>0.77100000000000002</v>
      </c>
      <c r="H102" s="694">
        <v>0.79399999999999993</v>
      </c>
      <c r="I102" s="694">
        <v>0</v>
      </c>
      <c r="J102" s="694">
        <v>0</v>
      </c>
      <c r="K102" s="694">
        <v>0</v>
      </c>
      <c r="L102" s="694">
        <v>0</v>
      </c>
      <c r="M102" s="695">
        <v>0.79399999999999993</v>
      </c>
      <c r="N102" s="371">
        <v>2.9831387808041385E-2</v>
      </c>
      <c r="O102" s="711" t="s">
        <v>1091</v>
      </c>
      <c r="P102" s="605" t="s">
        <v>989</v>
      </c>
    </row>
    <row r="103" spans="1:16" ht="77.650000000000006" customHeight="1">
      <c r="A103" s="743" t="s">
        <v>1092</v>
      </c>
      <c r="B103" s="150">
        <v>1.0409999999999999</v>
      </c>
      <c r="C103" s="712">
        <v>0</v>
      </c>
      <c r="D103" s="712">
        <v>0</v>
      </c>
      <c r="E103" s="712">
        <v>0</v>
      </c>
      <c r="F103" s="712">
        <v>0</v>
      </c>
      <c r="G103" s="597">
        <v>1.0409999999999999</v>
      </c>
      <c r="H103" s="694">
        <v>0.90100000000000002</v>
      </c>
      <c r="I103" s="602">
        <v>0</v>
      </c>
      <c r="J103" s="602">
        <v>0</v>
      </c>
      <c r="K103" s="602">
        <v>0</v>
      </c>
      <c r="L103" s="602">
        <v>0</v>
      </c>
      <c r="M103" s="597">
        <v>0.90100000000000002</v>
      </c>
      <c r="N103" s="603">
        <v>-0.13448607108549462</v>
      </c>
      <c r="O103" s="604" t="s">
        <v>1093</v>
      </c>
      <c r="P103" s="605" t="s">
        <v>1094</v>
      </c>
    </row>
    <row r="104" spans="1:16" ht="32.450000000000003">
      <c r="A104" s="743" t="s">
        <v>1095</v>
      </c>
      <c r="B104" s="150">
        <v>0.28000000000000003</v>
      </c>
      <c r="C104" s="712">
        <v>0</v>
      </c>
      <c r="D104" s="712">
        <v>0</v>
      </c>
      <c r="E104" s="712">
        <v>0</v>
      </c>
      <c r="F104" s="712">
        <v>0</v>
      </c>
      <c r="G104" s="597">
        <v>0.28000000000000003</v>
      </c>
      <c r="H104" s="694">
        <v>0.28899999999999998</v>
      </c>
      <c r="I104" s="602">
        <v>0</v>
      </c>
      <c r="J104" s="602">
        <v>0</v>
      </c>
      <c r="K104" s="602">
        <v>0</v>
      </c>
      <c r="L104" s="602">
        <v>0</v>
      </c>
      <c r="M104" s="597">
        <v>0.28899999999999998</v>
      </c>
      <c r="N104" s="603">
        <v>3.2142857142856973E-2</v>
      </c>
      <c r="O104" s="604" t="s">
        <v>1096</v>
      </c>
      <c r="P104" s="605" t="s">
        <v>989</v>
      </c>
    </row>
    <row r="105" spans="1:16" ht="16.149999999999999">
      <c r="A105" s="744" t="s">
        <v>30</v>
      </c>
      <c r="B105" s="745">
        <v>6.56</v>
      </c>
      <c r="C105" s="745">
        <v>0</v>
      </c>
      <c r="D105" s="745">
        <v>0</v>
      </c>
      <c r="E105" s="745">
        <v>0</v>
      </c>
      <c r="F105" s="745">
        <v>0</v>
      </c>
      <c r="G105" s="745">
        <v>6.56</v>
      </c>
      <c r="H105" s="745">
        <v>6.2939999999999996</v>
      </c>
      <c r="I105" s="745">
        <v>0</v>
      </c>
      <c r="J105" s="745">
        <v>0</v>
      </c>
      <c r="K105" s="745">
        <v>0</v>
      </c>
      <c r="L105" s="745">
        <v>0</v>
      </c>
      <c r="M105" s="745">
        <v>6.2939999999999996</v>
      </c>
      <c r="N105" s="746">
        <v>-4.0548780487804879E-2</v>
      </c>
      <c r="O105" s="747"/>
      <c r="P105" s="739"/>
    </row>
    <row r="106" spans="1:16" ht="16.149999999999999">
      <c r="A106" s="686"/>
      <c r="B106" s="707"/>
      <c r="C106" s="707"/>
      <c r="D106" s="707"/>
      <c r="E106" s="707"/>
      <c r="F106" s="707"/>
      <c r="G106" s="707"/>
      <c r="H106" s="707"/>
      <c r="I106" s="707"/>
      <c r="J106" s="707"/>
      <c r="K106" s="707"/>
      <c r="L106" s="707"/>
      <c r="M106" s="707"/>
      <c r="N106" s="718"/>
      <c r="O106" s="689"/>
      <c r="P106" s="689"/>
    </row>
    <row r="107" spans="1:16" ht="16.149999999999999">
      <c r="A107" s="716" t="s">
        <v>1097</v>
      </c>
      <c r="B107" s="748"/>
      <c r="C107" s="748"/>
      <c r="D107" s="748"/>
      <c r="E107" s="748"/>
      <c r="F107" s="748"/>
      <c r="G107" s="748"/>
      <c r="H107" s="748"/>
      <c r="I107" s="748"/>
      <c r="J107" s="748"/>
      <c r="K107" s="748"/>
      <c r="L107" s="748"/>
      <c r="M107" s="748"/>
      <c r="N107" s="737"/>
      <c r="O107" s="693"/>
      <c r="P107" s="693"/>
    </row>
    <row r="108" spans="1:16" ht="119.1" customHeight="1">
      <c r="A108" s="612" t="s">
        <v>1098</v>
      </c>
      <c r="B108" s="150">
        <v>21.658000000000001</v>
      </c>
      <c r="C108" s="150">
        <v>0</v>
      </c>
      <c r="D108" s="150">
        <v>1</v>
      </c>
      <c r="E108" s="150">
        <v>0</v>
      </c>
      <c r="F108" s="150">
        <v>0</v>
      </c>
      <c r="G108" s="695">
        <v>22.658000000000001</v>
      </c>
      <c r="H108" s="694">
        <v>22.094999999999999</v>
      </c>
      <c r="I108" s="694">
        <v>0</v>
      </c>
      <c r="J108" s="694">
        <v>2</v>
      </c>
      <c r="K108" s="694">
        <v>0</v>
      </c>
      <c r="L108" s="694">
        <v>0</v>
      </c>
      <c r="M108" s="695">
        <v>24.094999999999999</v>
      </c>
      <c r="N108" s="371">
        <v>6.3421308147232652E-2</v>
      </c>
      <c r="O108" s="612" t="s">
        <v>1099</v>
      </c>
      <c r="P108" s="605" t="s">
        <v>1100</v>
      </c>
    </row>
    <row r="109" spans="1:16" ht="16.149999999999999">
      <c r="A109" s="36" t="s">
        <v>30</v>
      </c>
      <c r="B109" s="734">
        <v>21.658000000000001</v>
      </c>
      <c r="C109" s="734">
        <v>0</v>
      </c>
      <c r="D109" s="734">
        <v>1</v>
      </c>
      <c r="E109" s="734">
        <v>0</v>
      </c>
      <c r="F109" s="734">
        <v>0</v>
      </c>
      <c r="G109" s="734">
        <v>22.658000000000001</v>
      </c>
      <c r="H109" s="734">
        <v>22.094999999999999</v>
      </c>
      <c r="I109" s="734">
        <v>0</v>
      </c>
      <c r="J109" s="734">
        <v>2</v>
      </c>
      <c r="K109" s="734">
        <v>0</v>
      </c>
      <c r="L109" s="734">
        <v>0</v>
      </c>
      <c r="M109" s="734">
        <v>24.094999999999999</v>
      </c>
      <c r="N109" s="738">
        <v>6.3421308147232652E-2</v>
      </c>
      <c r="O109" s="696"/>
      <c r="P109" s="716"/>
    </row>
    <row r="110" spans="1:16" ht="16.149999999999999">
      <c r="A110" s="686"/>
      <c r="B110" s="707"/>
      <c r="C110" s="707"/>
      <c r="D110" s="707"/>
      <c r="E110" s="707"/>
      <c r="F110" s="707"/>
      <c r="G110" s="707"/>
      <c r="H110" s="707"/>
      <c r="I110" s="707"/>
      <c r="J110" s="707"/>
      <c r="K110" s="707"/>
      <c r="L110" s="707"/>
      <c r="M110" s="707"/>
      <c r="N110" s="718"/>
      <c r="O110" s="689"/>
      <c r="P110" s="689"/>
    </row>
    <row r="111" spans="1:16" ht="16.149999999999999">
      <c r="A111" s="653" t="s">
        <v>1101</v>
      </c>
      <c r="B111" s="701">
        <v>101.73</v>
      </c>
      <c r="C111" s="701">
        <v>0.215</v>
      </c>
      <c r="D111" s="701">
        <v>1</v>
      </c>
      <c r="E111" s="701">
        <v>0</v>
      </c>
      <c r="F111" s="701">
        <v>0</v>
      </c>
      <c r="G111" s="701">
        <v>102.94500000000001</v>
      </c>
      <c r="H111" s="701">
        <v>91.60499999999999</v>
      </c>
      <c r="I111" s="701">
        <v>0.23100000000000001</v>
      </c>
      <c r="J111" s="701">
        <v>2</v>
      </c>
      <c r="K111" s="701">
        <v>0</v>
      </c>
      <c r="L111" s="701">
        <v>0</v>
      </c>
      <c r="M111" s="701">
        <v>93.835999999999999</v>
      </c>
      <c r="N111" s="702">
        <v>-8.8484142017582285E-2</v>
      </c>
      <c r="O111" s="703"/>
      <c r="P111" s="704"/>
    </row>
    <row r="112" spans="1:16" ht="16.149999999999999">
      <c r="A112" s="686"/>
      <c r="B112" s="707"/>
      <c r="C112" s="707"/>
      <c r="D112" s="707"/>
      <c r="E112" s="707"/>
      <c r="F112" s="707"/>
      <c r="G112" s="707"/>
      <c r="H112" s="707"/>
      <c r="I112" s="707"/>
      <c r="J112" s="707"/>
      <c r="K112" s="707"/>
      <c r="L112" s="707"/>
      <c r="M112" s="707"/>
      <c r="N112" s="718"/>
      <c r="O112" s="689"/>
      <c r="P112" s="689"/>
    </row>
    <row r="113" spans="1:16" ht="16.149999999999999">
      <c r="A113" s="585" t="s">
        <v>1102</v>
      </c>
      <c r="B113" s="213"/>
      <c r="C113" s="213"/>
      <c r="D113" s="213"/>
      <c r="E113" s="213"/>
      <c r="F113" s="213"/>
      <c r="G113" s="213"/>
      <c r="H113" s="213"/>
      <c r="I113" s="213"/>
      <c r="J113" s="213"/>
      <c r="K113" s="213"/>
      <c r="L113" s="213"/>
      <c r="M113" s="213"/>
      <c r="N113" s="706"/>
      <c r="O113" s="588"/>
      <c r="P113" s="588"/>
    </row>
    <row r="114" spans="1:16" ht="62.1" customHeight="1">
      <c r="A114" s="733" t="s">
        <v>1103</v>
      </c>
      <c r="B114" s="150">
        <v>1343.06</v>
      </c>
      <c r="C114" s="723">
        <v>57.252000000000002</v>
      </c>
      <c r="D114" s="723">
        <v>0</v>
      </c>
      <c r="E114" s="723">
        <v>0</v>
      </c>
      <c r="F114" s="723">
        <v>0.159</v>
      </c>
      <c r="G114" s="695">
        <v>1400.471</v>
      </c>
      <c r="H114" s="694">
        <v>1418.72</v>
      </c>
      <c r="I114" s="694">
        <v>67.301999999999992</v>
      </c>
      <c r="J114" s="694">
        <v>0</v>
      </c>
      <c r="K114" s="694">
        <v>0</v>
      </c>
      <c r="L114" s="694">
        <v>0</v>
      </c>
      <c r="M114" s="695">
        <v>1486.0219999999999</v>
      </c>
      <c r="N114" s="371">
        <v>6.1087305627892281E-2</v>
      </c>
      <c r="O114" s="711" t="s">
        <v>1104</v>
      </c>
      <c r="P114" s="714" t="s">
        <v>989</v>
      </c>
    </row>
    <row r="115" spans="1:16" ht="32.450000000000003">
      <c r="A115" s="733" t="s">
        <v>1105</v>
      </c>
      <c r="B115" s="150">
        <v>0</v>
      </c>
      <c r="C115" s="723">
        <v>0</v>
      </c>
      <c r="D115" s="723">
        <v>57.381</v>
      </c>
      <c r="E115" s="723">
        <v>0</v>
      </c>
      <c r="F115" s="723">
        <v>0.32700000000000001</v>
      </c>
      <c r="G115" s="695">
        <v>57.707999999999998</v>
      </c>
      <c r="H115" s="694">
        <v>0</v>
      </c>
      <c r="I115" s="694">
        <v>0</v>
      </c>
      <c r="J115" s="694">
        <v>64.55</v>
      </c>
      <c r="K115" s="694">
        <v>0</v>
      </c>
      <c r="L115" s="694">
        <v>0.32600000000000001</v>
      </c>
      <c r="M115" s="695">
        <v>64.875999999999991</v>
      </c>
      <c r="N115" s="371">
        <v>0.12421154779233369</v>
      </c>
      <c r="O115" s="711" t="s">
        <v>1106</v>
      </c>
      <c r="P115" s="749" t="s">
        <v>1107</v>
      </c>
    </row>
    <row r="116" spans="1:16" ht="32.450000000000003">
      <c r="A116" s="653" t="s">
        <v>1108</v>
      </c>
      <c r="B116" s="701">
        <v>1343.06</v>
      </c>
      <c r="C116" s="701">
        <v>57.252000000000002</v>
      </c>
      <c r="D116" s="701">
        <v>57.381</v>
      </c>
      <c r="E116" s="701">
        <v>0</v>
      </c>
      <c r="F116" s="701">
        <v>0.48599999999999999</v>
      </c>
      <c r="G116" s="701">
        <v>1458.1790000000001</v>
      </c>
      <c r="H116" s="701">
        <v>1418.72</v>
      </c>
      <c r="I116" s="701">
        <v>67.301999999999992</v>
      </c>
      <c r="J116" s="701">
        <v>64.55</v>
      </c>
      <c r="K116" s="701">
        <v>0</v>
      </c>
      <c r="L116" s="701">
        <v>0.32600000000000001</v>
      </c>
      <c r="M116" s="701">
        <v>1550.8979999999999</v>
      </c>
      <c r="N116" s="702">
        <v>6.3585472016809877E-2</v>
      </c>
      <c r="O116" s="703"/>
      <c r="P116" s="704"/>
    </row>
    <row r="117" spans="1:16" ht="16.149999999999999">
      <c r="A117" s="689"/>
      <c r="B117" s="705"/>
      <c r="C117" s="705"/>
      <c r="D117" s="705"/>
      <c r="E117" s="705"/>
      <c r="F117" s="705"/>
      <c r="G117" s="705"/>
      <c r="H117" s="705"/>
      <c r="I117" s="705"/>
      <c r="J117" s="705"/>
      <c r="K117" s="705"/>
      <c r="L117" s="705"/>
      <c r="M117" s="705"/>
      <c r="N117" s="688"/>
      <c r="O117" s="689"/>
      <c r="P117" s="689"/>
    </row>
    <row r="118" spans="1:16" ht="32.450000000000003">
      <c r="A118" s="585" t="s">
        <v>1109</v>
      </c>
      <c r="B118" s="213"/>
      <c r="C118" s="213"/>
      <c r="D118" s="213"/>
      <c r="E118" s="213"/>
      <c r="F118" s="213"/>
      <c r="G118" s="213"/>
      <c r="H118" s="213"/>
      <c r="I118" s="213"/>
      <c r="J118" s="213"/>
      <c r="K118" s="213"/>
      <c r="L118" s="213"/>
      <c r="M118" s="213"/>
      <c r="N118" s="706"/>
      <c r="O118" s="588"/>
      <c r="P118" s="588"/>
    </row>
    <row r="119" spans="1:16" ht="16.149999999999999">
      <c r="A119" s="689"/>
      <c r="B119" s="705"/>
      <c r="C119" s="705"/>
      <c r="D119" s="705"/>
      <c r="E119" s="705"/>
      <c r="F119" s="705"/>
      <c r="G119" s="705"/>
      <c r="H119" s="719"/>
      <c r="I119" s="719"/>
      <c r="J119" s="719"/>
      <c r="K119" s="719"/>
      <c r="L119" s="719"/>
      <c r="M119" s="719"/>
      <c r="N119" s="720"/>
      <c r="O119" s="689"/>
      <c r="P119" s="689"/>
    </row>
    <row r="120" spans="1:16" ht="44.1" customHeight="1">
      <c r="A120" s="733" t="s">
        <v>1110</v>
      </c>
      <c r="B120" s="150">
        <v>303.72199999999998</v>
      </c>
      <c r="C120" s="723">
        <v>27.614999999999998</v>
      </c>
      <c r="D120" s="723">
        <v>0</v>
      </c>
      <c r="E120" s="723">
        <v>0</v>
      </c>
      <c r="F120" s="723">
        <v>3.5000000000000003E-2</v>
      </c>
      <c r="G120" s="734">
        <v>331.37200000000001</v>
      </c>
      <c r="H120" s="694">
        <v>317.29500000000002</v>
      </c>
      <c r="I120" s="694">
        <v>32.999999999999993</v>
      </c>
      <c r="J120" s="694">
        <v>0</v>
      </c>
      <c r="K120" s="694">
        <v>0</v>
      </c>
      <c r="L120" s="694">
        <v>3.5000000000000003E-2</v>
      </c>
      <c r="M120" s="695">
        <v>350.33000000000004</v>
      </c>
      <c r="N120" s="371">
        <v>5.7210627331216957E-2</v>
      </c>
      <c r="O120" s="711" t="s">
        <v>1111</v>
      </c>
      <c r="P120" s="714" t="s">
        <v>989</v>
      </c>
    </row>
    <row r="121" spans="1:16" ht="32.450000000000003">
      <c r="A121" s="733" t="s">
        <v>1112</v>
      </c>
      <c r="B121" s="150">
        <v>0</v>
      </c>
      <c r="C121" s="723">
        <v>0</v>
      </c>
      <c r="D121" s="723">
        <v>32.694000000000003</v>
      </c>
      <c r="E121" s="723">
        <v>0</v>
      </c>
      <c r="F121" s="723">
        <v>0</v>
      </c>
      <c r="G121" s="695">
        <v>32.694000000000003</v>
      </c>
      <c r="H121" s="694">
        <v>0</v>
      </c>
      <c r="I121" s="694">
        <v>0</v>
      </c>
      <c r="J121" s="694">
        <v>43.026000000000003</v>
      </c>
      <c r="K121" s="694">
        <v>0</v>
      </c>
      <c r="L121" s="694">
        <v>0</v>
      </c>
      <c r="M121" s="695">
        <v>43.026000000000003</v>
      </c>
      <c r="N121" s="371">
        <v>0.3160212883097816</v>
      </c>
      <c r="O121" s="711" t="s">
        <v>1113</v>
      </c>
      <c r="P121" s="714" t="s">
        <v>1107</v>
      </c>
    </row>
    <row r="122" spans="1:16" ht="32.450000000000003">
      <c r="A122" s="653" t="s">
        <v>1114</v>
      </c>
      <c r="B122" s="701">
        <v>303.72199999999998</v>
      </c>
      <c r="C122" s="701">
        <v>27.614999999999998</v>
      </c>
      <c r="D122" s="701">
        <v>32.694000000000003</v>
      </c>
      <c r="E122" s="701">
        <v>0</v>
      </c>
      <c r="F122" s="701">
        <v>3.5000000000000003E-2</v>
      </c>
      <c r="G122" s="701">
        <v>364.06600000000003</v>
      </c>
      <c r="H122" s="701">
        <v>317.29500000000002</v>
      </c>
      <c r="I122" s="701">
        <v>32.999999999999993</v>
      </c>
      <c r="J122" s="701">
        <v>43.026000000000003</v>
      </c>
      <c r="K122" s="701">
        <v>0</v>
      </c>
      <c r="L122" s="701">
        <v>3.5000000000000003E-2</v>
      </c>
      <c r="M122" s="701">
        <v>393.35600000000005</v>
      </c>
      <c r="N122" s="702">
        <v>8.0452445435717751E-2</v>
      </c>
      <c r="O122" s="703"/>
      <c r="P122" s="704"/>
    </row>
    <row r="123" spans="1:16" ht="16.149999999999999">
      <c r="A123" s="689"/>
      <c r="B123" s="705"/>
      <c r="C123" s="705"/>
      <c r="D123" s="705"/>
      <c r="E123" s="705"/>
      <c r="F123" s="705"/>
      <c r="G123" s="705"/>
      <c r="H123" s="705"/>
      <c r="I123" s="705"/>
      <c r="J123" s="705"/>
      <c r="K123" s="705"/>
      <c r="L123" s="705"/>
      <c r="M123" s="705"/>
      <c r="N123" s="688"/>
      <c r="O123" s="689"/>
      <c r="P123" s="689"/>
    </row>
    <row r="124" spans="1:16" ht="32.450000000000003">
      <c r="A124" s="585" t="s">
        <v>1115</v>
      </c>
      <c r="B124" s="213"/>
      <c r="C124" s="213"/>
      <c r="D124" s="213"/>
      <c r="E124" s="213"/>
      <c r="F124" s="213"/>
      <c r="G124" s="213"/>
      <c r="H124" s="213"/>
      <c r="I124" s="213"/>
      <c r="J124" s="213"/>
      <c r="K124" s="213"/>
      <c r="L124" s="213"/>
      <c r="M124" s="213"/>
      <c r="N124" s="706"/>
      <c r="O124" s="588"/>
      <c r="P124" s="588"/>
    </row>
    <row r="125" spans="1:16" ht="16.149999999999999">
      <c r="A125" s="689"/>
      <c r="B125" s="707"/>
      <c r="C125" s="707"/>
      <c r="D125" s="707"/>
      <c r="E125" s="707"/>
      <c r="F125" s="707"/>
      <c r="G125" s="707"/>
      <c r="H125" s="750"/>
      <c r="I125" s="750"/>
      <c r="J125" s="750"/>
      <c r="K125" s="750"/>
      <c r="L125" s="750"/>
      <c r="M125" s="750"/>
      <c r="N125" s="751"/>
      <c r="O125" s="689"/>
      <c r="P125" s="689"/>
    </row>
    <row r="126" spans="1:16" ht="48.6">
      <c r="A126" s="709" t="s">
        <v>1116</v>
      </c>
      <c r="B126" s="150">
        <v>101.98699999999999</v>
      </c>
      <c r="C126" s="723">
        <v>33.792000000000002</v>
      </c>
      <c r="D126" s="723">
        <v>0</v>
      </c>
      <c r="E126" s="723">
        <v>0</v>
      </c>
      <c r="F126" s="723">
        <v>2</v>
      </c>
      <c r="G126" s="734">
        <v>137.779</v>
      </c>
      <c r="H126" s="694">
        <v>111.69199999999999</v>
      </c>
      <c r="I126" s="694">
        <v>33.881</v>
      </c>
      <c r="J126" s="694">
        <v>0</v>
      </c>
      <c r="K126" s="694">
        <v>0</v>
      </c>
      <c r="L126" s="694">
        <v>2.7149999999999999</v>
      </c>
      <c r="M126" s="695">
        <v>148.28799999999998</v>
      </c>
      <c r="N126" s="371">
        <v>7.6274323372937727E-2</v>
      </c>
      <c r="O126" s="711" t="s">
        <v>1117</v>
      </c>
      <c r="P126" s="714" t="s">
        <v>989</v>
      </c>
    </row>
    <row r="127" spans="1:16" ht="48.6">
      <c r="A127" s="709" t="s">
        <v>1118</v>
      </c>
      <c r="B127" s="723">
        <v>0</v>
      </c>
      <c r="C127" s="723">
        <v>0</v>
      </c>
      <c r="D127" s="723">
        <v>13.731999999999999</v>
      </c>
      <c r="E127" s="723">
        <v>0</v>
      </c>
      <c r="F127" s="723">
        <v>0</v>
      </c>
      <c r="G127" s="695">
        <v>13.731999999999999</v>
      </c>
      <c r="H127" s="694">
        <v>0</v>
      </c>
      <c r="I127" s="694">
        <v>0</v>
      </c>
      <c r="J127" s="694">
        <v>17.588999999999999</v>
      </c>
      <c r="K127" s="694">
        <v>0</v>
      </c>
      <c r="L127" s="694">
        <v>0</v>
      </c>
      <c r="M127" s="695">
        <v>17.588999999999999</v>
      </c>
      <c r="N127" s="371">
        <v>0.2808767841538013</v>
      </c>
      <c r="O127" s="752" t="s">
        <v>1119</v>
      </c>
      <c r="P127" s="714" t="s">
        <v>1107</v>
      </c>
    </row>
    <row r="128" spans="1:16" ht="32.450000000000003">
      <c r="A128" s="653" t="s">
        <v>1120</v>
      </c>
      <c r="B128" s="701">
        <v>101.98699999999999</v>
      </c>
      <c r="C128" s="701">
        <v>33.792000000000002</v>
      </c>
      <c r="D128" s="701">
        <v>13.731999999999999</v>
      </c>
      <c r="E128" s="701">
        <v>0</v>
      </c>
      <c r="F128" s="701">
        <v>2</v>
      </c>
      <c r="G128" s="701">
        <v>151.511</v>
      </c>
      <c r="H128" s="701">
        <v>111.69199999999999</v>
      </c>
      <c r="I128" s="701">
        <v>33.881</v>
      </c>
      <c r="J128" s="701">
        <v>17.588999999999999</v>
      </c>
      <c r="K128" s="701">
        <v>0</v>
      </c>
      <c r="L128" s="701">
        <v>2.7149999999999999</v>
      </c>
      <c r="M128" s="701">
        <v>165.87699999999998</v>
      </c>
      <c r="N128" s="702">
        <v>9.4818198018625621E-2</v>
      </c>
      <c r="O128" s="703"/>
      <c r="P128" s="704"/>
    </row>
    <row r="129" spans="1:16" ht="16.149999999999999">
      <c r="A129" s="753"/>
      <c r="B129" s="754"/>
      <c r="C129" s="754"/>
      <c r="D129" s="754"/>
      <c r="E129" s="754"/>
      <c r="F129" s="754"/>
      <c r="G129" s="754"/>
      <c r="H129" s="754"/>
      <c r="I129" s="754"/>
      <c r="J129" s="754"/>
      <c r="K129" s="754"/>
      <c r="L129" s="754"/>
      <c r="M129" s="754"/>
      <c r="N129" s="755"/>
      <c r="O129" s="753"/>
      <c r="P129" s="753"/>
    </row>
    <row r="130" spans="1:16" ht="16.149999999999999">
      <c r="A130" s="170" t="s">
        <v>372</v>
      </c>
      <c r="B130" s="169"/>
      <c r="C130" s="169"/>
      <c r="D130" s="169"/>
      <c r="E130" s="169"/>
      <c r="F130" s="169"/>
      <c r="G130" s="168"/>
      <c r="H130" s="169"/>
      <c r="I130" s="169"/>
      <c r="J130" s="169"/>
      <c r="K130" s="169"/>
      <c r="L130" s="169"/>
      <c r="M130" s="168"/>
      <c r="N130" s="755"/>
      <c r="O130" s="753"/>
      <c r="P130" s="753"/>
    </row>
    <row r="131" spans="1:16" s="161" customFormat="1" ht="18.600000000000001">
      <c r="A131" s="756"/>
      <c r="B131" s="757"/>
      <c r="C131" s="757"/>
      <c r="D131" s="757"/>
      <c r="E131" s="757"/>
      <c r="F131" s="757"/>
      <c r="G131" s="757"/>
      <c r="H131" s="757"/>
      <c r="I131" s="757"/>
      <c r="J131" s="757"/>
      <c r="K131" s="757"/>
      <c r="L131" s="757"/>
      <c r="M131" s="757"/>
      <c r="N131" s="758"/>
      <c r="O131" s="756"/>
      <c r="P131" s="756"/>
    </row>
    <row r="132" spans="1:16" ht="16.149999999999999">
      <c r="A132" s="653" t="s">
        <v>1121</v>
      </c>
      <c r="B132" s="759">
        <v>2980.491</v>
      </c>
      <c r="C132" s="759">
        <v>168.36599999999999</v>
      </c>
      <c r="D132" s="759">
        <v>213.78100000000001</v>
      </c>
      <c r="E132" s="759">
        <v>0</v>
      </c>
      <c r="F132" s="759">
        <v>2.5389999999999997</v>
      </c>
      <c r="G132" s="759">
        <v>3365.1770000000006</v>
      </c>
      <c r="H132" s="759">
        <v>3305.0729999999999</v>
      </c>
      <c r="I132" s="759">
        <v>182.94799999999998</v>
      </c>
      <c r="J132" s="759">
        <v>308.02099999999996</v>
      </c>
      <c r="K132" s="759">
        <v>0</v>
      </c>
      <c r="L132" s="759">
        <v>3.0760000000000001</v>
      </c>
      <c r="M132" s="759">
        <v>3799.1179999999999</v>
      </c>
      <c r="N132" s="760">
        <v>0.12895042370728174</v>
      </c>
      <c r="O132" s="664"/>
      <c r="P132" s="761"/>
    </row>
    <row r="133" spans="1:16" ht="16.149999999999999">
      <c r="A133" s="753"/>
      <c r="B133" s="762"/>
      <c r="C133" s="762"/>
      <c r="D133" s="762"/>
      <c r="E133" s="762"/>
      <c r="F133" s="762"/>
      <c r="G133" s="762"/>
      <c r="H133" s="762"/>
      <c r="I133" s="762"/>
      <c r="J133" s="762"/>
      <c r="K133" s="762"/>
      <c r="L133" s="762"/>
      <c r="M133" s="762"/>
      <c r="N133" s="755"/>
      <c r="O133" s="753"/>
      <c r="P133" s="753"/>
    </row>
    <row r="134" spans="1:16" ht="16.149999999999999">
      <c r="A134" s="753"/>
      <c r="B134" s="762"/>
      <c r="C134" s="762"/>
      <c r="D134" s="762"/>
      <c r="E134" s="762"/>
      <c r="F134" s="762"/>
      <c r="G134" s="762"/>
      <c r="H134" s="762"/>
      <c r="I134" s="762"/>
      <c r="J134" s="762"/>
      <c r="K134" s="762"/>
      <c r="L134" s="762"/>
      <c r="M134" s="762"/>
      <c r="N134" s="755"/>
      <c r="O134" s="763"/>
      <c r="P134" s="763"/>
    </row>
    <row r="135" spans="1:16" ht="16.149999999999999">
      <c r="A135" s="764"/>
      <c r="B135" s="762"/>
      <c r="C135" s="762"/>
      <c r="D135" s="762"/>
      <c r="E135" s="762"/>
      <c r="F135" s="762"/>
      <c r="G135" s="762"/>
      <c r="H135" s="762"/>
      <c r="I135" s="762"/>
      <c r="J135" s="762"/>
      <c r="K135" s="762"/>
      <c r="L135" s="762"/>
      <c r="M135" s="762"/>
      <c r="N135" s="762"/>
      <c r="O135" s="753"/>
      <c r="P135" s="765"/>
    </row>
    <row r="136" spans="1:16" ht="32.450000000000003">
      <c r="A136" s="766" t="s">
        <v>669</v>
      </c>
      <c r="B136" s="767"/>
      <c r="C136" s="767"/>
      <c r="D136" s="767"/>
      <c r="E136" s="767"/>
      <c r="F136" s="767"/>
      <c r="G136" s="767"/>
      <c r="H136" s="767"/>
      <c r="I136" s="767"/>
      <c r="J136" s="767"/>
      <c r="K136" s="767"/>
      <c r="L136" s="767"/>
      <c r="M136" s="767"/>
      <c r="N136" s="768"/>
      <c r="O136" s="753"/>
      <c r="P136" s="753"/>
    </row>
    <row r="137" spans="1:16" ht="124.15" customHeight="1">
      <c r="A137" s="769" t="s">
        <v>1122</v>
      </c>
      <c r="B137" s="770">
        <v>86.45</v>
      </c>
      <c r="C137" s="770">
        <v>0</v>
      </c>
      <c r="D137" s="770">
        <v>0</v>
      </c>
      <c r="E137" s="770">
        <v>0</v>
      </c>
      <c r="F137" s="770">
        <v>0</v>
      </c>
      <c r="G137" s="695">
        <v>86.45</v>
      </c>
      <c r="H137" s="694">
        <v>86.45</v>
      </c>
      <c r="I137" s="694">
        <v>0</v>
      </c>
      <c r="J137" s="694">
        <v>0</v>
      </c>
      <c r="K137" s="694">
        <v>0</v>
      </c>
      <c r="L137" s="694">
        <v>0</v>
      </c>
      <c r="M137" s="695">
        <v>86.45</v>
      </c>
      <c r="N137" s="371">
        <v>0</v>
      </c>
      <c r="O137" s="752" t="s">
        <v>238</v>
      </c>
      <c r="P137" s="714" t="s">
        <v>65</v>
      </c>
    </row>
    <row r="138" spans="1:16" ht="32.450000000000003">
      <c r="A138" s="653" t="s">
        <v>1123</v>
      </c>
      <c r="B138" s="771">
        <v>86.45</v>
      </c>
      <c r="C138" s="771">
        <v>0</v>
      </c>
      <c r="D138" s="771">
        <v>0</v>
      </c>
      <c r="E138" s="771">
        <v>0</v>
      </c>
      <c r="F138" s="771">
        <v>0</v>
      </c>
      <c r="G138" s="771">
        <v>86.45</v>
      </c>
      <c r="H138" s="771">
        <v>86.45</v>
      </c>
      <c r="I138" s="771">
        <v>0</v>
      </c>
      <c r="J138" s="771">
        <v>0</v>
      </c>
      <c r="K138" s="771">
        <v>0</v>
      </c>
      <c r="L138" s="771">
        <v>0</v>
      </c>
      <c r="M138" s="771">
        <v>86.45</v>
      </c>
      <c r="N138" s="702">
        <v>0</v>
      </c>
      <c r="O138" s="753"/>
      <c r="P138" s="753"/>
    </row>
    <row r="139" spans="1:16" ht="15">
      <c r="A139" s="665"/>
      <c r="B139" s="666"/>
      <c r="C139" s="666"/>
      <c r="D139" s="666"/>
      <c r="E139" s="666"/>
      <c r="F139" s="666"/>
      <c r="G139" s="666"/>
      <c r="H139" s="666"/>
      <c r="I139" s="666"/>
      <c r="J139" s="666"/>
      <c r="K139" s="666"/>
      <c r="L139" s="666"/>
      <c r="M139" s="666"/>
      <c r="N139" s="666"/>
      <c r="O139" s="666"/>
      <c r="P139" s="666"/>
    </row>
  </sheetData>
  <conditionalFormatting sqref="B135:N135">
    <cfRule type="cellIs" dxfId="0" priority="10" operator="greaterThan">
      <formula>0</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E313-7903-4075-921D-AEFAFBE8F4F2}">
  <sheetPr>
    <tabColor theme="8" tint="-0.499984740745262"/>
  </sheetPr>
  <dimension ref="A1:P228"/>
  <sheetViews>
    <sheetView showGridLines="0" zoomScale="50" zoomScaleNormal="50" workbookViewId="0">
      <pane xSplit="1" ySplit="4" topLeftCell="L83" activePane="bottomRight" state="frozen"/>
      <selection pane="bottomRight" activeCell="P84" sqref="P84"/>
      <selection pane="bottomLeft" activeCell="J21" sqref="J21"/>
      <selection pane="topRight" activeCell="J21" sqref="J21"/>
    </sheetView>
  </sheetViews>
  <sheetFormatPr defaultColWidth="9.28515625" defaultRowHeight="14.45" outlineLevelCol="1"/>
  <cols>
    <col min="1" max="1" width="40.7109375" style="282" customWidth="1"/>
    <col min="2" max="13" width="17.7109375" style="283" customWidth="1" outlineLevel="1"/>
    <col min="14" max="14" width="17.7109375" style="284" customWidth="1" outlineLevel="1"/>
    <col min="15" max="16" width="75.7109375" style="285" customWidth="1" outlineLevel="1"/>
    <col min="17" max="16384" width="9.28515625" style="285"/>
  </cols>
  <sheetData>
    <row r="1" spans="1:16" ht="28.15" customHeight="1" thickBot="1"/>
    <row r="2" spans="1:16" ht="28.15" customHeight="1">
      <c r="A2" s="287"/>
      <c r="B2" s="288"/>
      <c r="C2" s="289"/>
      <c r="D2" s="289"/>
      <c r="E2" s="289"/>
      <c r="F2" s="289"/>
      <c r="G2" s="290"/>
      <c r="H2" s="288"/>
      <c r="I2" s="289"/>
      <c r="J2" s="289"/>
      <c r="K2" s="289"/>
      <c r="L2" s="289"/>
      <c r="M2" s="290"/>
      <c r="N2" s="291"/>
      <c r="O2" s="292"/>
      <c r="P2" s="293"/>
    </row>
    <row r="3" spans="1:16" ht="100.15" customHeight="1">
      <c r="A3" s="294" t="s">
        <v>8</v>
      </c>
      <c r="B3" s="295" t="s">
        <v>11</v>
      </c>
      <c r="C3" s="295" t="s">
        <v>12</v>
      </c>
      <c r="D3" s="295" t="s">
        <v>13</v>
      </c>
      <c r="E3" s="295" t="s">
        <v>14</v>
      </c>
      <c r="F3" s="295" t="s">
        <v>15</v>
      </c>
      <c r="G3" s="295" t="s">
        <v>16</v>
      </c>
      <c r="H3" s="295" t="s">
        <v>17</v>
      </c>
      <c r="I3" s="295" t="s">
        <v>18</v>
      </c>
      <c r="J3" s="295" t="s">
        <v>19</v>
      </c>
      <c r="K3" s="295" t="s">
        <v>20</v>
      </c>
      <c r="L3" s="295" t="s">
        <v>21</v>
      </c>
      <c r="M3" s="295" t="s">
        <v>22</v>
      </c>
      <c r="N3" s="12" t="s">
        <v>23</v>
      </c>
      <c r="O3" s="296" t="s">
        <v>24</v>
      </c>
      <c r="P3" s="297" t="s">
        <v>25</v>
      </c>
    </row>
    <row r="4" spans="1:16" ht="22.9" thickBot="1">
      <c r="A4" s="298"/>
      <c r="B4" s="299"/>
      <c r="C4" s="299"/>
      <c r="D4" s="299"/>
      <c r="E4" s="299"/>
      <c r="F4" s="299"/>
      <c r="G4" s="299"/>
      <c r="H4" s="299"/>
      <c r="I4" s="299"/>
      <c r="J4" s="299"/>
      <c r="K4" s="299"/>
      <c r="L4" s="299"/>
      <c r="M4" s="299"/>
      <c r="N4" s="300"/>
      <c r="O4" s="301"/>
      <c r="P4" s="301"/>
    </row>
    <row r="5" spans="1:16" ht="16.149999999999999">
      <c r="A5" s="302"/>
      <c r="B5" s="303"/>
      <c r="C5" s="303"/>
      <c r="D5" s="303"/>
      <c r="E5" s="303"/>
      <c r="F5" s="303"/>
      <c r="G5" s="303"/>
      <c r="H5" s="303"/>
      <c r="I5" s="303"/>
      <c r="J5" s="303"/>
      <c r="K5" s="303"/>
      <c r="L5" s="303"/>
      <c r="M5" s="303"/>
      <c r="N5" s="304"/>
      <c r="O5" s="305"/>
      <c r="P5" s="305"/>
    </row>
    <row r="6" spans="1:16" ht="16.149999999999999">
      <c r="A6" s="308" t="s">
        <v>1124</v>
      </c>
      <c r="B6" s="309"/>
      <c r="C6" s="309"/>
      <c r="D6" s="309"/>
      <c r="E6" s="309"/>
      <c r="F6" s="309"/>
      <c r="G6" s="309"/>
      <c r="H6" s="309"/>
      <c r="I6" s="309"/>
      <c r="J6" s="309"/>
      <c r="K6" s="309"/>
      <c r="L6" s="309"/>
      <c r="M6" s="309"/>
      <c r="N6" s="309"/>
      <c r="O6" s="309"/>
      <c r="P6" s="309"/>
    </row>
    <row r="7" spans="1:16" customFormat="1" ht="97.15">
      <c r="A7" s="312" t="s">
        <v>1125</v>
      </c>
      <c r="B7" s="313">
        <v>9.3000000000000007</v>
      </c>
      <c r="C7" s="313">
        <v>0</v>
      </c>
      <c r="D7" s="313">
        <v>0</v>
      </c>
      <c r="E7" s="313">
        <v>0</v>
      </c>
      <c r="F7" s="313">
        <v>0</v>
      </c>
      <c r="G7" s="314">
        <v>9.3000000000000007</v>
      </c>
      <c r="H7" s="313">
        <v>9</v>
      </c>
      <c r="I7" s="313">
        <v>0</v>
      </c>
      <c r="J7" s="313">
        <v>32.9</v>
      </c>
      <c r="K7" s="313">
        <v>0</v>
      </c>
      <c r="L7" s="313">
        <v>0</v>
      </c>
      <c r="M7" s="314">
        <v>41.9</v>
      </c>
      <c r="N7" s="315">
        <v>3.5053763440860206</v>
      </c>
      <c r="O7" s="316" t="s">
        <v>1126</v>
      </c>
      <c r="P7" s="317" t="s">
        <v>1127</v>
      </c>
    </row>
    <row r="8" spans="1:16" customFormat="1" ht="16.149999999999999">
      <c r="A8" s="312" t="s">
        <v>1128</v>
      </c>
      <c r="B8" s="313">
        <v>0</v>
      </c>
      <c r="C8" s="313">
        <v>0</v>
      </c>
      <c r="D8" s="313">
        <v>0</v>
      </c>
      <c r="E8" s="313">
        <v>0</v>
      </c>
      <c r="F8" s="313">
        <v>0</v>
      </c>
      <c r="G8" s="314">
        <v>0</v>
      </c>
      <c r="H8" s="313">
        <v>0</v>
      </c>
      <c r="I8" s="313">
        <v>0</v>
      </c>
      <c r="J8" s="313">
        <v>0</v>
      </c>
      <c r="K8" s="313">
        <v>25</v>
      </c>
      <c r="L8" s="313">
        <v>0</v>
      </c>
      <c r="M8" s="314">
        <v>25</v>
      </c>
      <c r="N8" s="315" t="s">
        <v>204</v>
      </c>
      <c r="O8" s="316" t="s">
        <v>238</v>
      </c>
      <c r="P8" s="317" t="s">
        <v>238</v>
      </c>
    </row>
    <row r="9" spans="1:16" customFormat="1" ht="16.149999999999999">
      <c r="A9" s="312" t="s">
        <v>1129</v>
      </c>
      <c r="B9" s="313">
        <v>0</v>
      </c>
      <c r="C9" s="313">
        <v>0</v>
      </c>
      <c r="D9" s="313">
        <v>0</v>
      </c>
      <c r="E9" s="313">
        <v>0</v>
      </c>
      <c r="F9" s="313">
        <v>0</v>
      </c>
      <c r="G9" s="314">
        <v>0</v>
      </c>
      <c r="H9" s="313">
        <v>0</v>
      </c>
      <c r="I9" s="313">
        <v>0</v>
      </c>
      <c r="J9" s="313">
        <v>0</v>
      </c>
      <c r="K9" s="313">
        <v>0</v>
      </c>
      <c r="L9" s="313">
        <v>0</v>
      </c>
      <c r="M9" s="314">
        <v>0</v>
      </c>
      <c r="N9" s="315" t="s">
        <v>204</v>
      </c>
      <c r="O9" s="316" t="s">
        <v>238</v>
      </c>
      <c r="P9" s="317" t="s">
        <v>238</v>
      </c>
    </row>
    <row r="10" spans="1:16" customFormat="1" ht="32.450000000000003">
      <c r="A10" s="318" t="s">
        <v>1130</v>
      </c>
      <c r="B10" s="319">
        <v>9.3000000000000007</v>
      </c>
      <c r="C10" s="319">
        <v>0</v>
      </c>
      <c r="D10" s="319">
        <v>0</v>
      </c>
      <c r="E10" s="319">
        <v>0</v>
      </c>
      <c r="F10" s="319">
        <v>0</v>
      </c>
      <c r="G10" s="319">
        <v>9.3000000000000007</v>
      </c>
      <c r="H10" s="319">
        <v>9</v>
      </c>
      <c r="I10" s="319">
        <v>0</v>
      </c>
      <c r="J10" s="319">
        <v>32.9</v>
      </c>
      <c r="K10" s="319">
        <v>25</v>
      </c>
      <c r="L10" s="319">
        <v>0</v>
      </c>
      <c r="M10" s="319">
        <v>66.900000000000006</v>
      </c>
      <c r="N10" s="319">
        <v>6.1935483870967749</v>
      </c>
      <c r="O10" s="320"/>
      <c r="P10" s="321"/>
    </row>
    <row r="11" spans="1:16" ht="16.149999999999999">
      <c r="A11" s="302"/>
      <c r="B11" s="303"/>
      <c r="C11" s="303"/>
      <c r="D11" s="303"/>
      <c r="E11" s="303"/>
      <c r="F11" s="303"/>
      <c r="G11" s="303"/>
      <c r="H11" s="303"/>
      <c r="I11" s="303"/>
      <c r="J11" s="303"/>
      <c r="K11" s="303"/>
      <c r="L11" s="303"/>
      <c r="M11" s="303"/>
      <c r="N11" s="304"/>
      <c r="O11" s="305"/>
      <c r="P11" s="305"/>
    </row>
    <row r="12" spans="1:16" customFormat="1" ht="16.149999999999999">
      <c r="A12" s="308" t="s">
        <v>1131</v>
      </c>
      <c r="B12" s="213"/>
      <c r="C12" s="213"/>
      <c r="D12" s="213"/>
      <c r="E12" s="213"/>
      <c r="F12" s="213"/>
      <c r="G12" s="213"/>
      <c r="H12" s="213"/>
      <c r="I12" s="213"/>
      <c r="J12" s="213"/>
      <c r="K12" s="213"/>
      <c r="L12" s="213"/>
      <c r="M12" s="213"/>
      <c r="N12" s="322"/>
      <c r="O12" s="323"/>
      <c r="P12" s="323"/>
    </row>
    <row r="13" spans="1:16" ht="16.149999999999999">
      <c r="A13" s="324" t="s">
        <v>1132</v>
      </c>
      <c r="B13" s="325"/>
      <c r="C13" s="325"/>
      <c r="D13" s="325"/>
      <c r="E13" s="325"/>
      <c r="F13" s="325"/>
      <c r="G13" s="325"/>
      <c r="H13" s="325"/>
      <c r="I13" s="325"/>
      <c r="J13" s="325"/>
      <c r="K13" s="325"/>
      <c r="L13" s="325"/>
      <c r="M13" s="325"/>
      <c r="N13" s="326"/>
      <c r="O13" s="327"/>
      <c r="P13" s="327"/>
    </row>
    <row r="14" spans="1:16" customFormat="1" ht="162">
      <c r="A14" s="328" t="s">
        <v>1133</v>
      </c>
      <c r="B14" s="329">
        <v>8.3859999999999992</v>
      </c>
      <c r="C14" s="329">
        <v>0</v>
      </c>
      <c r="D14" s="331">
        <v>68.5</v>
      </c>
      <c r="E14" s="329">
        <v>0</v>
      </c>
      <c r="F14" s="329">
        <v>0</v>
      </c>
      <c r="G14" s="330">
        <v>76.885999999999996</v>
      </c>
      <c r="H14" s="329">
        <v>7.7729999999999997</v>
      </c>
      <c r="I14" s="329">
        <v>0</v>
      </c>
      <c r="J14" s="331">
        <v>38.423999999999999</v>
      </c>
      <c r="K14" s="329">
        <v>0</v>
      </c>
      <c r="L14" s="329">
        <v>0</v>
      </c>
      <c r="M14" s="330">
        <v>46.197000000000003</v>
      </c>
      <c r="N14" s="315">
        <v>-0.39914939000598282</v>
      </c>
      <c r="O14" s="332" t="s">
        <v>1134</v>
      </c>
      <c r="P14" s="333" t="s">
        <v>1135</v>
      </c>
    </row>
    <row r="15" spans="1:16" customFormat="1" ht="32.450000000000003">
      <c r="A15" s="334" t="s">
        <v>1136</v>
      </c>
      <c r="B15" s="335">
        <v>-0.95</v>
      </c>
      <c r="C15" s="335">
        <v>0</v>
      </c>
      <c r="D15" s="335">
        <v>0</v>
      </c>
      <c r="E15" s="335">
        <v>0</v>
      </c>
      <c r="F15" s="335">
        <v>0</v>
      </c>
      <c r="G15" s="336">
        <v>-0.95</v>
      </c>
      <c r="H15" s="335">
        <v>-0.95</v>
      </c>
      <c r="I15" s="335">
        <v>0</v>
      </c>
      <c r="J15" s="335">
        <v>0</v>
      </c>
      <c r="K15" s="335">
        <v>0</v>
      </c>
      <c r="L15" s="335">
        <v>0</v>
      </c>
      <c r="M15" s="336">
        <v>-0.95</v>
      </c>
      <c r="N15" s="315">
        <v>0</v>
      </c>
      <c r="O15" s="32" t="s">
        <v>1137</v>
      </c>
      <c r="P15" s="233" t="s">
        <v>1138</v>
      </c>
    </row>
    <row r="16" spans="1:16" customFormat="1" ht="16.149999999999999">
      <c r="A16" s="203" t="s">
        <v>1139</v>
      </c>
      <c r="B16" s="168">
        <v>7.4359999999999991</v>
      </c>
      <c r="C16" s="168">
        <v>0</v>
      </c>
      <c r="D16" s="168">
        <v>68.5</v>
      </c>
      <c r="E16" s="168">
        <v>0</v>
      </c>
      <c r="F16" s="168">
        <v>0</v>
      </c>
      <c r="G16" s="168">
        <v>75.935999999999993</v>
      </c>
      <c r="H16" s="168">
        <v>6.8229999999999995</v>
      </c>
      <c r="I16" s="168">
        <v>0</v>
      </c>
      <c r="J16" s="168">
        <v>38.423999999999999</v>
      </c>
      <c r="K16" s="168">
        <v>0</v>
      </c>
      <c r="L16" s="168">
        <v>0</v>
      </c>
      <c r="M16" s="168">
        <v>45.247</v>
      </c>
      <c r="N16" s="337">
        <v>-0.40414296249473236</v>
      </c>
      <c r="O16" s="338" t="s">
        <v>238</v>
      </c>
      <c r="P16" s="339" t="s">
        <v>238</v>
      </c>
    </row>
    <row r="17" spans="1:16" customFormat="1"/>
    <row r="18" spans="1:16" ht="16.149999999999999">
      <c r="A18" s="324" t="s">
        <v>1140</v>
      </c>
      <c r="B18" s="325"/>
      <c r="C18" s="325"/>
      <c r="D18" s="325"/>
      <c r="E18" s="325"/>
      <c r="F18" s="325"/>
      <c r="G18" s="325"/>
      <c r="H18" s="325"/>
      <c r="I18" s="325"/>
      <c r="J18" s="325"/>
      <c r="K18" s="325"/>
      <c r="L18" s="325"/>
      <c r="M18" s="325"/>
      <c r="N18" s="326"/>
      <c r="O18" s="327"/>
      <c r="P18" s="327"/>
    </row>
    <row r="19" spans="1:16" customFormat="1" ht="16.149999999999999">
      <c r="A19" s="312" t="s">
        <v>1141</v>
      </c>
      <c r="B19" s="313">
        <v>2.2000000000000002</v>
      </c>
      <c r="C19" s="313">
        <v>0</v>
      </c>
      <c r="D19" s="313">
        <v>0</v>
      </c>
      <c r="E19" s="313">
        <v>0</v>
      </c>
      <c r="F19" s="313">
        <v>0</v>
      </c>
      <c r="G19" s="314">
        <v>2.2000000000000002</v>
      </c>
      <c r="H19" s="313">
        <v>2.2999999999999998</v>
      </c>
      <c r="I19" s="313">
        <v>0</v>
      </c>
      <c r="J19" s="313">
        <v>0</v>
      </c>
      <c r="K19" s="313">
        <v>0</v>
      </c>
      <c r="L19" s="313">
        <v>0</v>
      </c>
      <c r="M19" s="314">
        <v>2.2999999999999998</v>
      </c>
      <c r="N19" s="315">
        <v>4.5454545454545289E-2</v>
      </c>
      <c r="O19" s="316" t="s">
        <v>1142</v>
      </c>
      <c r="P19" s="317" t="s">
        <v>1143</v>
      </c>
    </row>
    <row r="20" spans="1:16" customFormat="1" ht="178.15">
      <c r="A20" s="312" t="s">
        <v>1144</v>
      </c>
      <c r="B20" s="313">
        <v>0</v>
      </c>
      <c r="C20" s="313">
        <v>0</v>
      </c>
      <c r="D20" s="313">
        <v>8</v>
      </c>
      <c r="E20" s="313">
        <v>0</v>
      </c>
      <c r="F20" s="313">
        <v>0</v>
      </c>
      <c r="G20" s="314">
        <v>8</v>
      </c>
      <c r="H20" s="313">
        <v>0</v>
      </c>
      <c r="I20" s="313">
        <v>0</v>
      </c>
      <c r="J20" s="313">
        <v>5</v>
      </c>
      <c r="K20" s="313">
        <v>0</v>
      </c>
      <c r="L20" s="313">
        <v>0</v>
      </c>
      <c r="M20" s="314">
        <v>5</v>
      </c>
      <c r="N20" s="315">
        <v>-0.375</v>
      </c>
      <c r="O20" s="316" t="s">
        <v>1145</v>
      </c>
      <c r="P20" s="317" t="s">
        <v>1146</v>
      </c>
    </row>
    <row r="21" spans="1:16" customFormat="1" ht="16.149999999999999">
      <c r="A21" s="203" t="s">
        <v>1147</v>
      </c>
      <c r="B21" s="168">
        <v>2.2000000000000002</v>
      </c>
      <c r="C21" s="168">
        <v>0</v>
      </c>
      <c r="D21" s="168">
        <v>8</v>
      </c>
      <c r="E21" s="168">
        <v>0</v>
      </c>
      <c r="F21" s="168">
        <v>0</v>
      </c>
      <c r="G21" s="168">
        <v>10.199999999999999</v>
      </c>
      <c r="H21" s="168">
        <v>2.2999999999999998</v>
      </c>
      <c r="I21" s="168">
        <v>0</v>
      </c>
      <c r="J21" s="168">
        <v>5</v>
      </c>
      <c r="K21" s="168">
        <v>0</v>
      </c>
      <c r="L21" s="168">
        <v>0</v>
      </c>
      <c r="M21" s="168">
        <v>7.3</v>
      </c>
      <c r="N21" s="337">
        <v>-0.28431372549019607</v>
      </c>
      <c r="O21" s="338"/>
      <c r="P21" s="339"/>
    </row>
    <row r="22" spans="1:16" ht="16.149999999999999">
      <c r="A22" s="340"/>
      <c r="B22" s="341"/>
      <c r="C22" s="341"/>
      <c r="D22" s="341"/>
      <c r="E22" s="341"/>
      <c r="F22" s="341"/>
      <c r="G22" s="342"/>
      <c r="H22" s="341"/>
      <c r="I22" s="341"/>
      <c r="J22" s="341"/>
      <c r="K22" s="341"/>
      <c r="L22" s="341"/>
      <c r="M22" s="342"/>
      <c r="N22" s="343"/>
      <c r="O22" s="340"/>
      <c r="P22" s="340"/>
    </row>
    <row r="23" spans="1:16" ht="16.149999999999999">
      <c r="A23" s="340"/>
      <c r="B23" s="341"/>
      <c r="C23" s="341"/>
      <c r="D23" s="341"/>
      <c r="E23" s="341"/>
      <c r="F23" s="341"/>
      <c r="G23" s="342"/>
      <c r="H23" s="341"/>
      <c r="I23" s="341"/>
      <c r="J23" s="341"/>
      <c r="K23" s="341"/>
      <c r="L23" s="341"/>
      <c r="M23" s="342"/>
      <c r="N23" s="343"/>
      <c r="O23" s="340"/>
      <c r="P23" s="340"/>
    </row>
    <row r="24" spans="1:16" customFormat="1" ht="16.149999999999999">
      <c r="A24" s="318" t="s">
        <v>1148</v>
      </c>
      <c r="B24" s="319">
        <v>9.6359999999999992</v>
      </c>
      <c r="C24" s="319">
        <v>0</v>
      </c>
      <c r="D24" s="319">
        <v>76.5</v>
      </c>
      <c r="E24" s="319">
        <v>0</v>
      </c>
      <c r="F24" s="319">
        <v>0</v>
      </c>
      <c r="G24" s="319">
        <v>86.135999999999996</v>
      </c>
      <c r="H24" s="319">
        <v>9.1229999999999993</v>
      </c>
      <c r="I24" s="319">
        <v>0</v>
      </c>
      <c r="J24" s="319">
        <v>43.423999999999999</v>
      </c>
      <c r="K24" s="319">
        <v>0</v>
      </c>
      <c r="L24" s="319">
        <v>0</v>
      </c>
      <c r="M24" s="319">
        <v>52.546999999999997</v>
      </c>
      <c r="N24" s="320">
        <v>-0.38995309742732426</v>
      </c>
      <c r="O24" s="321"/>
      <c r="P24" s="344"/>
    </row>
    <row r="25" spans="1:16" ht="16.149999999999999">
      <c r="A25" s="340"/>
      <c r="B25" s="341"/>
      <c r="C25" s="341"/>
      <c r="D25" s="341"/>
      <c r="E25" s="341"/>
      <c r="F25" s="341"/>
      <c r="G25" s="342"/>
      <c r="H25" s="341"/>
      <c r="I25" s="341"/>
      <c r="J25" s="341"/>
      <c r="K25" s="341"/>
      <c r="L25" s="341"/>
      <c r="M25" s="342"/>
      <c r="N25" s="343"/>
      <c r="O25" s="340"/>
      <c r="P25" s="340"/>
    </row>
    <row r="26" spans="1:16" ht="16.149999999999999">
      <c r="A26" s="346" t="s">
        <v>1149</v>
      </c>
      <c r="B26" s="309"/>
      <c r="C26" s="309"/>
      <c r="D26" s="309"/>
      <c r="E26" s="309"/>
      <c r="F26" s="309"/>
      <c r="G26" s="309"/>
      <c r="H26" s="309"/>
      <c r="I26" s="309"/>
      <c r="J26" s="309"/>
      <c r="K26" s="309"/>
      <c r="L26" s="309"/>
      <c r="M26" s="309"/>
      <c r="N26" s="347"/>
      <c r="O26" s="348"/>
      <c r="P26" s="348"/>
    </row>
    <row r="27" spans="1:16" ht="16.149999999999999">
      <c r="A27" s="340"/>
      <c r="B27" s="341"/>
      <c r="C27" s="341"/>
      <c r="D27" s="341"/>
      <c r="E27" s="341"/>
      <c r="F27" s="341"/>
      <c r="G27" s="342"/>
      <c r="H27" s="341"/>
      <c r="I27" s="341"/>
      <c r="J27" s="341"/>
      <c r="K27" s="341"/>
      <c r="L27" s="341"/>
      <c r="M27" s="342"/>
      <c r="N27" s="343"/>
      <c r="O27" s="340"/>
      <c r="P27" s="340"/>
    </row>
    <row r="28" spans="1:16" ht="16.149999999999999">
      <c r="A28" s="349" t="s">
        <v>1150</v>
      </c>
      <c r="B28" s="350"/>
      <c r="C28" s="350"/>
      <c r="D28" s="350"/>
      <c r="E28" s="350"/>
      <c r="F28" s="350"/>
      <c r="G28" s="350"/>
      <c r="H28" s="350"/>
      <c r="I28" s="350"/>
      <c r="J28" s="350"/>
      <c r="K28" s="350"/>
      <c r="L28" s="350"/>
      <c r="M28" s="350"/>
      <c r="N28" s="351"/>
      <c r="O28" s="352"/>
      <c r="P28" s="353"/>
    </row>
    <row r="29" spans="1:16" ht="129.6">
      <c r="A29" s="354" t="s">
        <v>1151</v>
      </c>
      <c r="B29" s="355">
        <v>0</v>
      </c>
      <c r="C29" s="355">
        <v>0</v>
      </c>
      <c r="D29" s="355">
        <v>93.4</v>
      </c>
      <c r="E29" s="355">
        <v>0</v>
      </c>
      <c r="F29" s="355">
        <v>0</v>
      </c>
      <c r="G29" s="356">
        <v>93.4</v>
      </c>
      <c r="H29" s="357">
        <v>0</v>
      </c>
      <c r="I29" s="357">
        <v>0</v>
      </c>
      <c r="J29" s="357">
        <v>140.19999999999999</v>
      </c>
      <c r="K29" s="357">
        <v>0</v>
      </c>
      <c r="L29" s="357">
        <v>0</v>
      </c>
      <c r="M29" s="356">
        <v>140.19999999999999</v>
      </c>
      <c r="N29" s="358">
        <v>0.50107066381156296</v>
      </c>
      <c r="O29" s="359" t="s">
        <v>1152</v>
      </c>
      <c r="P29" s="360" t="s">
        <v>1153</v>
      </c>
    </row>
    <row r="30" spans="1:16" ht="81">
      <c r="A30" s="362" t="s">
        <v>1154</v>
      </c>
      <c r="B30" s="363">
        <v>3.0630000000000002</v>
      </c>
      <c r="C30" s="363">
        <v>0</v>
      </c>
      <c r="D30" s="363">
        <v>0</v>
      </c>
      <c r="E30" s="363">
        <v>0</v>
      </c>
      <c r="F30" s="363">
        <v>0</v>
      </c>
      <c r="G30" s="364">
        <v>3.0630000000000002</v>
      </c>
      <c r="H30" s="357">
        <v>3.5649999999999999</v>
      </c>
      <c r="I30" s="357">
        <v>0</v>
      </c>
      <c r="J30" s="357">
        <v>0</v>
      </c>
      <c r="K30" s="357">
        <v>0</v>
      </c>
      <c r="L30" s="357">
        <v>0</v>
      </c>
      <c r="M30" s="364">
        <v>3.5649999999999999</v>
      </c>
      <c r="N30" s="365">
        <v>0.16389160953313736</v>
      </c>
      <c r="O30" s="366" t="s">
        <v>1155</v>
      </c>
      <c r="P30" s="367" t="s">
        <v>1156</v>
      </c>
    </row>
    <row r="31" spans="1:16" ht="16.149999999999999">
      <c r="A31" s="349" t="s">
        <v>1157</v>
      </c>
      <c r="B31" s="350">
        <v>3.0630000000000002</v>
      </c>
      <c r="C31" s="350">
        <v>0</v>
      </c>
      <c r="D31" s="350">
        <v>93.4</v>
      </c>
      <c r="E31" s="350">
        <v>0</v>
      </c>
      <c r="F31" s="350">
        <v>0</v>
      </c>
      <c r="G31" s="350">
        <v>96.463000000000008</v>
      </c>
      <c r="H31" s="350">
        <v>3.5649999999999999</v>
      </c>
      <c r="I31" s="350">
        <v>0</v>
      </c>
      <c r="J31" s="350">
        <v>140.19999999999999</v>
      </c>
      <c r="K31" s="350">
        <v>0</v>
      </c>
      <c r="L31" s="350">
        <v>0</v>
      </c>
      <c r="M31" s="350">
        <v>143.76499999999999</v>
      </c>
      <c r="N31" s="351">
        <v>0.49036418108497531</v>
      </c>
      <c r="O31" s="352"/>
      <c r="P31" s="353"/>
    </row>
    <row r="32" spans="1:16" ht="16.149999999999999">
      <c r="A32" s="302"/>
      <c r="B32" s="303"/>
      <c r="C32" s="303"/>
      <c r="D32" s="303"/>
      <c r="E32" s="303"/>
      <c r="F32" s="303"/>
      <c r="G32" s="303"/>
      <c r="H32" s="303"/>
      <c r="I32" s="303"/>
      <c r="J32" s="303"/>
      <c r="K32" s="303"/>
      <c r="L32" s="303"/>
      <c r="M32" s="303"/>
      <c r="N32" s="304"/>
      <c r="O32" s="305"/>
      <c r="P32" s="305"/>
    </row>
    <row r="33" spans="1:16" ht="16.149999999999999">
      <c r="A33" s="349" t="s">
        <v>1158</v>
      </c>
      <c r="B33" s="350"/>
      <c r="C33" s="350"/>
      <c r="D33" s="350"/>
      <c r="E33" s="350"/>
      <c r="F33" s="350"/>
      <c r="G33" s="350"/>
      <c r="H33" s="350"/>
      <c r="I33" s="350"/>
      <c r="J33" s="350"/>
      <c r="K33" s="350"/>
      <c r="L33" s="350"/>
      <c r="M33" s="350"/>
      <c r="N33" s="351"/>
      <c r="O33" s="352"/>
      <c r="P33" s="353"/>
    </row>
    <row r="34" spans="1:16" ht="32.450000000000003">
      <c r="A34" s="354" t="s">
        <v>1159</v>
      </c>
      <c r="B34" s="369">
        <v>1</v>
      </c>
      <c r="C34" s="369">
        <v>0</v>
      </c>
      <c r="D34" s="369">
        <v>0</v>
      </c>
      <c r="E34" s="369">
        <v>0</v>
      </c>
      <c r="F34" s="369">
        <v>0</v>
      </c>
      <c r="G34" s="370">
        <v>1</v>
      </c>
      <c r="H34" s="357">
        <v>0</v>
      </c>
      <c r="I34" s="357">
        <v>0</v>
      </c>
      <c r="J34" s="357">
        <v>0</v>
      </c>
      <c r="K34" s="357">
        <v>0</v>
      </c>
      <c r="L34" s="357">
        <v>0</v>
      </c>
      <c r="M34" s="370">
        <v>0</v>
      </c>
      <c r="N34" s="371">
        <v>-1</v>
      </c>
      <c r="O34" s="372" t="s">
        <v>238</v>
      </c>
      <c r="P34" s="373" t="s">
        <v>1160</v>
      </c>
    </row>
    <row r="35" spans="1:16" ht="32.450000000000003">
      <c r="A35" s="354" t="s">
        <v>1161</v>
      </c>
      <c r="B35" s="369">
        <v>0</v>
      </c>
      <c r="C35" s="369">
        <v>0</v>
      </c>
      <c r="D35" s="369">
        <v>0</v>
      </c>
      <c r="E35" s="369">
        <v>0</v>
      </c>
      <c r="F35" s="369">
        <v>0</v>
      </c>
      <c r="G35" s="370">
        <v>0</v>
      </c>
      <c r="H35" s="357">
        <v>0</v>
      </c>
      <c r="I35" s="357">
        <v>0</v>
      </c>
      <c r="J35" s="357">
        <v>0</v>
      </c>
      <c r="K35" s="357">
        <v>0</v>
      </c>
      <c r="L35" s="357">
        <v>0</v>
      </c>
      <c r="M35" s="370">
        <v>0</v>
      </c>
      <c r="N35" s="371" t="s">
        <v>204</v>
      </c>
      <c r="O35" s="372" t="s">
        <v>1162</v>
      </c>
      <c r="P35" s="373" t="s">
        <v>1162</v>
      </c>
    </row>
    <row r="36" spans="1:16" ht="32.450000000000003">
      <c r="A36" s="354" t="s">
        <v>1163</v>
      </c>
      <c r="B36" s="369">
        <v>0</v>
      </c>
      <c r="C36" s="369">
        <v>0</v>
      </c>
      <c r="D36" s="369">
        <v>0</v>
      </c>
      <c r="E36" s="369">
        <v>-2</v>
      </c>
      <c r="F36" s="369">
        <v>0</v>
      </c>
      <c r="G36" s="370">
        <v>-2</v>
      </c>
      <c r="H36" s="357">
        <v>0</v>
      </c>
      <c r="I36" s="357">
        <v>0</v>
      </c>
      <c r="J36" s="357">
        <v>0</v>
      </c>
      <c r="K36" s="357">
        <v>0</v>
      </c>
      <c r="L36" s="357">
        <v>0</v>
      </c>
      <c r="M36" s="370">
        <v>0</v>
      </c>
      <c r="N36" s="371">
        <v>-1</v>
      </c>
      <c r="O36" s="372" t="s">
        <v>1164</v>
      </c>
      <c r="P36" s="373" t="s">
        <v>1162</v>
      </c>
    </row>
    <row r="37" spans="1:16" ht="16.149999999999999">
      <c r="A37" s="349" t="s">
        <v>1165</v>
      </c>
      <c r="B37" s="350">
        <v>1</v>
      </c>
      <c r="C37" s="350">
        <v>0</v>
      </c>
      <c r="D37" s="350">
        <v>0</v>
      </c>
      <c r="E37" s="350">
        <v>-2</v>
      </c>
      <c r="F37" s="350">
        <v>0</v>
      </c>
      <c r="G37" s="350">
        <v>-1</v>
      </c>
      <c r="H37" s="350">
        <v>0</v>
      </c>
      <c r="I37" s="350">
        <v>0</v>
      </c>
      <c r="J37" s="350">
        <v>0</v>
      </c>
      <c r="K37" s="350">
        <v>0</v>
      </c>
      <c r="L37" s="350">
        <v>0</v>
      </c>
      <c r="M37" s="350">
        <v>0</v>
      </c>
      <c r="N37" s="351">
        <v>-1</v>
      </c>
      <c r="O37" s="352"/>
      <c r="P37" s="353"/>
    </row>
    <row r="38" spans="1:16" ht="16.149999999999999">
      <c r="A38" s="305"/>
      <c r="B38" s="374"/>
      <c r="C38" s="374"/>
      <c r="D38" s="374"/>
      <c r="E38" s="374"/>
      <c r="F38" s="374"/>
      <c r="G38" s="375"/>
      <c r="H38" s="374"/>
      <c r="I38" s="374"/>
      <c r="J38" s="374"/>
      <c r="K38" s="374"/>
      <c r="L38" s="374"/>
      <c r="M38" s="375"/>
      <c r="N38" s="376"/>
      <c r="O38" s="377"/>
      <c r="P38" s="377"/>
    </row>
    <row r="39" spans="1:16" ht="16.149999999999999">
      <c r="A39" s="349" t="s">
        <v>1166</v>
      </c>
      <c r="B39" s="350"/>
      <c r="C39" s="350"/>
      <c r="D39" s="350"/>
      <c r="E39" s="350"/>
      <c r="F39" s="350"/>
      <c r="G39" s="350"/>
      <c r="H39" s="350"/>
      <c r="I39" s="350"/>
      <c r="J39" s="350"/>
      <c r="K39" s="350"/>
      <c r="L39" s="350"/>
      <c r="M39" s="350"/>
      <c r="N39" s="351"/>
      <c r="O39" s="352"/>
      <c r="P39" s="353"/>
    </row>
    <row r="40" spans="1:16" ht="178.15">
      <c r="A40" s="354" t="s">
        <v>1166</v>
      </c>
      <c r="B40" s="369">
        <v>30.446000000000002</v>
      </c>
      <c r="C40" s="369">
        <v>3.5</v>
      </c>
      <c r="D40" s="369">
        <v>18.899999999999999</v>
      </c>
      <c r="E40" s="369">
        <v>0</v>
      </c>
      <c r="F40" s="369">
        <v>0</v>
      </c>
      <c r="G40" s="370">
        <v>52.845999999999997</v>
      </c>
      <c r="H40" s="357">
        <v>33.893999999999998</v>
      </c>
      <c r="I40" s="357">
        <v>4.8</v>
      </c>
      <c r="J40" s="357">
        <v>26.3</v>
      </c>
      <c r="K40" s="357">
        <v>0</v>
      </c>
      <c r="L40" s="357">
        <v>0</v>
      </c>
      <c r="M40" s="370">
        <v>64.994</v>
      </c>
      <c r="N40" s="371">
        <v>0.22987548726488294</v>
      </c>
      <c r="O40" s="372" t="s">
        <v>1167</v>
      </c>
      <c r="P40" s="373" t="s">
        <v>1168</v>
      </c>
    </row>
    <row r="41" spans="1:16" ht="16.149999999999999">
      <c r="A41" s="349" t="s">
        <v>1169</v>
      </c>
      <c r="B41" s="350">
        <v>30.446000000000002</v>
      </c>
      <c r="C41" s="350">
        <v>3.5</v>
      </c>
      <c r="D41" s="350">
        <v>18.899999999999999</v>
      </c>
      <c r="E41" s="350">
        <v>0</v>
      </c>
      <c r="F41" s="350">
        <v>0</v>
      </c>
      <c r="G41" s="350">
        <v>52.845999999999997</v>
      </c>
      <c r="H41" s="350">
        <v>33.893999999999998</v>
      </c>
      <c r="I41" s="350">
        <v>4.8</v>
      </c>
      <c r="J41" s="350">
        <v>26.3</v>
      </c>
      <c r="K41" s="350">
        <v>0</v>
      </c>
      <c r="L41" s="350">
        <v>0</v>
      </c>
      <c r="M41" s="350">
        <v>64.994</v>
      </c>
      <c r="N41" s="351">
        <v>0.22987548726488294</v>
      </c>
      <c r="O41" s="352"/>
      <c r="P41" s="353"/>
    </row>
    <row r="42" spans="1:16" ht="16.149999999999999">
      <c r="A42" s="340"/>
      <c r="B42" s="341"/>
      <c r="C42" s="341"/>
      <c r="D42" s="341"/>
      <c r="E42" s="341"/>
      <c r="F42" s="341"/>
      <c r="G42" s="342"/>
      <c r="H42" s="341"/>
      <c r="I42" s="341"/>
      <c r="J42" s="341"/>
      <c r="K42" s="341"/>
      <c r="L42" s="341"/>
      <c r="M42" s="342"/>
      <c r="N42" s="343"/>
      <c r="O42" s="340"/>
      <c r="P42" s="340"/>
    </row>
    <row r="43" spans="1:16" ht="16.149999999999999">
      <c r="A43" s="380" t="s">
        <v>1170</v>
      </c>
      <c r="B43" s="381">
        <v>34.509</v>
      </c>
      <c r="C43" s="381">
        <v>3.5</v>
      </c>
      <c r="D43" s="381">
        <v>112.30000000000001</v>
      </c>
      <c r="E43" s="381">
        <v>-2</v>
      </c>
      <c r="F43" s="381">
        <v>0</v>
      </c>
      <c r="G43" s="381">
        <v>148.309</v>
      </c>
      <c r="H43" s="381">
        <v>37.458999999999996</v>
      </c>
      <c r="I43" s="381">
        <v>4.8</v>
      </c>
      <c r="J43" s="381">
        <v>166.5</v>
      </c>
      <c r="K43" s="381">
        <v>0</v>
      </c>
      <c r="L43" s="381">
        <v>0</v>
      </c>
      <c r="M43" s="381">
        <v>208.75899999999999</v>
      </c>
      <c r="N43" s="382">
        <v>0.22987548726488294</v>
      </c>
      <c r="O43" s="383"/>
      <c r="P43" s="384"/>
    </row>
    <row r="44" spans="1:16" ht="16.149999999999999">
      <c r="A44" s="340"/>
      <c r="B44" s="341"/>
      <c r="C44" s="341"/>
      <c r="D44" s="341"/>
      <c r="E44" s="341"/>
      <c r="F44" s="341"/>
      <c r="G44" s="342"/>
      <c r="H44" s="341"/>
      <c r="I44" s="341"/>
      <c r="J44" s="341"/>
      <c r="K44" s="341"/>
      <c r="L44" s="341"/>
      <c r="M44" s="342"/>
      <c r="N44" s="343"/>
      <c r="O44" s="340"/>
      <c r="P44" s="340"/>
    </row>
    <row r="45" spans="1:16" ht="16.149999999999999">
      <c r="A45" s="346" t="s">
        <v>1171</v>
      </c>
      <c r="B45" s="309"/>
      <c r="C45" s="309"/>
      <c r="D45" s="309"/>
      <c r="E45" s="309"/>
      <c r="F45" s="309"/>
      <c r="G45" s="309"/>
      <c r="H45" s="309"/>
      <c r="I45" s="309"/>
      <c r="J45" s="309"/>
      <c r="K45" s="309"/>
      <c r="L45" s="309"/>
      <c r="M45" s="309"/>
      <c r="N45" s="347"/>
      <c r="O45" s="348"/>
      <c r="P45" s="348"/>
    </row>
    <row r="46" spans="1:16" ht="16.149999999999999">
      <c r="A46" s="340"/>
      <c r="B46" s="341"/>
      <c r="C46" s="341"/>
      <c r="D46" s="341"/>
      <c r="E46" s="341"/>
      <c r="F46" s="341"/>
      <c r="G46" s="341"/>
      <c r="H46" s="341"/>
      <c r="I46" s="341"/>
      <c r="J46" s="341"/>
      <c r="K46" s="341"/>
      <c r="L46" s="341"/>
      <c r="M46" s="341"/>
      <c r="N46" s="343"/>
      <c r="O46" s="340"/>
      <c r="P46" s="340"/>
    </row>
    <row r="47" spans="1:16" ht="16.149999999999999">
      <c r="A47" s="349" t="s">
        <v>1171</v>
      </c>
      <c r="B47" s="350"/>
      <c r="C47" s="350"/>
      <c r="D47" s="350"/>
      <c r="E47" s="350"/>
      <c r="F47" s="350"/>
      <c r="G47" s="350"/>
      <c r="H47" s="350"/>
      <c r="I47" s="350"/>
      <c r="J47" s="350"/>
      <c r="K47" s="350"/>
      <c r="L47" s="350"/>
      <c r="M47" s="350"/>
      <c r="N47" s="351"/>
      <c r="O47" s="352"/>
      <c r="P47" s="353"/>
    </row>
    <row r="48" spans="1:16" ht="162" customHeight="1">
      <c r="A48" s="385" t="s">
        <v>1172</v>
      </c>
      <c r="B48" s="369">
        <v>99.716999999999999</v>
      </c>
      <c r="C48" s="369">
        <v>0</v>
      </c>
      <c r="D48" s="369">
        <v>0</v>
      </c>
      <c r="E48" s="369">
        <v>0</v>
      </c>
      <c r="F48" s="369">
        <v>0</v>
      </c>
      <c r="G48" s="370">
        <v>99.716999999999999</v>
      </c>
      <c r="H48" s="357">
        <v>86.343000000000004</v>
      </c>
      <c r="I48" s="357">
        <v>0</v>
      </c>
      <c r="J48" s="357">
        <v>0</v>
      </c>
      <c r="K48" s="357">
        <v>0</v>
      </c>
      <c r="L48" s="357">
        <v>0</v>
      </c>
      <c r="M48" s="370">
        <v>86.343000000000004</v>
      </c>
      <c r="N48" s="371">
        <v>-0.13411955835013081</v>
      </c>
      <c r="O48" s="385" t="s">
        <v>1173</v>
      </c>
      <c r="P48" s="386" t="s">
        <v>1174</v>
      </c>
    </row>
    <row r="49" spans="1:16" ht="113.45">
      <c r="A49" s="387" t="s">
        <v>1175</v>
      </c>
      <c r="B49" s="388">
        <v>26.655000000000001</v>
      </c>
      <c r="C49" s="388">
        <v>3.5999999999999997E-2</v>
      </c>
      <c r="D49" s="388">
        <v>0</v>
      </c>
      <c r="E49" s="388">
        <v>0</v>
      </c>
      <c r="F49" s="388">
        <v>0</v>
      </c>
      <c r="G49" s="389">
        <v>26.691000000000003</v>
      </c>
      <c r="H49" s="357">
        <v>13</v>
      </c>
      <c r="I49" s="357">
        <v>3.5999999999999997E-2</v>
      </c>
      <c r="J49" s="357">
        <v>0</v>
      </c>
      <c r="K49" s="357">
        <v>0</v>
      </c>
      <c r="L49" s="357">
        <v>0</v>
      </c>
      <c r="M49" s="389">
        <v>13.036</v>
      </c>
      <c r="N49" s="390">
        <v>-0.51159566895208131</v>
      </c>
      <c r="O49" s="387" t="s">
        <v>1176</v>
      </c>
      <c r="P49" s="391" t="s">
        <v>1177</v>
      </c>
    </row>
    <row r="50" spans="1:16" ht="83.25" customHeight="1">
      <c r="A50" s="387" t="s">
        <v>1178</v>
      </c>
      <c r="B50" s="388">
        <v>7.2</v>
      </c>
      <c r="C50" s="388">
        <v>0</v>
      </c>
      <c r="D50" s="388">
        <v>0</v>
      </c>
      <c r="E50" s="388">
        <v>0</v>
      </c>
      <c r="F50" s="388">
        <v>0</v>
      </c>
      <c r="G50" s="389">
        <v>7.2</v>
      </c>
      <c r="H50" s="357">
        <v>3.5</v>
      </c>
      <c r="I50" s="357">
        <v>0</v>
      </c>
      <c r="J50" s="357">
        <v>0</v>
      </c>
      <c r="K50" s="357">
        <v>0</v>
      </c>
      <c r="L50" s="357">
        <v>0</v>
      </c>
      <c r="M50" s="389">
        <v>3.5</v>
      </c>
      <c r="N50" s="390">
        <v>-0.51388888888888895</v>
      </c>
      <c r="O50" s="387" t="s">
        <v>1179</v>
      </c>
      <c r="P50" s="391" t="s">
        <v>1180</v>
      </c>
    </row>
    <row r="51" spans="1:16" ht="32.450000000000003">
      <c r="A51" s="387" t="s">
        <v>1181</v>
      </c>
      <c r="B51" s="388">
        <v>0</v>
      </c>
      <c r="C51" s="388">
        <v>0</v>
      </c>
      <c r="D51" s="388">
        <v>0</v>
      </c>
      <c r="E51" s="388">
        <v>0</v>
      </c>
      <c r="F51" s="388">
        <v>0</v>
      </c>
      <c r="G51" s="389">
        <v>0</v>
      </c>
      <c r="H51" s="357">
        <v>0</v>
      </c>
      <c r="I51" s="357">
        <v>0</v>
      </c>
      <c r="J51" s="357">
        <v>0</v>
      </c>
      <c r="K51" s="357">
        <v>0</v>
      </c>
      <c r="L51" s="357">
        <v>0</v>
      </c>
      <c r="M51" s="389">
        <v>0</v>
      </c>
      <c r="N51" s="390" t="s">
        <v>204</v>
      </c>
      <c r="O51" s="387" t="s">
        <v>238</v>
      </c>
      <c r="P51" s="391" t="s">
        <v>238</v>
      </c>
    </row>
    <row r="52" spans="1:16" ht="16.149999999999999">
      <c r="A52" s="392" t="s">
        <v>1182</v>
      </c>
      <c r="B52" s="393">
        <v>133.572</v>
      </c>
      <c r="C52" s="393">
        <v>3.5999999999999997E-2</v>
      </c>
      <c r="D52" s="393">
        <v>0</v>
      </c>
      <c r="E52" s="393">
        <v>0</v>
      </c>
      <c r="F52" s="393">
        <v>0</v>
      </c>
      <c r="G52" s="393">
        <v>133.608</v>
      </c>
      <c r="H52" s="393">
        <v>102.843</v>
      </c>
      <c r="I52" s="393">
        <v>3.5999999999999997E-2</v>
      </c>
      <c r="J52" s="393">
        <v>0</v>
      </c>
      <c r="K52" s="393">
        <v>0</v>
      </c>
      <c r="L52" s="393">
        <v>0</v>
      </c>
      <c r="M52" s="393">
        <v>102.879</v>
      </c>
      <c r="N52" s="337">
        <v>-0.22999371295132026</v>
      </c>
      <c r="O52" s="394"/>
      <c r="P52" s="395"/>
    </row>
    <row r="53" spans="1:16" ht="16.149999999999999">
      <c r="A53" s="340"/>
      <c r="B53" s="341"/>
      <c r="C53" s="341"/>
      <c r="D53" s="341"/>
      <c r="E53" s="341"/>
      <c r="F53" s="341"/>
      <c r="G53" s="341"/>
      <c r="H53" s="341"/>
      <c r="I53" s="341"/>
      <c r="J53" s="341"/>
      <c r="K53" s="341"/>
      <c r="L53" s="341"/>
      <c r="M53" s="341"/>
      <c r="N53" s="343"/>
      <c r="O53" s="340"/>
      <c r="P53" s="340"/>
    </row>
    <row r="54" spans="1:16" ht="16.149999999999999">
      <c r="A54" s="380" t="s">
        <v>1183</v>
      </c>
      <c r="B54" s="381">
        <v>133.572</v>
      </c>
      <c r="C54" s="381">
        <v>3.5999999999999997E-2</v>
      </c>
      <c r="D54" s="381">
        <v>0</v>
      </c>
      <c r="E54" s="381">
        <v>0</v>
      </c>
      <c r="F54" s="381">
        <v>0</v>
      </c>
      <c r="G54" s="381">
        <v>133.608</v>
      </c>
      <c r="H54" s="381">
        <v>102.843</v>
      </c>
      <c r="I54" s="381">
        <v>3.5999999999999997E-2</v>
      </c>
      <c r="J54" s="381">
        <v>0</v>
      </c>
      <c r="K54" s="381">
        <v>0</v>
      </c>
      <c r="L54" s="381">
        <v>0</v>
      </c>
      <c r="M54" s="381">
        <v>102.879</v>
      </c>
      <c r="N54" s="382">
        <v>-0.22999371295132026</v>
      </c>
      <c r="O54" s="383"/>
      <c r="P54" s="384"/>
    </row>
    <row r="55" spans="1:16" ht="16.149999999999999">
      <c r="A55" s="340"/>
      <c r="B55" s="341"/>
      <c r="C55" s="341"/>
      <c r="D55" s="341"/>
      <c r="E55" s="341"/>
      <c r="F55" s="341"/>
      <c r="G55" s="341"/>
      <c r="H55" s="341"/>
      <c r="I55" s="341"/>
      <c r="J55" s="341"/>
      <c r="K55" s="341"/>
      <c r="L55" s="341"/>
      <c r="M55" s="341"/>
      <c r="N55" s="343"/>
      <c r="O55" s="340"/>
      <c r="P55" s="340"/>
    </row>
    <row r="56" spans="1:16" ht="32.450000000000003">
      <c r="A56" s="397" t="s">
        <v>1184</v>
      </c>
      <c r="B56" s="398"/>
      <c r="C56" s="398"/>
      <c r="D56" s="398"/>
      <c r="E56" s="398"/>
      <c r="F56" s="398"/>
      <c r="G56" s="398"/>
      <c r="H56" s="398"/>
      <c r="I56" s="398"/>
      <c r="J56" s="398"/>
      <c r="K56" s="398"/>
      <c r="L56" s="398"/>
      <c r="M56" s="398"/>
      <c r="N56" s="399"/>
      <c r="O56" s="400"/>
      <c r="P56" s="400"/>
    </row>
    <row r="57" spans="1:16" ht="16.149999999999999">
      <c r="A57" s="340"/>
      <c r="B57" s="341"/>
      <c r="C57" s="341"/>
      <c r="D57" s="341"/>
      <c r="E57" s="341"/>
      <c r="F57" s="341"/>
      <c r="G57" s="341"/>
      <c r="H57" s="341"/>
      <c r="I57" s="341"/>
      <c r="J57" s="341"/>
      <c r="K57" s="341"/>
      <c r="L57" s="341"/>
      <c r="M57" s="341"/>
      <c r="N57" s="343"/>
      <c r="O57" s="401"/>
      <c r="P57" s="401"/>
    </row>
    <row r="58" spans="1:16" ht="16.149999999999999">
      <c r="A58" s="349" t="s">
        <v>1185</v>
      </c>
      <c r="B58" s="350"/>
      <c r="C58" s="350"/>
      <c r="D58" s="350"/>
      <c r="E58" s="350"/>
      <c r="F58" s="350"/>
      <c r="G58" s="350"/>
      <c r="H58" s="350"/>
      <c r="I58" s="350"/>
      <c r="J58" s="350"/>
      <c r="K58" s="350"/>
      <c r="L58" s="350"/>
      <c r="M58" s="350"/>
      <c r="N58" s="351"/>
      <c r="O58" s="402"/>
      <c r="P58" s="402"/>
    </row>
    <row r="59" spans="1:16" ht="32.450000000000003">
      <c r="A59" s="403" t="s">
        <v>1186</v>
      </c>
      <c r="B59" s="369">
        <v>0</v>
      </c>
      <c r="C59" s="369">
        <v>0</v>
      </c>
      <c r="D59" s="369">
        <v>0</v>
      </c>
      <c r="E59" s="369">
        <v>0</v>
      </c>
      <c r="F59" s="369">
        <v>0</v>
      </c>
      <c r="G59" s="370">
        <v>0</v>
      </c>
      <c r="H59" s="357">
        <v>0</v>
      </c>
      <c r="I59" s="357">
        <v>0</v>
      </c>
      <c r="J59" s="357">
        <v>0</v>
      </c>
      <c r="K59" s="357">
        <v>0</v>
      </c>
      <c r="L59" s="357">
        <v>0</v>
      </c>
      <c r="M59" s="370">
        <v>0</v>
      </c>
      <c r="N59" s="371" t="s">
        <v>204</v>
      </c>
      <c r="O59" s="404" t="s">
        <v>238</v>
      </c>
      <c r="P59" s="405" t="s">
        <v>1187</v>
      </c>
    </row>
    <row r="60" spans="1:16" ht="115.5" customHeight="1">
      <c r="A60" s="406" t="s">
        <v>1188</v>
      </c>
      <c r="B60" s="388">
        <v>1</v>
      </c>
      <c r="C60" s="388">
        <v>0</v>
      </c>
      <c r="D60" s="388">
        <v>0.65</v>
      </c>
      <c r="E60" s="388">
        <v>0</v>
      </c>
      <c r="F60" s="388">
        <v>0</v>
      </c>
      <c r="G60" s="389">
        <v>1.65</v>
      </c>
      <c r="H60" s="357">
        <v>2.56</v>
      </c>
      <c r="I60" s="357">
        <v>0</v>
      </c>
      <c r="J60" s="357">
        <v>0</v>
      </c>
      <c r="K60" s="357">
        <v>0</v>
      </c>
      <c r="L60" s="357">
        <v>0</v>
      </c>
      <c r="M60" s="389">
        <v>2.56</v>
      </c>
      <c r="N60" s="390">
        <v>0.55151515151515162</v>
      </c>
      <c r="O60" s="407" t="s">
        <v>1189</v>
      </c>
      <c r="P60" s="408" t="s">
        <v>1190</v>
      </c>
    </row>
    <row r="61" spans="1:16" ht="64.900000000000006">
      <c r="A61" s="406" t="s">
        <v>1191</v>
      </c>
      <c r="B61" s="388">
        <v>12.532</v>
      </c>
      <c r="C61" s="388">
        <v>0</v>
      </c>
      <c r="D61" s="388">
        <v>0</v>
      </c>
      <c r="E61" s="388">
        <v>0</v>
      </c>
      <c r="F61" s="388">
        <v>0</v>
      </c>
      <c r="G61" s="389">
        <v>12.532</v>
      </c>
      <c r="H61" s="357">
        <v>2.4</v>
      </c>
      <c r="I61" s="357">
        <v>0</v>
      </c>
      <c r="J61" s="357">
        <v>0</v>
      </c>
      <c r="K61" s="357">
        <v>0</v>
      </c>
      <c r="L61" s="357">
        <v>0</v>
      </c>
      <c r="M61" s="389">
        <v>2.4</v>
      </c>
      <c r="N61" s="390">
        <v>-0.80849026492180021</v>
      </c>
      <c r="O61" s="407" t="s">
        <v>1192</v>
      </c>
      <c r="P61" s="409" t="s">
        <v>1193</v>
      </c>
    </row>
    <row r="62" spans="1:16" ht="16.149999999999999">
      <c r="A62" s="406" t="s">
        <v>1194</v>
      </c>
      <c r="B62" s="388">
        <v>0</v>
      </c>
      <c r="C62" s="388">
        <v>0</v>
      </c>
      <c r="D62" s="388">
        <v>0</v>
      </c>
      <c r="E62" s="388">
        <v>0</v>
      </c>
      <c r="F62" s="388">
        <v>0</v>
      </c>
      <c r="G62" s="389">
        <v>0</v>
      </c>
      <c r="H62" s="357">
        <v>0</v>
      </c>
      <c r="I62" s="357">
        <v>0</v>
      </c>
      <c r="J62" s="357">
        <v>0</v>
      </c>
      <c r="K62" s="357">
        <v>0</v>
      </c>
      <c r="L62" s="357">
        <v>0</v>
      </c>
      <c r="M62" s="389">
        <v>0</v>
      </c>
      <c r="N62" s="390" t="s">
        <v>204</v>
      </c>
      <c r="O62" s="407" t="s">
        <v>1195</v>
      </c>
      <c r="P62" s="409" t="s">
        <v>238</v>
      </c>
    </row>
    <row r="63" spans="1:16" ht="16.149999999999999">
      <c r="A63" s="392" t="s">
        <v>1196</v>
      </c>
      <c r="B63" s="393">
        <v>13.532</v>
      </c>
      <c r="C63" s="393">
        <v>0</v>
      </c>
      <c r="D63" s="393">
        <v>0.65</v>
      </c>
      <c r="E63" s="393">
        <v>0</v>
      </c>
      <c r="F63" s="393">
        <v>0</v>
      </c>
      <c r="G63" s="393">
        <v>14.182</v>
      </c>
      <c r="H63" s="393">
        <v>4.96</v>
      </c>
      <c r="I63" s="393">
        <v>0</v>
      </c>
      <c r="J63" s="393">
        <v>0</v>
      </c>
      <c r="K63" s="393">
        <v>0</v>
      </c>
      <c r="L63" s="393">
        <v>0</v>
      </c>
      <c r="M63" s="393">
        <v>4.96</v>
      </c>
      <c r="N63" s="337">
        <v>-0.65026089409110144</v>
      </c>
      <c r="O63" s="410"/>
      <c r="P63" s="411"/>
    </row>
    <row r="64" spans="1:16" ht="16.149999999999999">
      <c r="A64" s="340"/>
      <c r="B64" s="341"/>
      <c r="C64" s="341"/>
      <c r="D64" s="341"/>
      <c r="E64" s="341"/>
      <c r="F64" s="341"/>
      <c r="G64" s="341"/>
      <c r="H64" s="341"/>
      <c r="I64" s="341"/>
      <c r="J64" s="341"/>
      <c r="K64" s="341"/>
      <c r="L64" s="341"/>
      <c r="M64" s="341"/>
      <c r="N64" s="343"/>
      <c r="O64" s="401"/>
      <c r="P64" s="401"/>
    </row>
    <row r="65" spans="1:16" ht="16.149999999999999">
      <c r="A65" s="349" t="s">
        <v>1197</v>
      </c>
      <c r="B65" s="350"/>
      <c r="C65" s="350"/>
      <c r="D65" s="350"/>
      <c r="E65" s="350"/>
      <c r="F65" s="350"/>
      <c r="G65" s="350"/>
      <c r="H65" s="350"/>
      <c r="I65" s="350"/>
      <c r="J65" s="350"/>
      <c r="K65" s="350"/>
      <c r="L65" s="350"/>
      <c r="M65" s="350"/>
      <c r="N65" s="351"/>
      <c r="O65" s="402"/>
      <c r="P65" s="402"/>
    </row>
    <row r="66" spans="1:16" ht="113.45">
      <c r="A66" s="412" t="s">
        <v>1198</v>
      </c>
      <c r="B66" s="369">
        <v>139.30600000000001</v>
      </c>
      <c r="C66" s="369">
        <v>0</v>
      </c>
      <c r="D66" s="369">
        <v>0</v>
      </c>
      <c r="E66" s="369">
        <v>0</v>
      </c>
      <c r="F66" s="369">
        <v>0</v>
      </c>
      <c r="G66" s="370">
        <v>139.30600000000001</v>
      </c>
      <c r="H66" s="357">
        <v>131.822</v>
      </c>
      <c r="I66" s="357">
        <v>0</v>
      </c>
      <c r="J66" s="357">
        <v>0</v>
      </c>
      <c r="K66" s="357">
        <v>0</v>
      </c>
      <c r="L66" s="357">
        <v>0</v>
      </c>
      <c r="M66" s="370">
        <v>131.822</v>
      </c>
      <c r="N66" s="371">
        <v>-5.3723457711799982E-2</v>
      </c>
      <c r="O66" s="404" t="s">
        <v>1199</v>
      </c>
      <c r="P66" s="373" t="s">
        <v>1200</v>
      </c>
    </row>
    <row r="67" spans="1:16" ht="81">
      <c r="A67" s="406" t="s">
        <v>1201</v>
      </c>
      <c r="B67" s="388">
        <v>0</v>
      </c>
      <c r="C67" s="388">
        <v>0</v>
      </c>
      <c r="D67" s="388">
        <v>76.938000000000002</v>
      </c>
      <c r="E67" s="388">
        <v>0</v>
      </c>
      <c r="F67" s="388">
        <v>0</v>
      </c>
      <c r="G67" s="389">
        <v>76.938000000000002</v>
      </c>
      <c r="H67" s="357">
        <v>0</v>
      </c>
      <c r="I67" s="357">
        <v>0</v>
      </c>
      <c r="J67" s="357">
        <v>79</v>
      </c>
      <c r="K67" s="357">
        <v>0</v>
      </c>
      <c r="L67" s="357">
        <v>0</v>
      </c>
      <c r="M67" s="389">
        <v>79</v>
      </c>
      <c r="N67" s="390">
        <v>2.68008006446749E-2</v>
      </c>
      <c r="O67" s="407" t="s">
        <v>1202</v>
      </c>
      <c r="P67" s="408" t="s">
        <v>1203</v>
      </c>
    </row>
    <row r="68" spans="1:16" ht="32.450000000000003">
      <c r="A68" s="406" t="s">
        <v>1204</v>
      </c>
      <c r="B68" s="388">
        <v>0</v>
      </c>
      <c r="C68" s="388">
        <v>21.145</v>
      </c>
      <c r="D68" s="388">
        <v>0</v>
      </c>
      <c r="E68" s="388">
        <v>0</v>
      </c>
      <c r="F68" s="388">
        <v>0</v>
      </c>
      <c r="G68" s="389">
        <v>21.145</v>
      </c>
      <c r="H68" s="357">
        <v>0</v>
      </c>
      <c r="I68" s="357">
        <v>14.5</v>
      </c>
      <c r="J68" s="357">
        <v>0</v>
      </c>
      <c r="K68" s="357">
        <v>0</v>
      </c>
      <c r="L68" s="357">
        <v>0</v>
      </c>
      <c r="M68" s="389">
        <v>14.5</v>
      </c>
      <c r="N68" s="390">
        <v>-0.31425868999763534</v>
      </c>
      <c r="O68" s="407" t="s">
        <v>1205</v>
      </c>
      <c r="P68" s="408" t="s">
        <v>238</v>
      </c>
    </row>
    <row r="69" spans="1:16" ht="81">
      <c r="A69" s="406" t="s">
        <v>1206</v>
      </c>
      <c r="B69" s="388">
        <v>0</v>
      </c>
      <c r="C69" s="388">
        <v>0</v>
      </c>
      <c r="D69" s="388">
        <v>0</v>
      </c>
      <c r="E69" s="388">
        <v>48.89</v>
      </c>
      <c r="F69" s="388">
        <v>0</v>
      </c>
      <c r="G69" s="389">
        <v>48.89</v>
      </c>
      <c r="H69" s="357">
        <v>0</v>
      </c>
      <c r="I69" s="357">
        <v>0</v>
      </c>
      <c r="J69" s="357">
        <v>0</v>
      </c>
      <c r="K69" s="357">
        <v>27.4</v>
      </c>
      <c r="L69" s="357">
        <v>0</v>
      </c>
      <c r="M69" s="389">
        <v>27.4</v>
      </c>
      <c r="N69" s="390">
        <v>-0.43955819185927597</v>
      </c>
      <c r="O69" s="407" t="s">
        <v>1207</v>
      </c>
      <c r="P69" s="408" t="s">
        <v>1208</v>
      </c>
    </row>
    <row r="70" spans="1:16" ht="32.450000000000003">
      <c r="A70" s="406" t="s">
        <v>1209</v>
      </c>
      <c r="B70" s="388">
        <v>0</v>
      </c>
      <c r="C70" s="388">
        <v>0</v>
      </c>
      <c r="D70" s="388">
        <v>0</v>
      </c>
      <c r="E70" s="388">
        <v>-20.5</v>
      </c>
      <c r="F70" s="388">
        <v>0</v>
      </c>
      <c r="G70" s="389">
        <v>-20.5</v>
      </c>
      <c r="H70" s="357">
        <v>0</v>
      </c>
      <c r="I70" s="357">
        <v>0</v>
      </c>
      <c r="J70" s="357">
        <v>0</v>
      </c>
      <c r="K70" s="357">
        <v>-27.4</v>
      </c>
      <c r="L70" s="357">
        <v>0</v>
      </c>
      <c r="M70" s="389">
        <v>-27.4</v>
      </c>
      <c r="N70" s="390">
        <v>0.33658536585365845</v>
      </c>
      <c r="O70" s="407" t="s">
        <v>1164</v>
      </c>
      <c r="P70" s="408" t="s">
        <v>238</v>
      </c>
    </row>
    <row r="71" spans="1:16" ht="16.149999999999999">
      <c r="A71" s="392" t="s">
        <v>1210</v>
      </c>
      <c r="B71" s="393">
        <v>139.30600000000001</v>
      </c>
      <c r="C71" s="393">
        <v>21.145</v>
      </c>
      <c r="D71" s="393">
        <v>76.938000000000002</v>
      </c>
      <c r="E71" s="393">
        <v>28.39</v>
      </c>
      <c r="F71" s="393">
        <v>0</v>
      </c>
      <c r="G71" s="393">
        <v>265.77900000000005</v>
      </c>
      <c r="H71" s="393">
        <v>131.822</v>
      </c>
      <c r="I71" s="393">
        <v>14.5</v>
      </c>
      <c r="J71" s="393">
        <v>79</v>
      </c>
      <c r="K71" s="393">
        <v>0</v>
      </c>
      <c r="L71" s="393">
        <v>0</v>
      </c>
      <c r="M71" s="393">
        <v>225.322</v>
      </c>
      <c r="N71" s="337">
        <v>-0.15222045383570576</v>
      </c>
      <c r="O71" s="410"/>
      <c r="P71" s="411"/>
    </row>
    <row r="72" spans="1:16" ht="16.149999999999999">
      <c r="A72" s="413"/>
      <c r="B72" s="414"/>
      <c r="C72" s="414"/>
      <c r="D72" s="414"/>
      <c r="E72" s="414"/>
      <c r="F72" s="414"/>
      <c r="G72" s="415"/>
      <c r="H72" s="414"/>
      <c r="I72" s="414"/>
      <c r="J72" s="414"/>
      <c r="K72" s="414"/>
      <c r="L72" s="414"/>
      <c r="M72" s="415"/>
      <c r="N72" s="416"/>
      <c r="O72" s="417"/>
      <c r="P72" s="417"/>
    </row>
    <row r="73" spans="1:16" ht="32.450000000000003">
      <c r="A73" s="324" t="s">
        <v>1211</v>
      </c>
      <c r="B73" s="325"/>
      <c r="C73" s="325"/>
      <c r="D73" s="325"/>
      <c r="E73" s="325"/>
      <c r="F73" s="325"/>
      <c r="G73" s="325"/>
      <c r="H73" s="325"/>
      <c r="I73" s="325"/>
      <c r="J73" s="325"/>
      <c r="K73" s="325"/>
      <c r="L73" s="325"/>
      <c r="M73" s="325"/>
      <c r="N73" s="326"/>
      <c r="O73" s="327"/>
      <c r="P73" s="327"/>
    </row>
    <row r="74" spans="1:16" ht="113.45">
      <c r="A74" s="404" t="s">
        <v>1212</v>
      </c>
      <c r="B74" s="357">
        <v>29.302</v>
      </c>
      <c r="C74" s="357">
        <v>0</v>
      </c>
      <c r="D74" s="357">
        <v>0</v>
      </c>
      <c r="E74" s="357">
        <v>0</v>
      </c>
      <c r="F74" s="357">
        <v>0</v>
      </c>
      <c r="G74" s="418">
        <v>29.302</v>
      </c>
      <c r="H74" s="357">
        <v>27.864999999999998</v>
      </c>
      <c r="I74" s="357">
        <v>0</v>
      </c>
      <c r="J74" s="357">
        <v>0</v>
      </c>
      <c r="K74" s="357">
        <v>0</v>
      </c>
      <c r="L74" s="357">
        <v>0</v>
      </c>
      <c r="M74" s="418">
        <v>27.864999999999998</v>
      </c>
      <c r="N74" s="419">
        <v>-4.9041021090710575E-2</v>
      </c>
      <c r="O74" s="420" t="s">
        <v>1213</v>
      </c>
      <c r="P74" s="360" t="s">
        <v>1200</v>
      </c>
    </row>
    <row r="75" spans="1:16" ht="81">
      <c r="A75" s="407" t="s">
        <v>1214</v>
      </c>
      <c r="B75" s="421">
        <v>0</v>
      </c>
      <c r="C75" s="421">
        <v>0</v>
      </c>
      <c r="D75" s="421">
        <v>28.43</v>
      </c>
      <c r="E75" s="421">
        <v>0</v>
      </c>
      <c r="F75" s="421">
        <v>0</v>
      </c>
      <c r="G75" s="422">
        <v>28.43</v>
      </c>
      <c r="H75" s="357">
        <v>0</v>
      </c>
      <c r="I75" s="357">
        <v>0</v>
      </c>
      <c r="J75" s="357">
        <v>23.2</v>
      </c>
      <c r="K75" s="357">
        <v>0</v>
      </c>
      <c r="L75" s="357">
        <v>0</v>
      </c>
      <c r="M75" s="422">
        <v>23.2</v>
      </c>
      <c r="N75" s="423">
        <v>-0.18396060499472389</v>
      </c>
      <c r="O75" s="424" t="s">
        <v>1215</v>
      </c>
      <c r="P75" s="367" t="s">
        <v>1203</v>
      </c>
    </row>
    <row r="76" spans="1:16" ht="32.450000000000003">
      <c r="A76" s="407" t="s">
        <v>1216</v>
      </c>
      <c r="B76" s="421">
        <v>0</v>
      </c>
      <c r="C76" s="421">
        <v>0</v>
      </c>
      <c r="D76" s="421">
        <v>0</v>
      </c>
      <c r="E76" s="421">
        <v>2</v>
      </c>
      <c r="F76" s="421">
        <v>0</v>
      </c>
      <c r="G76" s="422">
        <v>2</v>
      </c>
      <c r="H76" s="357">
        <v>0</v>
      </c>
      <c r="I76" s="357">
        <v>0</v>
      </c>
      <c r="J76" s="357">
        <v>0</v>
      </c>
      <c r="K76" s="357">
        <v>0</v>
      </c>
      <c r="L76" s="357">
        <v>0</v>
      </c>
      <c r="M76" s="422">
        <v>0</v>
      </c>
      <c r="N76" s="423">
        <v>-1</v>
      </c>
      <c r="O76" s="424" t="s">
        <v>238</v>
      </c>
      <c r="P76" s="367" t="s">
        <v>238</v>
      </c>
    </row>
    <row r="77" spans="1:16" ht="32.450000000000003">
      <c r="A77" s="407" t="s">
        <v>1217</v>
      </c>
      <c r="B77" s="421">
        <v>0</v>
      </c>
      <c r="C77" s="421">
        <v>0</v>
      </c>
      <c r="D77" s="421">
        <v>0</v>
      </c>
      <c r="E77" s="421">
        <v>-0.1</v>
      </c>
      <c r="F77" s="421">
        <v>0</v>
      </c>
      <c r="G77" s="422">
        <v>-0.1</v>
      </c>
      <c r="H77" s="357"/>
      <c r="I77" s="357"/>
      <c r="J77" s="357"/>
      <c r="K77" s="357">
        <v>0</v>
      </c>
      <c r="L77" s="357"/>
      <c r="M77" s="422">
        <v>0</v>
      </c>
      <c r="N77" s="423"/>
      <c r="O77" s="424"/>
      <c r="P77" s="367"/>
    </row>
    <row r="78" spans="1:16" ht="32.450000000000003">
      <c r="A78" s="407" t="s">
        <v>1218</v>
      </c>
      <c r="B78" s="421">
        <v>0</v>
      </c>
      <c r="C78" s="421">
        <v>3.173</v>
      </c>
      <c r="D78" s="421">
        <v>0</v>
      </c>
      <c r="E78" s="421">
        <v>0</v>
      </c>
      <c r="F78" s="421">
        <v>0</v>
      </c>
      <c r="G78" s="422">
        <v>3.173</v>
      </c>
      <c r="H78" s="357">
        <v>0</v>
      </c>
      <c r="I78" s="357">
        <v>3.6960000000000002</v>
      </c>
      <c r="J78" s="357">
        <v>0</v>
      </c>
      <c r="K78" s="357">
        <v>0</v>
      </c>
      <c r="L78" s="357">
        <v>0</v>
      </c>
      <c r="M78" s="422">
        <v>3.6960000000000002</v>
      </c>
      <c r="N78" s="423">
        <v>0.1648282382603215</v>
      </c>
      <c r="O78" s="424" t="s">
        <v>1219</v>
      </c>
      <c r="P78" s="367" t="s">
        <v>1220</v>
      </c>
    </row>
    <row r="79" spans="1:16" ht="16.149999999999999">
      <c r="A79" s="407" t="s">
        <v>1221</v>
      </c>
      <c r="B79" s="421">
        <v>0</v>
      </c>
      <c r="C79" s="421">
        <v>0</v>
      </c>
      <c r="D79" s="421">
        <v>0</v>
      </c>
      <c r="E79" s="421">
        <v>0</v>
      </c>
      <c r="F79" s="421">
        <v>0</v>
      </c>
      <c r="G79" s="422">
        <v>0</v>
      </c>
      <c r="H79" s="357">
        <v>0</v>
      </c>
      <c r="I79" s="357">
        <v>0</v>
      </c>
      <c r="J79" s="357">
        <v>0</v>
      </c>
      <c r="K79" s="357">
        <v>0</v>
      </c>
      <c r="L79" s="357">
        <v>0</v>
      </c>
      <c r="M79" s="422">
        <v>0</v>
      </c>
      <c r="N79" s="423" t="s">
        <v>204</v>
      </c>
      <c r="O79" s="424" t="s">
        <v>238</v>
      </c>
      <c r="P79" s="367" t="s">
        <v>238</v>
      </c>
    </row>
    <row r="80" spans="1:16" ht="32.450000000000003">
      <c r="A80" s="392" t="s">
        <v>1222</v>
      </c>
      <c r="B80" s="393">
        <v>29.302</v>
      </c>
      <c r="C80" s="393">
        <v>3.173</v>
      </c>
      <c r="D80" s="393">
        <v>28.43</v>
      </c>
      <c r="E80" s="393">
        <v>1.9</v>
      </c>
      <c r="F80" s="393">
        <v>0</v>
      </c>
      <c r="G80" s="393">
        <v>62.805</v>
      </c>
      <c r="H80" s="393">
        <v>27.864999999999998</v>
      </c>
      <c r="I80" s="393">
        <v>3.6960000000000002</v>
      </c>
      <c r="J80" s="393">
        <v>23.2</v>
      </c>
      <c r="K80" s="393">
        <v>0</v>
      </c>
      <c r="L80" s="393">
        <v>0</v>
      </c>
      <c r="M80" s="393">
        <v>54.760999999999996</v>
      </c>
      <c r="N80" s="425">
        <v>-0.12807897460393286</v>
      </c>
      <c r="O80" s="426"/>
      <c r="P80" s="395"/>
    </row>
    <row r="81" spans="1:16" ht="16.149999999999999">
      <c r="A81" s="413"/>
      <c r="B81" s="414"/>
      <c r="C81" s="414"/>
      <c r="D81" s="414"/>
      <c r="E81" s="414"/>
      <c r="F81" s="414"/>
      <c r="G81" s="415"/>
      <c r="H81" s="414"/>
      <c r="I81" s="414"/>
      <c r="J81" s="414"/>
      <c r="K81" s="414"/>
      <c r="L81" s="414"/>
      <c r="M81" s="415"/>
      <c r="N81" s="416"/>
      <c r="O81" s="417"/>
      <c r="P81" s="417"/>
    </row>
    <row r="82" spans="1:16" ht="16.149999999999999">
      <c r="A82" s="349" t="s">
        <v>1223</v>
      </c>
      <c r="B82" s="350"/>
      <c r="C82" s="350"/>
      <c r="D82" s="350"/>
      <c r="E82" s="350"/>
      <c r="F82" s="350"/>
      <c r="G82" s="350"/>
      <c r="H82" s="350"/>
      <c r="I82" s="350"/>
      <c r="J82" s="350"/>
      <c r="K82" s="350"/>
      <c r="L82" s="350"/>
      <c r="M82" s="350"/>
      <c r="N82" s="351"/>
      <c r="O82" s="402"/>
      <c r="P82" s="402"/>
    </row>
    <row r="83" spans="1:16" ht="70.5">
      <c r="A83" s="412" t="s">
        <v>1224</v>
      </c>
      <c r="B83" s="369">
        <v>0</v>
      </c>
      <c r="C83" s="369">
        <v>0</v>
      </c>
      <c r="D83" s="369">
        <v>10.85</v>
      </c>
      <c r="E83" s="369">
        <v>0</v>
      </c>
      <c r="F83" s="369">
        <v>0</v>
      </c>
      <c r="G83" s="370">
        <v>10.85</v>
      </c>
      <c r="H83" s="357">
        <v>0</v>
      </c>
      <c r="I83" s="357">
        <v>0</v>
      </c>
      <c r="J83" s="357">
        <v>0</v>
      </c>
      <c r="K83" s="357">
        <v>0</v>
      </c>
      <c r="L83" s="357">
        <v>0</v>
      </c>
      <c r="M83" s="370">
        <v>0</v>
      </c>
      <c r="N83" s="371">
        <v>-1</v>
      </c>
      <c r="O83" s="404" t="s">
        <v>1225</v>
      </c>
      <c r="P83" s="373" t="s">
        <v>1226</v>
      </c>
    </row>
    <row r="84" spans="1:16" ht="113.45">
      <c r="A84" s="412" t="s">
        <v>1223</v>
      </c>
      <c r="B84" s="369">
        <v>15.268000000000001</v>
      </c>
      <c r="C84" s="369">
        <v>0</v>
      </c>
      <c r="D84" s="369">
        <v>0</v>
      </c>
      <c r="E84" s="369">
        <v>0</v>
      </c>
      <c r="F84" s="369">
        <v>0</v>
      </c>
      <c r="G84" s="370">
        <v>15.268000000000001</v>
      </c>
      <c r="H84" s="357">
        <v>29.353999999999999</v>
      </c>
      <c r="I84" s="357">
        <v>0</v>
      </c>
      <c r="J84" s="357">
        <v>0</v>
      </c>
      <c r="K84" s="357">
        <v>0</v>
      </c>
      <c r="L84" s="357">
        <v>0</v>
      </c>
      <c r="M84" s="370">
        <v>29.353999999999999</v>
      </c>
      <c r="N84" s="371">
        <v>0.92258318050825239</v>
      </c>
      <c r="O84" s="404" t="s">
        <v>1227</v>
      </c>
      <c r="P84" s="373" t="s">
        <v>1228</v>
      </c>
    </row>
    <row r="85" spans="1:16" ht="275.45">
      <c r="A85" s="406" t="s">
        <v>1229</v>
      </c>
      <c r="B85" s="388">
        <v>15.942</v>
      </c>
      <c r="C85" s="388">
        <v>0</v>
      </c>
      <c r="D85" s="388">
        <v>0</v>
      </c>
      <c r="E85" s="388">
        <v>0</v>
      </c>
      <c r="F85" s="388">
        <v>0</v>
      </c>
      <c r="G85" s="389">
        <v>15.942</v>
      </c>
      <c r="H85" s="357">
        <v>13.012</v>
      </c>
      <c r="I85" s="357">
        <v>0</v>
      </c>
      <c r="J85" s="357">
        <v>0</v>
      </c>
      <c r="K85" s="357">
        <v>0</v>
      </c>
      <c r="L85" s="357">
        <v>0</v>
      </c>
      <c r="M85" s="389">
        <v>13.012</v>
      </c>
      <c r="N85" s="390">
        <v>-0.1837912432568059</v>
      </c>
      <c r="O85" s="427" t="s">
        <v>1230</v>
      </c>
      <c r="P85" s="408" t="s">
        <v>1231</v>
      </c>
    </row>
    <row r="86" spans="1:16" ht="32.450000000000003">
      <c r="A86" s="406" t="s">
        <v>1232</v>
      </c>
      <c r="B86" s="388">
        <v>0</v>
      </c>
      <c r="C86" s="388">
        <v>0</v>
      </c>
      <c r="D86" s="388">
        <v>0</v>
      </c>
      <c r="E86" s="388">
        <v>3.15</v>
      </c>
      <c r="F86" s="388">
        <v>0</v>
      </c>
      <c r="G86" s="389">
        <v>3.15</v>
      </c>
      <c r="H86" s="357">
        <v>0</v>
      </c>
      <c r="I86" s="357">
        <v>0</v>
      </c>
      <c r="J86" s="357">
        <v>0</v>
      </c>
      <c r="K86" s="357">
        <v>3.1</v>
      </c>
      <c r="L86" s="357">
        <v>0</v>
      </c>
      <c r="M86" s="389">
        <v>3.1</v>
      </c>
      <c r="N86" s="390">
        <v>-1.5873015873015817E-2</v>
      </c>
      <c r="O86" s="407" t="s">
        <v>1233</v>
      </c>
      <c r="P86" s="408" t="s">
        <v>238</v>
      </c>
    </row>
    <row r="87" spans="1:16" ht="32.450000000000003">
      <c r="A87" s="406" t="s">
        <v>1234</v>
      </c>
      <c r="B87" s="388">
        <v>0</v>
      </c>
      <c r="C87" s="388">
        <v>0</v>
      </c>
      <c r="D87" s="388">
        <v>0</v>
      </c>
      <c r="E87" s="388">
        <v>-10.89</v>
      </c>
      <c r="F87" s="388">
        <v>0</v>
      </c>
      <c r="G87" s="389">
        <v>-10.89</v>
      </c>
      <c r="H87" s="357">
        <v>0</v>
      </c>
      <c r="I87" s="357">
        <v>0</v>
      </c>
      <c r="J87" s="357">
        <v>0</v>
      </c>
      <c r="K87" s="357">
        <v>-9.1999999999999993</v>
      </c>
      <c r="L87" s="357">
        <v>0</v>
      </c>
      <c r="M87" s="389">
        <v>-9.1999999999999993</v>
      </c>
      <c r="N87" s="390">
        <v>-0.15518824609733711</v>
      </c>
      <c r="O87" s="407" t="s">
        <v>1164</v>
      </c>
      <c r="P87" s="408" t="s">
        <v>1235</v>
      </c>
    </row>
    <row r="88" spans="1:16" ht="32.450000000000003">
      <c r="A88" s="392" t="s">
        <v>1236</v>
      </c>
      <c r="B88" s="393">
        <v>31.21</v>
      </c>
      <c r="C88" s="393">
        <v>0</v>
      </c>
      <c r="D88" s="393">
        <v>10.85</v>
      </c>
      <c r="E88" s="393">
        <v>-7.74</v>
      </c>
      <c r="F88" s="393">
        <v>0</v>
      </c>
      <c r="G88" s="393">
        <v>34.32</v>
      </c>
      <c r="H88" s="393">
        <v>42.366</v>
      </c>
      <c r="I88" s="393">
        <v>0</v>
      </c>
      <c r="J88" s="393">
        <v>0</v>
      </c>
      <c r="K88" s="393">
        <v>-6.1</v>
      </c>
      <c r="L88" s="393">
        <v>0</v>
      </c>
      <c r="M88" s="393">
        <v>36.266000000000005</v>
      </c>
      <c r="N88" s="337">
        <v>5.6701631701631845E-2</v>
      </c>
      <c r="O88" s="410"/>
      <c r="P88" s="411"/>
    </row>
    <row r="89" spans="1:16" ht="16.149999999999999">
      <c r="A89" s="340"/>
      <c r="B89" s="341"/>
      <c r="C89" s="341"/>
      <c r="D89" s="341"/>
      <c r="E89" s="341"/>
      <c r="F89" s="341"/>
      <c r="G89" s="341"/>
      <c r="H89" s="341"/>
      <c r="I89" s="341"/>
      <c r="J89" s="341"/>
      <c r="K89" s="341"/>
      <c r="L89" s="341"/>
      <c r="M89" s="341"/>
      <c r="N89" s="343"/>
      <c r="O89" s="401"/>
      <c r="P89" s="401"/>
    </row>
    <row r="90" spans="1:16" ht="16.149999999999999">
      <c r="A90" s="349" t="s">
        <v>1237</v>
      </c>
      <c r="B90" s="428"/>
      <c r="C90" s="428"/>
      <c r="D90" s="428"/>
      <c r="E90" s="428"/>
      <c r="F90" s="428"/>
      <c r="G90" s="428"/>
      <c r="H90" s="428"/>
      <c r="I90" s="428"/>
      <c r="J90" s="428"/>
      <c r="K90" s="428"/>
      <c r="L90" s="428"/>
      <c r="M90" s="428"/>
      <c r="N90" s="429"/>
      <c r="O90" s="353"/>
      <c r="P90" s="353"/>
    </row>
    <row r="91" spans="1:16" ht="210.6">
      <c r="A91" s="404" t="s">
        <v>1237</v>
      </c>
      <c r="B91" s="357">
        <v>15.065</v>
      </c>
      <c r="C91" s="357">
        <v>0.55400000000000005</v>
      </c>
      <c r="D91" s="357">
        <v>15.2</v>
      </c>
      <c r="E91" s="357">
        <v>4</v>
      </c>
      <c r="F91" s="357">
        <v>0</v>
      </c>
      <c r="G91" s="418">
        <v>34.819000000000003</v>
      </c>
      <c r="H91" s="357">
        <v>14.31</v>
      </c>
      <c r="I91" s="357">
        <v>5.3999999999999999E-2</v>
      </c>
      <c r="J91" s="357">
        <v>13</v>
      </c>
      <c r="K91" s="357">
        <v>0</v>
      </c>
      <c r="L91" s="357">
        <v>0</v>
      </c>
      <c r="M91" s="418">
        <v>27.364000000000001</v>
      </c>
      <c r="N91" s="419">
        <v>-0.21410724029983633</v>
      </c>
      <c r="O91" s="420" t="s">
        <v>1238</v>
      </c>
      <c r="P91" s="360" t="s">
        <v>1239</v>
      </c>
    </row>
    <row r="92" spans="1:16" ht="32.450000000000003">
      <c r="A92" s="404" t="s">
        <v>1240</v>
      </c>
      <c r="B92" s="357">
        <v>0</v>
      </c>
      <c r="C92" s="357">
        <v>0</v>
      </c>
      <c r="D92" s="357">
        <v>0</v>
      </c>
      <c r="E92" s="357">
        <v>-0.35</v>
      </c>
      <c r="F92" s="357">
        <v>0</v>
      </c>
      <c r="G92" s="418">
        <v>-0.35</v>
      </c>
      <c r="H92" s="357">
        <v>0</v>
      </c>
      <c r="I92" s="357">
        <v>0</v>
      </c>
      <c r="J92" s="357">
        <v>0</v>
      </c>
      <c r="K92" s="357">
        <v>0</v>
      </c>
      <c r="L92" s="357">
        <v>0</v>
      </c>
      <c r="M92" s="418">
        <v>0</v>
      </c>
      <c r="N92" s="419">
        <v>-1</v>
      </c>
      <c r="O92" s="420" t="s">
        <v>238</v>
      </c>
      <c r="P92" s="360" t="s">
        <v>238</v>
      </c>
    </row>
    <row r="93" spans="1:16" ht="32.450000000000003">
      <c r="A93" s="392" t="s">
        <v>1241</v>
      </c>
      <c r="B93" s="393">
        <v>15.065</v>
      </c>
      <c r="C93" s="393">
        <v>0.55400000000000005</v>
      </c>
      <c r="D93" s="393">
        <v>15.2</v>
      </c>
      <c r="E93" s="393">
        <v>3.65</v>
      </c>
      <c r="F93" s="393">
        <v>0</v>
      </c>
      <c r="G93" s="393">
        <v>34.469000000000001</v>
      </c>
      <c r="H93" s="393">
        <v>14.31</v>
      </c>
      <c r="I93" s="393">
        <v>5.3999999999999999E-2</v>
      </c>
      <c r="J93" s="393">
        <v>13</v>
      </c>
      <c r="K93" s="393">
        <v>0</v>
      </c>
      <c r="L93" s="393">
        <v>0</v>
      </c>
      <c r="M93" s="393">
        <v>27.364000000000001</v>
      </c>
      <c r="N93" s="425">
        <v>-0.20612724477066349</v>
      </c>
      <c r="O93" s="426"/>
      <c r="P93" s="395"/>
    </row>
    <row r="94" spans="1:16" ht="16.149999999999999">
      <c r="A94" s="340"/>
      <c r="B94" s="341"/>
      <c r="C94" s="341"/>
      <c r="D94" s="341"/>
      <c r="E94" s="341"/>
      <c r="F94" s="341"/>
      <c r="G94" s="341"/>
      <c r="H94" s="341"/>
      <c r="I94" s="341"/>
      <c r="J94" s="341"/>
      <c r="K94" s="341"/>
      <c r="L94" s="341"/>
      <c r="M94" s="341"/>
      <c r="N94" s="343"/>
      <c r="O94" s="401"/>
      <c r="P94" s="401"/>
    </row>
    <row r="95" spans="1:16" ht="32.450000000000003">
      <c r="A95" s="380" t="s">
        <v>1242</v>
      </c>
      <c r="B95" s="381">
        <v>228.41499999999999</v>
      </c>
      <c r="C95" s="381">
        <v>24.872</v>
      </c>
      <c r="D95" s="381">
        <v>132.06800000000001</v>
      </c>
      <c r="E95" s="381">
        <v>26.199999999999996</v>
      </c>
      <c r="F95" s="381">
        <v>0</v>
      </c>
      <c r="G95" s="381">
        <v>411.55500000000006</v>
      </c>
      <c r="H95" s="381">
        <v>221.32300000000001</v>
      </c>
      <c r="I95" s="381">
        <v>18.25</v>
      </c>
      <c r="J95" s="381">
        <v>115.2</v>
      </c>
      <c r="K95" s="381">
        <v>-6.1</v>
      </c>
      <c r="L95" s="381">
        <v>0</v>
      </c>
      <c r="M95" s="381">
        <v>348.673</v>
      </c>
      <c r="N95" s="382">
        <v>-0.15279124296874064</v>
      </c>
      <c r="O95" s="430"/>
      <c r="P95" s="431"/>
    </row>
    <row r="96" spans="1:16" ht="16.149999999999999">
      <c r="A96" s="340"/>
      <c r="B96" s="341"/>
      <c r="C96" s="341"/>
      <c r="D96" s="341"/>
      <c r="E96" s="341"/>
      <c r="F96" s="341"/>
      <c r="G96" s="341"/>
      <c r="H96" s="341"/>
      <c r="I96" s="341"/>
      <c r="J96" s="341"/>
      <c r="K96" s="341"/>
      <c r="L96" s="341"/>
      <c r="M96" s="341"/>
      <c r="N96" s="343"/>
      <c r="O96" s="401"/>
      <c r="P96" s="401"/>
    </row>
    <row r="97" spans="1:16" ht="16.149999999999999">
      <c r="A97" s="397" t="s">
        <v>1243</v>
      </c>
      <c r="B97" s="398"/>
      <c r="C97" s="398"/>
      <c r="D97" s="398"/>
      <c r="E97" s="398"/>
      <c r="F97" s="398"/>
      <c r="G97" s="398"/>
      <c r="H97" s="398"/>
      <c r="I97" s="398"/>
      <c r="J97" s="398"/>
      <c r="K97" s="398"/>
      <c r="L97" s="398"/>
      <c r="M97" s="398"/>
      <c r="N97" s="432"/>
      <c r="O97" s="400"/>
      <c r="P97" s="400"/>
    </row>
    <row r="98" spans="1:16" ht="16.149999999999999">
      <c r="A98" s="349" t="s">
        <v>1244</v>
      </c>
      <c r="B98" s="428"/>
      <c r="C98" s="428"/>
      <c r="D98" s="428"/>
      <c r="E98" s="428"/>
      <c r="F98" s="428"/>
      <c r="G98" s="428"/>
      <c r="H98" s="428"/>
      <c r="I98" s="428"/>
      <c r="J98" s="428"/>
      <c r="K98" s="428"/>
      <c r="L98" s="428"/>
      <c r="M98" s="428"/>
      <c r="N98" s="429"/>
      <c r="O98" s="353"/>
      <c r="P98" s="353"/>
    </row>
    <row r="99" spans="1:16" ht="48.6">
      <c r="A99" s="406" t="s">
        <v>1245</v>
      </c>
      <c r="B99" s="388">
        <v>0</v>
      </c>
      <c r="C99" s="388">
        <v>0</v>
      </c>
      <c r="D99" s="388">
        <v>0</v>
      </c>
      <c r="E99" s="388">
        <v>0</v>
      </c>
      <c r="F99" s="388">
        <v>0</v>
      </c>
      <c r="G99" s="389">
        <v>0</v>
      </c>
      <c r="H99" s="357">
        <v>3.7069999999999999</v>
      </c>
      <c r="I99" s="357">
        <v>0</v>
      </c>
      <c r="J99" s="357">
        <v>0</v>
      </c>
      <c r="K99" s="357">
        <v>0</v>
      </c>
      <c r="L99" s="357">
        <v>0</v>
      </c>
      <c r="M99" s="389">
        <v>3.7069999999999999</v>
      </c>
      <c r="N99" s="390" t="s">
        <v>204</v>
      </c>
      <c r="O99" s="407"/>
      <c r="P99" s="408"/>
    </row>
    <row r="100" spans="1:16" ht="16.149999999999999">
      <c r="A100" s="392" t="s">
        <v>1246</v>
      </c>
      <c r="B100" s="393">
        <v>0</v>
      </c>
      <c r="C100" s="393">
        <v>0</v>
      </c>
      <c r="D100" s="393">
        <v>0</v>
      </c>
      <c r="E100" s="393">
        <v>0</v>
      </c>
      <c r="F100" s="393">
        <v>0</v>
      </c>
      <c r="G100" s="393">
        <v>0</v>
      </c>
      <c r="H100" s="393">
        <v>3.7069999999999999</v>
      </c>
      <c r="I100" s="393">
        <v>0</v>
      </c>
      <c r="J100" s="393">
        <v>0</v>
      </c>
      <c r="K100" s="393">
        <v>0</v>
      </c>
      <c r="L100" s="393">
        <v>0</v>
      </c>
      <c r="M100" s="393">
        <v>3.7069999999999999</v>
      </c>
      <c r="N100" s="425" t="s">
        <v>204</v>
      </c>
      <c r="O100" s="410"/>
      <c r="P100" s="411"/>
    </row>
    <row r="101" spans="1:16" ht="16.149999999999999">
      <c r="A101" s="340"/>
      <c r="B101" s="341"/>
      <c r="C101" s="341"/>
      <c r="D101" s="341"/>
      <c r="E101" s="341"/>
      <c r="F101" s="341"/>
      <c r="G101" s="341"/>
      <c r="H101" s="341"/>
      <c r="I101" s="341"/>
      <c r="J101" s="341"/>
      <c r="K101" s="341"/>
      <c r="L101" s="341"/>
      <c r="M101" s="341"/>
      <c r="N101" s="343"/>
      <c r="O101" s="401"/>
      <c r="P101" s="401"/>
    </row>
    <row r="102" spans="1:16" ht="32.450000000000003">
      <c r="A102" s="349" t="s">
        <v>1247</v>
      </c>
      <c r="B102" s="428"/>
      <c r="C102" s="428"/>
      <c r="D102" s="428"/>
      <c r="E102" s="428"/>
      <c r="F102" s="428"/>
      <c r="G102" s="428"/>
      <c r="H102" s="428"/>
      <c r="I102" s="428"/>
      <c r="J102" s="428"/>
      <c r="K102" s="428"/>
      <c r="L102" s="428"/>
      <c r="M102" s="428"/>
      <c r="N102" s="429"/>
      <c r="O102" s="353"/>
      <c r="P102" s="353"/>
    </row>
    <row r="103" spans="1:16" ht="145.9">
      <c r="A103" s="412" t="s">
        <v>1247</v>
      </c>
      <c r="B103" s="388">
        <v>3.0249999999999999</v>
      </c>
      <c r="C103" s="388">
        <v>0</v>
      </c>
      <c r="D103" s="388">
        <v>0</v>
      </c>
      <c r="E103" s="388">
        <v>0</v>
      </c>
      <c r="F103" s="388">
        <v>0</v>
      </c>
      <c r="G103" s="389">
        <v>3.0249999999999999</v>
      </c>
      <c r="H103" s="357">
        <v>3.0249999999999999</v>
      </c>
      <c r="I103" s="357">
        <v>0</v>
      </c>
      <c r="J103" s="357">
        <v>0</v>
      </c>
      <c r="K103" s="357">
        <v>0</v>
      </c>
      <c r="L103" s="357">
        <v>0</v>
      </c>
      <c r="M103" s="389">
        <v>3.0249999999999999</v>
      </c>
      <c r="N103" s="390">
        <v>0</v>
      </c>
      <c r="O103" s="407" t="s">
        <v>1248</v>
      </c>
      <c r="P103" s="408" t="s">
        <v>1138</v>
      </c>
    </row>
    <row r="104" spans="1:16" ht="32.450000000000003">
      <c r="A104" s="349" t="s">
        <v>1249</v>
      </c>
      <c r="B104" s="393">
        <v>3.0249999999999999</v>
      </c>
      <c r="C104" s="393">
        <v>0</v>
      </c>
      <c r="D104" s="393">
        <v>0</v>
      </c>
      <c r="E104" s="393">
        <v>0</v>
      </c>
      <c r="F104" s="393">
        <v>0</v>
      </c>
      <c r="G104" s="393">
        <v>3.0249999999999999</v>
      </c>
      <c r="H104" s="393">
        <v>3.0249999999999999</v>
      </c>
      <c r="I104" s="393">
        <v>0</v>
      </c>
      <c r="J104" s="393">
        <v>0</v>
      </c>
      <c r="K104" s="393">
        <v>0</v>
      </c>
      <c r="L104" s="393">
        <v>0</v>
      </c>
      <c r="M104" s="393">
        <v>3.0249999999999999</v>
      </c>
      <c r="N104" s="425">
        <v>0</v>
      </c>
      <c r="O104" s="410"/>
      <c r="P104" s="411"/>
    </row>
    <row r="105" spans="1:16" ht="16.149999999999999">
      <c r="A105" s="412"/>
      <c r="B105" s="369"/>
      <c r="C105" s="369"/>
      <c r="D105" s="369"/>
      <c r="E105" s="369"/>
      <c r="F105" s="369"/>
      <c r="G105" s="370"/>
      <c r="H105" s="357"/>
      <c r="I105" s="357"/>
      <c r="J105" s="357"/>
      <c r="K105" s="357"/>
      <c r="L105" s="357"/>
      <c r="M105" s="370"/>
      <c r="N105" s="371"/>
      <c r="O105" s="404"/>
      <c r="P105" s="373"/>
    </row>
    <row r="106" spans="1:16" ht="32.450000000000003">
      <c r="A106" s="349" t="s">
        <v>1250</v>
      </c>
      <c r="B106" s="428"/>
      <c r="C106" s="428"/>
      <c r="D106" s="428"/>
      <c r="E106" s="428"/>
      <c r="F106" s="428"/>
      <c r="G106" s="428"/>
      <c r="H106" s="428"/>
      <c r="I106" s="428"/>
      <c r="J106" s="428"/>
      <c r="K106" s="428"/>
      <c r="L106" s="428"/>
      <c r="M106" s="428"/>
      <c r="N106" s="429"/>
      <c r="O106" s="353"/>
      <c r="P106" s="353"/>
    </row>
    <row r="107" spans="1:16" ht="243">
      <c r="A107" s="412" t="s">
        <v>1250</v>
      </c>
      <c r="B107" s="369">
        <v>6.26</v>
      </c>
      <c r="C107" s="369">
        <v>0</v>
      </c>
      <c r="D107" s="369">
        <v>0</v>
      </c>
      <c r="E107" s="369">
        <v>0</v>
      </c>
      <c r="F107" s="369">
        <v>0</v>
      </c>
      <c r="G107" s="370">
        <v>6.26</v>
      </c>
      <c r="H107" s="357">
        <v>6.15</v>
      </c>
      <c r="I107" s="357">
        <v>0</v>
      </c>
      <c r="J107" s="357">
        <v>0</v>
      </c>
      <c r="K107" s="357">
        <v>0</v>
      </c>
      <c r="L107" s="357">
        <v>0</v>
      </c>
      <c r="M107" s="370">
        <v>6.15</v>
      </c>
      <c r="N107" s="371">
        <v>-1.7571884984025468E-2</v>
      </c>
      <c r="O107" s="404" t="s">
        <v>1251</v>
      </c>
      <c r="P107" s="373" t="s">
        <v>1252</v>
      </c>
    </row>
    <row r="108" spans="1:16" ht="32.450000000000003">
      <c r="A108" s="349" t="s">
        <v>1253</v>
      </c>
      <c r="B108" s="393">
        <v>6.26</v>
      </c>
      <c r="C108" s="393">
        <v>0</v>
      </c>
      <c r="D108" s="393">
        <v>0</v>
      </c>
      <c r="E108" s="393">
        <v>0</v>
      </c>
      <c r="F108" s="393">
        <v>0</v>
      </c>
      <c r="G108" s="393">
        <v>6.26</v>
      </c>
      <c r="H108" s="393">
        <v>6.15</v>
      </c>
      <c r="I108" s="393">
        <v>0</v>
      </c>
      <c r="J108" s="393">
        <v>0</v>
      </c>
      <c r="K108" s="393">
        <v>0</v>
      </c>
      <c r="L108" s="393">
        <v>0</v>
      </c>
      <c r="M108" s="393">
        <v>6.15</v>
      </c>
      <c r="N108" s="425">
        <v>-1.7571884984025468E-2</v>
      </c>
      <c r="O108" s="410"/>
      <c r="P108" s="411"/>
    </row>
    <row r="109" spans="1:16" ht="16.149999999999999">
      <c r="A109" s="340"/>
      <c r="B109" s="341"/>
      <c r="C109" s="341"/>
      <c r="D109" s="341"/>
      <c r="E109" s="341"/>
      <c r="F109" s="341"/>
      <c r="G109" s="341"/>
      <c r="H109" s="341"/>
      <c r="I109" s="341"/>
      <c r="J109" s="341"/>
      <c r="K109" s="341"/>
      <c r="L109" s="341"/>
      <c r="M109" s="341"/>
      <c r="N109" s="343"/>
      <c r="O109" s="401"/>
      <c r="P109" s="401"/>
    </row>
    <row r="110" spans="1:16" ht="32.450000000000003">
      <c r="A110" s="380" t="s">
        <v>1254</v>
      </c>
      <c r="B110" s="381">
        <v>9.2850000000000001</v>
      </c>
      <c r="C110" s="381">
        <v>0</v>
      </c>
      <c r="D110" s="381">
        <v>0</v>
      </c>
      <c r="E110" s="381">
        <v>0</v>
      </c>
      <c r="F110" s="381">
        <v>0</v>
      </c>
      <c r="G110" s="381">
        <v>9.2850000000000001</v>
      </c>
      <c r="H110" s="381">
        <v>12.882</v>
      </c>
      <c r="I110" s="381">
        <v>0</v>
      </c>
      <c r="J110" s="381">
        <v>0</v>
      </c>
      <c r="K110" s="381">
        <v>0</v>
      </c>
      <c r="L110" s="381">
        <v>0</v>
      </c>
      <c r="M110" s="381">
        <v>12.882</v>
      </c>
      <c r="N110" s="382">
        <v>0.38739903069466874</v>
      </c>
      <c r="O110" s="430"/>
      <c r="P110" s="433"/>
    </row>
    <row r="111" spans="1:16" ht="16.149999999999999">
      <c r="A111" s="340"/>
      <c r="B111" s="341"/>
      <c r="C111" s="341"/>
      <c r="D111" s="341"/>
      <c r="E111" s="341"/>
      <c r="F111" s="341"/>
      <c r="G111" s="341"/>
      <c r="H111" s="341"/>
      <c r="I111" s="341"/>
      <c r="J111" s="341"/>
      <c r="K111" s="341"/>
      <c r="L111" s="341"/>
      <c r="M111" s="341"/>
      <c r="N111" s="343"/>
      <c r="O111" s="401"/>
      <c r="P111" s="401"/>
    </row>
    <row r="112" spans="1:16" ht="32.450000000000003">
      <c r="A112" s="397" t="s">
        <v>1255</v>
      </c>
      <c r="B112" s="398"/>
      <c r="C112" s="398"/>
      <c r="D112" s="398"/>
      <c r="E112" s="398"/>
      <c r="F112" s="398"/>
      <c r="G112" s="398"/>
      <c r="H112" s="398"/>
      <c r="I112" s="398"/>
      <c r="J112" s="398"/>
      <c r="K112" s="398"/>
      <c r="L112" s="398"/>
      <c r="M112" s="398"/>
      <c r="N112" s="399"/>
      <c r="O112" s="348"/>
      <c r="P112" s="348"/>
    </row>
    <row r="113" spans="1:16" ht="48.6">
      <c r="A113" s="434" t="s">
        <v>1255</v>
      </c>
      <c r="B113" s="369">
        <v>5.827</v>
      </c>
      <c r="C113" s="369">
        <v>1.07</v>
      </c>
      <c r="D113" s="369">
        <v>1.3540000000000001</v>
      </c>
      <c r="E113" s="369">
        <v>0</v>
      </c>
      <c r="F113" s="369">
        <v>0</v>
      </c>
      <c r="G113" s="370">
        <v>8.2510000000000012</v>
      </c>
      <c r="H113" s="357">
        <v>2.8</v>
      </c>
      <c r="I113" s="357">
        <v>0.31</v>
      </c>
      <c r="J113" s="357">
        <v>0</v>
      </c>
      <c r="K113" s="357">
        <v>0</v>
      </c>
      <c r="L113" s="357">
        <v>0</v>
      </c>
      <c r="M113" s="370">
        <v>3.11</v>
      </c>
      <c r="N113" s="371">
        <v>-0.62307599078899545</v>
      </c>
      <c r="O113" s="434" t="s">
        <v>1256</v>
      </c>
      <c r="P113" s="405" t="s">
        <v>1257</v>
      </c>
    </row>
    <row r="114" spans="1:16" ht="97.15">
      <c r="A114" s="434" t="s">
        <v>1258</v>
      </c>
      <c r="B114" s="388">
        <v>0</v>
      </c>
      <c r="C114" s="388">
        <v>0</v>
      </c>
      <c r="D114" s="388">
        <v>0</v>
      </c>
      <c r="E114" s="388">
        <v>240</v>
      </c>
      <c r="F114" s="388">
        <v>0</v>
      </c>
      <c r="G114" s="389">
        <v>240</v>
      </c>
      <c r="H114" s="357">
        <v>0</v>
      </c>
      <c r="I114" s="357">
        <v>0</v>
      </c>
      <c r="J114" s="357">
        <v>0</v>
      </c>
      <c r="K114" s="357">
        <v>180.9</v>
      </c>
      <c r="L114" s="357">
        <v>0</v>
      </c>
      <c r="M114" s="389">
        <v>180.9</v>
      </c>
      <c r="N114" s="390">
        <v>-0.24624999999999997</v>
      </c>
      <c r="O114" s="435" t="s">
        <v>1259</v>
      </c>
      <c r="P114" s="409" t="s">
        <v>1260</v>
      </c>
    </row>
    <row r="115" spans="1:16" ht="32.450000000000003">
      <c r="A115" s="406" t="s">
        <v>1261</v>
      </c>
      <c r="B115" s="388">
        <v>0</v>
      </c>
      <c r="C115" s="388">
        <v>0</v>
      </c>
      <c r="D115" s="388">
        <v>0</v>
      </c>
      <c r="E115" s="388">
        <v>-2.2000000000000002</v>
      </c>
      <c r="F115" s="388">
        <v>0</v>
      </c>
      <c r="G115" s="389">
        <v>-2.2000000000000002</v>
      </c>
      <c r="H115" s="357">
        <v>0</v>
      </c>
      <c r="I115" s="357">
        <v>0</v>
      </c>
      <c r="J115" s="357">
        <v>0</v>
      </c>
      <c r="K115" s="357">
        <v>-6.9</v>
      </c>
      <c r="L115" s="357">
        <v>0</v>
      </c>
      <c r="M115" s="389">
        <v>-6.9</v>
      </c>
      <c r="N115" s="390">
        <v>2.1363636363636362</v>
      </c>
      <c r="O115" s="407" t="s">
        <v>1262</v>
      </c>
      <c r="P115" s="408" t="s">
        <v>1263</v>
      </c>
    </row>
    <row r="116" spans="1:16" ht="32.450000000000003">
      <c r="A116" s="380" t="s">
        <v>1264</v>
      </c>
      <c r="B116" s="381">
        <v>5.827</v>
      </c>
      <c r="C116" s="381">
        <v>1.07</v>
      </c>
      <c r="D116" s="381">
        <v>1.3540000000000001</v>
      </c>
      <c r="E116" s="381">
        <v>237.8</v>
      </c>
      <c r="F116" s="381">
        <v>0</v>
      </c>
      <c r="G116" s="381">
        <v>246.05100000000002</v>
      </c>
      <c r="H116" s="381">
        <v>2.8</v>
      </c>
      <c r="I116" s="381">
        <v>0.31</v>
      </c>
      <c r="J116" s="381">
        <v>0</v>
      </c>
      <c r="K116" s="381">
        <v>174</v>
      </c>
      <c r="L116" s="381">
        <v>0</v>
      </c>
      <c r="M116" s="381">
        <v>177.11</v>
      </c>
      <c r="N116" s="382">
        <v>-0.28018987933395922</v>
      </c>
      <c r="O116" s="436"/>
      <c r="P116" s="346"/>
    </row>
    <row r="117" spans="1:16" ht="16.149999999999999">
      <c r="A117" s="437"/>
      <c r="B117" s="438"/>
      <c r="C117" s="438"/>
      <c r="D117" s="438"/>
      <c r="E117" s="438"/>
      <c r="F117" s="438"/>
      <c r="G117" s="438"/>
      <c r="H117" s="438"/>
      <c r="I117" s="438"/>
      <c r="J117" s="438"/>
      <c r="K117" s="438"/>
      <c r="L117" s="438"/>
      <c r="M117" s="438"/>
      <c r="N117" s="439"/>
      <c r="O117" s="440"/>
      <c r="P117" s="440"/>
    </row>
    <row r="118" spans="1:16" ht="16.149999999999999">
      <c r="A118" s="441" t="s">
        <v>1265</v>
      </c>
      <c r="B118" s="442"/>
      <c r="C118" s="442"/>
      <c r="D118" s="442"/>
      <c r="E118" s="442"/>
      <c r="F118" s="442"/>
      <c r="G118" s="442"/>
      <c r="H118" s="442"/>
      <c r="I118" s="442"/>
      <c r="J118" s="442"/>
      <c r="K118" s="442"/>
      <c r="L118" s="442"/>
      <c r="M118" s="442"/>
      <c r="N118" s="443"/>
      <c r="O118" s="444"/>
      <c r="P118" s="444"/>
    </row>
    <row r="119" spans="1:16" ht="16.149999999999999">
      <c r="A119" s="302"/>
      <c r="B119" s="303"/>
      <c r="C119" s="303"/>
      <c r="D119" s="303"/>
      <c r="E119" s="303"/>
      <c r="F119" s="303"/>
      <c r="G119" s="303"/>
      <c r="H119" s="303"/>
      <c r="I119" s="303"/>
      <c r="J119" s="303"/>
      <c r="K119" s="303"/>
      <c r="L119" s="303"/>
      <c r="M119" s="303"/>
      <c r="N119" s="304"/>
      <c r="O119" s="305"/>
      <c r="P119" s="305"/>
    </row>
    <row r="120" spans="1:16" ht="16.149999999999999">
      <c r="A120" s="445" t="s">
        <v>1266</v>
      </c>
      <c r="B120" s="428"/>
      <c r="C120" s="428"/>
      <c r="D120" s="428"/>
      <c r="E120" s="428"/>
      <c r="F120" s="428"/>
      <c r="G120" s="428"/>
      <c r="H120" s="428"/>
      <c r="I120" s="428"/>
      <c r="J120" s="428"/>
      <c r="K120" s="428"/>
      <c r="L120" s="428"/>
      <c r="M120" s="428"/>
      <c r="N120" s="326"/>
      <c r="O120" s="446"/>
      <c r="P120" s="446"/>
    </row>
    <row r="121" spans="1:16" ht="129.6">
      <c r="A121" s="406" t="s">
        <v>1266</v>
      </c>
      <c r="B121" s="363">
        <v>12.71</v>
      </c>
      <c r="C121" s="363">
        <v>0</v>
      </c>
      <c r="D121" s="363">
        <v>191.31</v>
      </c>
      <c r="E121" s="363">
        <v>0</v>
      </c>
      <c r="F121" s="363">
        <v>0</v>
      </c>
      <c r="G121" s="364">
        <v>204.02</v>
      </c>
      <c r="H121" s="357">
        <v>12.7</v>
      </c>
      <c r="I121" s="357">
        <v>0</v>
      </c>
      <c r="J121" s="357">
        <v>190</v>
      </c>
      <c r="K121" s="357">
        <v>0</v>
      </c>
      <c r="L121" s="357">
        <v>0</v>
      </c>
      <c r="M121" s="364">
        <v>202.7</v>
      </c>
      <c r="N121" s="365">
        <v>-6.4699539260857832E-3</v>
      </c>
      <c r="O121" s="366" t="s">
        <v>1267</v>
      </c>
      <c r="P121" s="367" t="s">
        <v>1268</v>
      </c>
    </row>
    <row r="122" spans="1:16" ht="32.450000000000003" collapsed="1">
      <c r="A122" s="447" t="s">
        <v>1269</v>
      </c>
      <c r="B122" s="448">
        <v>12.71</v>
      </c>
      <c r="C122" s="448">
        <v>0</v>
      </c>
      <c r="D122" s="448">
        <v>191.31</v>
      </c>
      <c r="E122" s="448">
        <v>0</v>
      </c>
      <c r="F122" s="448">
        <v>0</v>
      </c>
      <c r="G122" s="448">
        <v>204.02</v>
      </c>
      <c r="H122" s="448">
        <v>12.7</v>
      </c>
      <c r="I122" s="448">
        <v>0</v>
      </c>
      <c r="J122" s="448">
        <v>190</v>
      </c>
      <c r="K122" s="448">
        <v>0</v>
      </c>
      <c r="L122" s="448">
        <v>0</v>
      </c>
      <c r="M122" s="448">
        <v>202.7</v>
      </c>
      <c r="N122" s="365">
        <v>-6.4699539260857832E-3</v>
      </c>
      <c r="O122" s="449"/>
      <c r="P122" s="450"/>
    </row>
    <row r="123" spans="1:16" ht="16.149999999999999">
      <c r="A123" s="302"/>
      <c r="B123" s="303"/>
      <c r="C123" s="303"/>
      <c r="D123" s="303"/>
      <c r="E123" s="303"/>
      <c r="F123" s="303"/>
      <c r="G123" s="303"/>
      <c r="H123" s="303"/>
      <c r="I123" s="303"/>
      <c r="J123" s="303"/>
      <c r="K123" s="303"/>
      <c r="L123" s="303"/>
      <c r="M123" s="303"/>
      <c r="N123" s="304"/>
      <c r="O123" s="305"/>
      <c r="P123" s="305"/>
    </row>
    <row r="124" spans="1:16" ht="16.149999999999999">
      <c r="A124" s="445" t="s">
        <v>1270</v>
      </c>
      <c r="B124" s="428"/>
      <c r="C124" s="428"/>
      <c r="D124" s="428"/>
      <c r="E124" s="428"/>
      <c r="F124" s="428"/>
      <c r="G124" s="428"/>
      <c r="H124" s="428"/>
      <c r="I124" s="428"/>
      <c r="J124" s="428"/>
      <c r="K124" s="428"/>
      <c r="L124" s="428"/>
      <c r="M124" s="428"/>
      <c r="N124" s="326"/>
      <c r="O124" s="446"/>
      <c r="P124" s="446"/>
    </row>
    <row r="125" spans="1:16" ht="48.6">
      <c r="A125" s="412" t="s">
        <v>1270</v>
      </c>
      <c r="B125" s="369">
        <v>7.3570000000000002</v>
      </c>
      <c r="C125" s="369">
        <v>0</v>
      </c>
      <c r="D125" s="369">
        <v>0</v>
      </c>
      <c r="E125" s="369">
        <v>0</v>
      </c>
      <c r="F125" s="369">
        <v>0</v>
      </c>
      <c r="G125" s="370">
        <v>7.3570000000000002</v>
      </c>
      <c r="H125" s="357">
        <v>8.5150000000000006</v>
      </c>
      <c r="I125" s="357">
        <v>0</v>
      </c>
      <c r="J125" s="357">
        <v>0</v>
      </c>
      <c r="K125" s="357">
        <v>0</v>
      </c>
      <c r="L125" s="357">
        <v>0</v>
      </c>
      <c r="M125" s="370">
        <v>8.5150000000000006</v>
      </c>
      <c r="N125" s="371">
        <v>0.15740111458474926</v>
      </c>
      <c r="O125" s="451" t="s">
        <v>1271</v>
      </c>
      <c r="P125" s="452" t="s">
        <v>1272</v>
      </c>
    </row>
    <row r="126" spans="1:16" ht="16.149999999999999" collapsed="1">
      <c r="A126" s="447" t="s">
        <v>1273</v>
      </c>
      <c r="B126" s="448">
        <v>7.3570000000000002</v>
      </c>
      <c r="C126" s="448">
        <v>0</v>
      </c>
      <c r="D126" s="448">
        <v>0</v>
      </c>
      <c r="E126" s="448">
        <v>0</v>
      </c>
      <c r="F126" s="448">
        <v>0</v>
      </c>
      <c r="G126" s="448">
        <v>7.3570000000000002</v>
      </c>
      <c r="H126" s="448">
        <v>8.5150000000000006</v>
      </c>
      <c r="I126" s="448">
        <v>0</v>
      </c>
      <c r="J126" s="448">
        <v>0</v>
      </c>
      <c r="K126" s="448">
        <v>0</v>
      </c>
      <c r="L126" s="448">
        <v>0</v>
      </c>
      <c r="M126" s="448">
        <v>8.5150000000000006</v>
      </c>
      <c r="N126" s="453">
        <v>0.15740111458474926</v>
      </c>
      <c r="O126" s="449"/>
      <c r="P126" s="450"/>
    </row>
    <row r="128" spans="1:16" ht="32.450000000000003">
      <c r="A128" s="454" t="s">
        <v>1274</v>
      </c>
      <c r="B128" s="455">
        <v>20.067</v>
      </c>
      <c r="C128" s="455">
        <v>0</v>
      </c>
      <c r="D128" s="455">
        <v>191.31</v>
      </c>
      <c r="E128" s="455">
        <v>0</v>
      </c>
      <c r="F128" s="455">
        <v>0</v>
      </c>
      <c r="G128" s="455">
        <v>211.37700000000001</v>
      </c>
      <c r="H128" s="455">
        <v>21.215</v>
      </c>
      <c r="I128" s="455">
        <v>0</v>
      </c>
      <c r="J128" s="455">
        <v>190</v>
      </c>
      <c r="K128" s="455">
        <v>0</v>
      </c>
      <c r="L128" s="455">
        <v>0</v>
      </c>
      <c r="M128" s="455">
        <v>211.21499999999997</v>
      </c>
      <c r="N128" s="456">
        <v>-7.664031564457559E-4</v>
      </c>
      <c r="O128" s="457"/>
      <c r="P128" s="458"/>
    </row>
    <row r="129" spans="1:16" ht="16.149999999999999">
      <c r="A129" s="459"/>
      <c r="B129" s="460"/>
      <c r="C129" s="460"/>
      <c r="D129" s="460"/>
      <c r="E129" s="460"/>
      <c r="F129" s="460"/>
      <c r="G129" s="460"/>
      <c r="H129" s="460"/>
      <c r="I129" s="460"/>
      <c r="J129" s="460"/>
      <c r="K129" s="460"/>
      <c r="L129" s="460"/>
      <c r="M129" s="460"/>
      <c r="N129" s="461"/>
      <c r="O129" s="462"/>
      <c r="P129" s="463"/>
    </row>
    <row r="130" spans="1:16" ht="16.149999999999999">
      <c r="A130" s="441" t="s">
        <v>1275</v>
      </c>
      <c r="B130" s="442"/>
      <c r="C130" s="442"/>
      <c r="D130" s="442"/>
      <c r="E130" s="442"/>
      <c r="F130" s="442"/>
      <c r="G130" s="442"/>
      <c r="H130" s="442"/>
      <c r="I130" s="442"/>
      <c r="J130" s="442"/>
      <c r="K130" s="442"/>
      <c r="L130" s="442"/>
      <c r="M130" s="442"/>
      <c r="N130" s="443"/>
      <c r="O130" s="444"/>
      <c r="P130" s="444"/>
    </row>
    <row r="131" spans="1:16" ht="48.6">
      <c r="A131" s="412" t="s">
        <v>1275</v>
      </c>
      <c r="B131" s="355">
        <v>1.9</v>
      </c>
      <c r="C131" s="355">
        <v>0.48</v>
      </c>
      <c r="D131" s="355">
        <v>57.6</v>
      </c>
      <c r="E131" s="355">
        <v>0</v>
      </c>
      <c r="F131" s="355">
        <v>0</v>
      </c>
      <c r="G131" s="356">
        <v>59.980000000000004</v>
      </c>
      <c r="H131" s="357">
        <v>1.86</v>
      </c>
      <c r="I131" s="357">
        <v>0.624</v>
      </c>
      <c r="J131" s="357">
        <v>40</v>
      </c>
      <c r="K131" s="357">
        <v>0</v>
      </c>
      <c r="L131" s="357">
        <v>0</v>
      </c>
      <c r="M131" s="356">
        <v>42.484000000000002</v>
      </c>
      <c r="N131" s="464">
        <v>-0.29169723241080364</v>
      </c>
      <c r="O131" s="359" t="s">
        <v>1276</v>
      </c>
      <c r="P131" s="360" t="s">
        <v>238</v>
      </c>
    </row>
    <row r="132" spans="1:16" ht="16.149999999999999">
      <c r="A132" s="454" t="s">
        <v>1277</v>
      </c>
      <c r="B132" s="455">
        <v>1.9</v>
      </c>
      <c r="C132" s="455">
        <v>0.48</v>
      </c>
      <c r="D132" s="455">
        <v>57.6</v>
      </c>
      <c r="E132" s="455">
        <v>0</v>
      </c>
      <c r="F132" s="455">
        <v>0</v>
      </c>
      <c r="G132" s="455">
        <v>59.980000000000004</v>
      </c>
      <c r="H132" s="455">
        <v>1.86</v>
      </c>
      <c r="I132" s="455">
        <v>0.624</v>
      </c>
      <c r="J132" s="455">
        <v>40</v>
      </c>
      <c r="K132" s="455">
        <v>0</v>
      </c>
      <c r="L132" s="455">
        <v>0</v>
      </c>
      <c r="M132" s="455">
        <v>42.484000000000002</v>
      </c>
      <c r="N132" s="456">
        <v>-0.29169723241080364</v>
      </c>
      <c r="O132" s="457"/>
      <c r="P132" s="458"/>
    </row>
    <row r="133" spans="1:16" ht="16.149999999999999">
      <c r="A133" s="465"/>
      <c r="B133"/>
      <c r="C133"/>
      <c r="D133"/>
      <c r="E133"/>
      <c r="F133"/>
      <c r="G133"/>
      <c r="H133"/>
      <c r="I133"/>
      <c r="J133"/>
      <c r="K133"/>
      <c r="L133"/>
      <c r="M133"/>
      <c r="N133"/>
      <c r="O133" s="466"/>
      <c r="P133" s="466"/>
    </row>
    <row r="134" spans="1:16" ht="16.149999999999999">
      <c r="A134" s="397" t="s">
        <v>1278</v>
      </c>
      <c r="B134" s="467"/>
      <c r="C134" s="467"/>
      <c r="D134" s="467"/>
      <c r="E134" s="467"/>
      <c r="F134" s="467"/>
      <c r="G134" s="467"/>
      <c r="H134" s="467"/>
      <c r="I134" s="467"/>
      <c r="J134" s="467"/>
      <c r="K134" s="467"/>
      <c r="L134" s="467"/>
      <c r="M134" s="467"/>
      <c r="N134" s="468"/>
      <c r="O134" s="469"/>
      <c r="P134" s="469"/>
    </row>
    <row r="135" spans="1:16" ht="16.149999999999999">
      <c r="A135" s="324" t="s">
        <v>1278</v>
      </c>
      <c r="B135" s="325"/>
      <c r="C135" s="325"/>
      <c r="D135" s="325"/>
      <c r="E135" s="325"/>
      <c r="F135" s="325"/>
      <c r="G135" s="325"/>
      <c r="H135" s="325"/>
      <c r="I135" s="325"/>
      <c r="J135" s="325"/>
      <c r="K135" s="325"/>
      <c r="L135" s="325"/>
      <c r="M135" s="325"/>
      <c r="N135" s="326"/>
      <c r="O135" s="327"/>
      <c r="P135" s="327"/>
    </row>
    <row r="136" spans="1:16" ht="113.45">
      <c r="A136" s="406" t="s">
        <v>1279</v>
      </c>
      <c r="B136" s="388">
        <v>40.161999999999999</v>
      </c>
      <c r="C136" s="388">
        <v>0</v>
      </c>
      <c r="D136" s="388">
        <v>0</v>
      </c>
      <c r="E136" s="388">
        <v>0</v>
      </c>
      <c r="F136" s="388">
        <v>0.26300000000000001</v>
      </c>
      <c r="G136" s="470">
        <v>40.424999999999997</v>
      </c>
      <c r="H136" s="357">
        <v>38.555</v>
      </c>
      <c r="I136" s="357">
        <v>0</v>
      </c>
      <c r="J136" s="357">
        <v>0</v>
      </c>
      <c r="K136" s="357">
        <v>0</v>
      </c>
      <c r="L136" s="357">
        <v>4.2000000000000003E-2</v>
      </c>
      <c r="M136" s="470">
        <v>38.597000000000001</v>
      </c>
      <c r="N136" s="471">
        <v>-4.5219542362399404E-2</v>
      </c>
      <c r="O136" s="472" t="s">
        <v>1280</v>
      </c>
      <c r="P136" s="473" t="s">
        <v>1200</v>
      </c>
    </row>
    <row r="137" spans="1:16" ht="48.6">
      <c r="A137" s="406" t="s">
        <v>1281</v>
      </c>
      <c r="B137" s="388">
        <v>0</v>
      </c>
      <c r="C137" s="388">
        <v>0</v>
      </c>
      <c r="D137" s="388">
        <v>7.9320000000000004</v>
      </c>
      <c r="E137" s="388">
        <v>0</v>
      </c>
      <c r="F137" s="388">
        <v>0</v>
      </c>
      <c r="G137" s="470">
        <v>7.9320000000000004</v>
      </c>
      <c r="H137" s="357">
        <v>0</v>
      </c>
      <c r="I137" s="357">
        <v>0</v>
      </c>
      <c r="J137" s="357">
        <v>2.6</v>
      </c>
      <c r="K137" s="357">
        <v>0</v>
      </c>
      <c r="L137" s="357">
        <v>0</v>
      </c>
      <c r="M137" s="470">
        <v>2.6</v>
      </c>
      <c r="N137" s="471">
        <v>-0.67221381744831066</v>
      </c>
      <c r="O137" s="472" t="s">
        <v>1282</v>
      </c>
      <c r="P137" s="474" t="s">
        <v>1283</v>
      </c>
    </row>
    <row r="138" spans="1:16" ht="16.149999999999999">
      <c r="A138" s="406" t="s">
        <v>1284</v>
      </c>
      <c r="B138" s="388">
        <v>0</v>
      </c>
      <c r="C138" s="388">
        <v>4.3789999999999996</v>
      </c>
      <c r="D138" s="388">
        <v>0</v>
      </c>
      <c r="E138" s="388">
        <v>0</v>
      </c>
      <c r="F138" s="388">
        <v>0</v>
      </c>
      <c r="G138" s="470">
        <v>4.3789999999999996</v>
      </c>
      <c r="H138" s="357">
        <v>0</v>
      </c>
      <c r="I138" s="357">
        <v>3.25</v>
      </c>
      <c r="J138" s="357">
        <v>0</v>
      </c>
      <c r="K138" s="357">
        <v>0</v>
      </c>
      <c r="L138" s="357">
        <v>0</v>
      </c>
      <c r="M138" s="470">
        <v>3.25</v>
      </c>
      <c r="N138" s="471">
        <v>-0.25782142041561995</v>
      </c>
      <c r="O138" s="475" t="s">
        <v>1285</v>
      </c>
      <c r="P138" s="476" t="s">
        <v>1220</v>
      </c>
    </row>
    <row r="139" spans="1:16" ht="32.450000000000003">
      <c r="A139" s="406" t="s">
        <v>1286</v>
      </c>
      <c r="B139" s="388">
        <v>0</v>
      </c>
      <c r="C139" s="388">
        <v>0</v>
      </c>
      <c r="D139" s="388">
        <v>0</v>
      </c>
      <c r="E139" s="388">
        <v>0</v>
      </c>
      <c r="F139" s="388">
        <v>0</v>
      </c>
      <c r="G139" s="470">
        <v>0</v>
      </c>
      <c r="H139" s="357">
        <v>0</v>
      </c>
      <c r="I139" s="357">
        <v>0</v>
      </c>
      <c r="J139" s="357">
        <v>2.6</v>
      </c>
      <c r="K139" s="357">
        <v>0</v>
      </c>
      <c r="L139" s="357">
        <v>0</v>
      </c>
      <c r="M139" s="470">
        <v>2.6</v>
      </c>
      <c r="N139" s="471" t="s">
        <v>204</v>
      </c>
      <c r="O139" s="475" t="s">
        <v>1287</v>
      </c>
      <c r="P139" s="477" t="s">
        <v>1288</v>
      </c>
    </row>
    <row r="140" spans="1:16" ht="16.149999999999999">
      <c r="A140" s="478" t="s">
        <v>1289</v>
      </c>
      <c r="B140" s="448">
        <v>40.161999999999999</v>
      </c>
      <c r="C140" s="448">
        <v>4.3789999999999996</v>
      </c>
      <c r="D140" s="448">
        <v>7.9320000000000004</v>
      </c>
      <c r="E140" s="448">
        <v>0</v>
      </c>
      <c r="F140" s="448">
        <v>0.26300000000000001</v>
      </c>
      <c r="G140" s="448">
        <v>52.735999999999997</v>
      </c>
      <c r="H140" s="448">
        <v>38.555</v>
      </c>
      <c r="I140" s="448">
        <v>3.25</v>
      </c>
      <c r="J140" s="448">
        <v>5.2</v>
      </c>
      <c r="K140" s="448">
        <v>0</v>
      </c>
      <c r="L140" s="448">
        <v>4.2000000000000003E-2</v>
      </c>
      <c r="M140" s="448">
        <v>47.047000000000004</v>
      </c>
      <c r="N140" s="453">
        <v>-0.10787697208737851</v>
      </c>
      <c r="O140" s="479"/>
      <c r="P140" s="480"/>
    </row>
    <row r="141" spans="1:16" ht="16.149999999999999">
      <c r="A141" s="481" t="s">
        <v>1289</v>
      </c>
      <c r="B141" s="482">
        <v>40.161999999999999</v>
      </c>
      <c r="C141" s="482">
        <v>4.3789999999999996</v>
      </c>
      <c r="D141" s="482">
        <v>7.9320000000000004</v>
      </c>
      <c r="E141" s="482">
        <v>0</v>
      </c>
      <c r="F141" s="482">
        <v>0.26300000000000001</v>
      </c>
      <c r="G141" s="482">
        <v>52.735999999999997</v>
      </c>
      <c r="H141" s="482">
        <v>38.555</v>
      </c>
      <c r="I141" s="482">
        <v>3.25</v>
      </c>
      <c r="J141" s="482">
        <v>5.2</v>
      </c>
      <c r="K141" s="482">
        <v>0</v>
      </c>
      <c r="L141" s="482">
        <v>4.2000000000000003E-2</v>
      </c>
      <c r="M141" s="482">
        <v>47.047000000000004</v>
      </c>
      <c r="N141" s="483">
        <v>-0.10787697208737851</v>
      </c>
      <c r="O141" s="484"/>
      <c r="P141" s="484"/>
    </row>
    <row r="142" spans="1:16" customFormat="1" ht="16.149999999999999">
      <c r="A142" s="485"/>
      <c r="B142" s="486"/>
      <c r="C142" s="486"/>
      <c r="D142" s="486"/>
      <c r="E142" s="486"/>
      <c r="F142" s="486"/>
      <c r="G142" s="486"/>
      <c r="H142" s="486"/>
      <c r="I142" s="486"/>
      <c r="J142" s="486"/>
      <c r="K142" s="486"/>
      <c r="L142" s="486"/>
      <c r="M142" s="486"/>
      <c r="N142" s="487"/>
      <c r="O142" s="488"/>
      <c r="P142" s="488"/>
    </row>
    <row r="143" spans="1:16" customFormat="1" ht="32.450000000000003">
      <c r="A143" s="308" t="s">
        <v>1290</v>
      </c>
      <c r="B143" s="213"/>
      <c r="C143" s="213"/>
      <c r="D143" s="213"/>
      <c r="E143" s="213"/>
      <c r="F143" s="213"/>
      <c r="G143" s="213"/>
      <c r="H143" s="213"/>
      <c r="I143" s="213"/>
      <c r="J143" s="213"/>
      <c r="K143" s="213"/>
      <c r="L143" s="213"/>
      <c r="M143" s="213"/>
      <c r="N143" s="322"/>
      <c r="O143" s="323"/>
      <c r="P143" s="323"/>
    </row>
    <row r="144" spans="1:16" ht="32.450000000000003">
      <c r="A144" s="349" t="s">
        <v>1290</v>
      </c>
      <c r="B144" s="350"/>
      <c r="C144" s="350"/>
      <c r="D144" s="350"/>
      <c r="E144" s="350"/>
      <c r="F144" s="350"/>
      <c r="G144" s="350"/>
      <c r="H144" s="350"/>
      <c r="I144" s="350"/>
      <c r="J144" s="350"/>
      <c r="K144" s="350"/>
      <c r="L144" s="350"/>
      <c r="M144" s="350"/>
      <c r="N144" s="351"/>
      <c r="O144" s="402"/>
      <c r="P144" s="402"/>
    </row>
    <row r="145" spans="1:16" customFormat="1" ht="56.65" customHeight="1">
      <c r="A145" s="491" t="s">
        <v>1291</v>
      </c>
      <c r="B145" s="369">
        <v>14.574999999999999</v>
      </c>
      <c r="C145" s="369">
        <v>0</v>
      </c>
      <c r="D145" s="369">
        <v>0</v>
      </c>
      <c r="E145" s="369">
        <v>0</v>
      </c>
      <c r="F145" s="369">
        <v>0</v>
      </c>
      <c r="G145" s="370">
        <v>14.574999999999999</v>
      </c>
      <c r="H145" s="357">
        <v>15.912000000000001</v>
      </c>
      <c r="I145" s="357">
        <v>0</v>
      </c>
      <c r="J145" s="357">
        <v>0</v>
      </c>
      <c r="K145" s="357">
        <v>0</v>
      </c>
      <c r="L145" s="357">
        <v>0</v>
      </c>
      <c r="M145" s="370">
        <v>15.912000000000001</v>
      </c>
      <c r="N145" s="371">
        <v>9.1732418524871462E-2</v>
      </c>
      <c r="O145" s="451" t="s">
        <v>1292</v>
      </c>
      <c r="P145" s="452" t="s">
        <v>1293</v>
      </c>
    </row>
    <row r="146" spans="1:16" customFormat="1" ht="162">
      <c r="A146" s="491" t="s">
        <v>1290</v>
      </c>
      <c r="B146" s="369">
        <v>40.561</v>
      </c>
      <c r="C146" s="369">
        <v>0</v>
      </c>
      <c r="D146" s="369">
        <v>276.39999999999998</v>
      </c>
      <c r="E146" s="369">
        <v>0</v>
      </c>
      <c r="F146" s="369">
        <v>0</v>
      </c>
      <c r="G146" s="370">
        <v>316.96099999999996</v>
      </c>
      <c r="H146" s="357">
        <v>37.814</v>
      </c>
      <c r="I146" s="357">
        <v>0</v>
      </c>
      <c r="J146" s="357">
        <v>306.7</v>
      </c>
      <c r="K146" s="357">
        <v>0</v>
      </c>
      <c r="L146" s="357">
        <v>0</v>
      </c>
      <c r="M146" s="370">
        <v>344.51400000000001</v>
      </c>
      <c r="N146" s="371">
        <v>8.6928675767681374E-2</v>
      </c>
      <c r="O146" s="451" t="s">
        <v>1294</v>
      </c>
      <c r="P146" s="452" t="s">
        <v>1295</v>
      </c>
    </row>
    <row r="147" spans="1:16" customFormat="1" ht="64.900000000000006">
      <c r="A147" s="491" t="s">
        <v>1296</v>
      </c>
      <c r="B147" s="369">
        <v>0</v>
      </c>
      <c r="C147" s="369">
        <v>0</v>
      </c>
      <c r="D147" s="369">
        <v>0</v>
      </c>
      <c r="E147" s="369">
        <v>44.2</v>
      </c>
      <c r="F147" s="369">
        <v>0</v>
      </c>
      <c r="G147" s="370">
        <v>44.2</v>
      </c>
      <c r="H147" s="357">
        <v>0</v>
      </c>
      <c r="I147" s="357">
        <v>0</v>
      </c>
      <c r="J147" s="357">
        <v>0</v>
      </c>
      <c r="K147" s="357">
        <v>14.1</v>
      </c>
      <c r="L147" s="357">
        <v>0</v>
      </c>
      <c r="M147" s="370">
        <v>14.1</v>
      </c>
      <c r="N147" s="371">
        <v>-0.6809954751131222</v>
      </c>
      <c r="O147" s="451" t="s">
        <v>1297</v>
      </c>
      <c r="P147" s="452" t="s">
        <v>1298</v>
      </c>
    </row>
    <row r="148" spans="1:16" customFormat="1" ht="48.6">
      <c r="A148" s="491" t="s">
        <v>1299</v>
      </c>
      <c r="B148" s="369">
        <v>0</v>
      </c>
      <c r="C148" s="369">
        <v>0</v>
      </c>
      <c r="D148" s="369">
        <v>0</v>
      </c>
      <c r="E148" s="369">
        <v>-8.1999999999999993</v>
      </c>
      <c r="F148" s="369">
        <v>0</v>
      </c>
      <c r="G148" s="370">
        <v>-8.1999999999999993</v>
      </c>
      <c r="H148" s="357">
        <v>0</v>
      </c>
      <c r="I148" s="357">
        <v>0</v>
      </c>
      <c r="J148" s="357">
        <v>0</v>
      </c>
      <c r="K148" s="357">
        <v>-16.3</v>
      </c>
      <c r="L148" s="357">
        <v>0</v>
      </c>
      <c r="M148" s="370">
        <v>-16.3</v>
      </c>
      <c r="N148" s="371">
        <v>0.9878048780487807</v>
      </c>
      <c r="O148" s="451" t="s">
        <v>1300</v>
      </c>
      <c r="P148" s="452" t="s">
        <v>1301</v>
      </c>
    </row>
    <row r="149" spans="1:16" ht="32.450000000000003">
      <c r="A149" s="392" t="s">
        <v>1302</v>
      </c>
      <c r="B149" s="393">
        <v>55.135999999999996</v>
      </c>
      <c r="C149" s="393">
        <v>0</v>
      </c>
      <c r="D149" s="393">
        <v>276.39999999999998</v>
      </c>
      <c r="E149" s="393">
        <v>36</v>
      </c>
      <c r="F149" s="393">
        <v>0</v>
      </c>
      <c r="G149" s="393">
        <v>367.53599999999994</v>
      </c>
      <c r="H149" s="393">
        <v>53.725999999999999</v>
      </c>
      <c r="I149" s="393">
        <v>0</v>
      </c>
      <c r="J149" s="393">
        <v>306.7</v>
      </c>
      <c r="K149" s="393">
        <v>-2.2000000000000011</v>
      </c>
      <c r="L149" s="393">
        <v>0</v>
      </c>
      <c r="M149" s="393">
        <v>358.226</v>
      </c>
      <c r="N149" s="337">
        <v>-2.5330851943755023E-2</v>
      </c>
      <c r="O149" s="410"/>
      <c r="P149" s="411"/>
    </row>
    <row r="150" spans="1:16" customFormat="1" ht="32.450000000000003">
      <c r="A150" s="318" t="s">
        <v>1302</v>
      </c>
      <c r="B150" s="319">
        <v>55.135999999999996</v>
      </c>
      <c r="C150" s="319">
        <v>0</v>
      </c>
      <c r="D150" s="319">
        <v>276.39999999999998</v>
      </c>
      <c r="E150" s="319">
        <v>36</v>
      </c>
      <c r="F150" s="319">
        <v>0</v>
      </c>
      <c r="G150" s="319">
        <v>367.53599999999994</v>
      </c>
      <c r="H150" s="319">
        <v>53.725999999999999</v>
      </c>
      <c r="I150" s="319">
        <v>0</v>
      </c>
      <c r="J150" s="319">
        <v>306.7</v>
      </c>
      <c r="K150" s="319">
        <v>-2.2000000000000011</v>
      </c>
      <c r="L150" s="319">
        <v>0</v>
      </c>
      <c r="M150" s="319">
        <v>358.226</v>
      </c>
      <c r="N150" s="320">
        <v>-2.5330851943755023E-2</v>
      </c>
      <c r="O150" s="321"/>
      <c r="P150" s="344"/>
    </row>
    <row r="151" spans="1:16" customFormat="1" ht="16.149999999999999">
      <c r="A151" s="488"/>
      <c r="B151" s="492"/>
      <c r="C151" s="492"/>
      <c r="D151" s="492"/>
      <c r="E151" s="492"/>
      <c r="F151" s="492"/>
      <c r="G151" s="493"/>
      <c r="H151" s="494"/>
      <c r="I151" s="494"/>
      <c r="J151" s="494"/>
      <c r="K151" s="494"/>
      <c r="L151" s="494"/>
      <c r="M151" s="493"/>
      <c r="N151" s="495"/>
      <c r="O151" s="377"/>
      <c r="P151" s="377"/>
    </row>
    <row r="152" spans="1:16" customFormat="1" ht="16.149999999999999">
      <c r="A152" s="496" t="s">
        <v>1303</v>
      </c>
      <c r="B152" s="497"/>
      <c r="C152" s="497"/>
      <c r="D152" s="497"/>
      <c r="E152" s="497"/>
      <c r="F152" s="497"/>
      <c r="G152" s="497"/>
      <c r="H152" s="497"/>
      <c r="I152" s="497"/>
      <c r="J152" s="497"/>
      <c r="K152" s="497"/>
      <c r="L152" s="497"/>
      <c r="M152" s="497"/>
      <c r="N152" s="498"/>
      <c r="O152" s="499"/>
      <c r="P152" s="499"/>
    </row>
    <row r="153" spans="1:16" customFormat="1" ht="16.149999999999999">
      <c r="A153" s="500"/>
      <c r="B153" s="501"/>
      <c r="C153" s="501"/>
      <c r="D153" s="501"/>
      <c r="E153" s="501"/>
      <c r="F153" s="501"/>
      <c r="G153" s="501"/>
      <c r="H153" s="501"/>
      <c r="I153" s="501"/>
      <c r="J153" s="501"/>
      <c r="K153" s="501"/>
      <c r="L153" s="501"/>
      <c r="M153" s="501"/>
      <c r="N153" s="502"/>
      <c r="O153" s="503"/>
      <c r="P153" s="503"/>
    </row>
    <row r="154" spans="1:16" customFormat="1" ht="16.149999999999999">
      <c r="A154" s="209" t="s">
        <v>1304</v>
      </c>
      <c r="B154" s="208"/>
      <c r="C154" s="208"/>
      <c r="D154" s="208"/>
      <c r="E154" s="208"/>
      <c r="F154" s="208"/>
      <c r="G154" s="208"/>
      <c r="H154" s="208"/>
      <c r="I154" s="208"/>
      <c r="J154" s="208"/>
      <c r="K154" s="208"/>
      <c r="L154" s="208"/>
      <c r="M154" s="208"/>
      <c r="N154" s="504"/>
      <c r="O154" s="224"/>
      <c r="P154" s="224"/>
    </row>
    <row r="155" spans="1:16" customFormat="1" ht="16.149999999999999">
      <c r="A155" s="312" t="s">
        <v>1305</v>
      </c>
      <c r="B155" s="313">
        <v>0</v>
      </c>
      <c r="C155" s="313">
        <v>0</v>
      </c>
      <c r="D155" s="313">
        <v>2.4670000000000001</v>
      </c>
      <c r="E155" s="313">
        <v>0</v>
      </c>
      <c r="F155" s="313">
        <v>0.05</v>
      </c>
      <c r="G155" s="314">
        <v>2.5169999999999999</v>
      </c>
      <c r="H155" s="313">
        <v>0</v>
      </c>
      <c r="I155" s="313">
        <v>0</v>
      </c>
      <c r="J155" s="313">
        <v>1.85</v>
      </c>
      <c r="K155" s="313">
        <v>0</v>
      </c>
      <c r="L155" s="313">
        <v>0</v>
      </c>
      <c r="M155" s="314">
        <v>1.85</v>
      </c>
      <c r="N155" s="315">
        <v>-0.26499801350814456</v>
      </c>
      <c r="O155" s="505" t="s">
        <v>1306</v>
      </c>
      <c r="P155" s="317" t="s">
        <v>1307</v>
      </c>
    </row>
    <row r="156" spans="1:16" customFormat="1" ht="32.450000000000003">
      <c r="A156" s="312" t="s">
        <v>1308</v>
      </c>
      <c r="B156" s="506">
        <v>6.69</v>
      </c>
      <c r="C156" s="506">
        <v>0</v>
      </c>
      <c r="D156" s="506">
        <v>0</v>
      </c>
      <c r="E156" s="506">
        <v>0</v>
      </c>
      <c r="F156" s="506">
        <v>0</v>
      </c>
      <c r="G156" s="507">
        <v>6.69</v>
      </c>
      <c r="H156" s="506">
        <v>7.0810000000000004</v>
      </c>
      <c r="I156" s="506">
        <v>0</v>
      </c>
      <c r="J156" s="506">
        <v>0</v>
      </c>
      <c r="K156" s="506">
        <v>0</v>
      </c>
      <c r="L156" s="506">
        <v>0</v>
      </c>
      <c r="M156" s="507">
        <v>7.0810000000000004</v>
      </c>
      <c r="N156" s="315">
        <v>5.8445440956651717E-2</v>
      </c>
      <c r="O156" s="508" t="s">
        <v>1309</v>
      </c>
      <c r="P156" s="509" t="s">
        <v>1310</v>
      </c>
    </row>
    <row r="157" spans="1:16" customFormat="1" ht="32.450000000000003">
      <c r="A157" s="312" t="s">
        <v>1311</v>
      </c>
      <c r="B157" s="506">
        <v>0</v>
      </c>
      <c r="C157" s="506">
        <v>0.87</v>
      </c>
      <c r="D157" s="506">
        <v>0</v>
      </c>
      <c r="E157" s="506">
        <v>0</v>
      </c>
      <c r="F157" s="506">
        <v>0</v>
      </c>
      <c r="G157" s="507">
        <v>0.87</v>
      </c>
      <c r="H157" s="506">
        <v>0</v>
      </c>
      <c r="I157" s="506">
        <v>0.8</v>
      </c>
      <c r="J157" s="506">
        <v>0</v>
      </c>
      <c r="K157" s="506">
        <v>0</v>
      </c>
      <c r="L157" s="506">
        <v>0</v>
      </c>
      <c r="M157" s="507">
        <v>0.8</v>
      </c>
      <c r="N157" s="315">
        <v>-8.0459770114942472E-2</v>
      </c>
      <c r="O157" s="508" t="s">
        <v>1312</v>
      </c>
      <c r="P157" s="510" t="s">
        <v>1313</v>
      </c>
    </row>
    <row r="158" spans="1:16" customFormat="1" ht="48.6">
      <c r="A158" s="312" t="s">
        <v>1314</v>
      </c>
      <c r="B158" s="506">
        <v>2.6829999999999998</v>
      </c>
      <c r="C158" s="506">
        <v>0</v>
      </c>
      <c r="D158" s="506">
        <v>0</v>
      </c>
      <c r="E158" s="506">
        <v>0</v>
      </c>
      <c r="F158" s="506">
        <v>0.01</v>
      </c>
      <c r="G158" s="507">
        <v>2.6929999999999996</v>
      </c>
      <c r="H158" s="506">
        <v>2.5650000000000004</v>
      </c>
      <c r="I158" s="506">
        <v>0</v>
      </c>
      <c r="J158" s="506">
        <v>0</v>
      </c>
      <c r="K158" s="506">
        <v>0</v>
      </c>
      <c r="L158" s="506">
        <v>8.9999999999999993E-3</v>
      </c>
      <c r="M158" s="507">
        <v>2.5740000000000003</v>
      </c>
      <c r="N158" s="315">
        <v>-4.4188637207574953E-2</v>
      </c>
      <c r="O158" s="508" t="s">
        <v>1315</v>
      </c>
      <c r="P158" s="317" t="s">
        <v>1316</v>
      </c>
    </row>
    <row r="159" spans="1:16" customFormat="1" ht="16.149999999999999">
      <c r="A159" s="312" t="s">
        <v>1317</v>
      </c>
      <c r="B159" s="506">
        <v>0</v>
      </c>
      <c r="C159" s="506">
        <v>0</v>
      </c>
      <c r="D159" s="506">
        <v>1.2629999999999999</v>
      </c>
      <c r="E159" s="506">
        <v>0</v>
      </c>
      <c r="F159" s="506">
        <v>0</v>
      </c>
      <c r="G159" s="507">
        <v>1.2629999999999999</v>
      </c>
      <c r="H159" s="506">
        <v>0</v>
      </c>
      <c r="I159" s="506">
        <v>0</v>
      </c>
      <c r="J159" s="506">
        <v>1.81</v>
      </c>
      <c r="K159" s="506">
        <v>0</v>
      </c>
      <c r="L159" s="506">
        <v>0</v>
      </c>
      <c r="M159" s="507">
        <v>1.81</v>
      </c>
      <c r="N159" s="315">
        <v>0.43309580364212208</v>
      </c>
      <c r="O159" s="508" t="s">
        <v>1306</v>
      </c>
      <c r="P159" s="317" t="s">
        <v>1318</v>
      </c>
    </row>
    <row r="160" spans="1:16" customFormat="1" ht="32.450000000000003">
      <c r="A160" s="312" t="s">
        <v>1319</v>
      </c>
      <c r="B160" s="506">
        <v>4.7610000000000001</v>
      </c>
      <c r="C160" s="506">
        <v>0</v>
      </c>
      <c r="D160" s="506">
        <v>0</v>
      </c>
      <c r="E160" s="506">
        <v>0</v>
      </c>
      <c r="F160" s="506">
        <v>0</v>
      </c>
      <c r="G160" s="507">
        <v>4.7610000000000001</v>
      </c>
      <c r="H160" s="506">
        <v>5.0519999999999996</v>
      </c>
      <c r="I160" s="506">
        <v>0</v>
      </c>
      <c r="J160" s="506">
        <v>0</v>
      </c>
      <c r="K160" s="506">
        <v>0</v>
      </c>
      <c r="L160" s="506">
        <v>0</v>
      </c>
      <c r="M160" s="507">
        <v>5.0519999999999996</v>
      </c>
      <c r="N160" s="315">
        <v>6.1121613106490121E-2</v>
      </c>
      <c r="O160" s="508" t="s">
        <v>1320</v>
      </c>
      <c r="P160" s="509" t="s">
        <v>1321</v>
      </c>
    </row>
    <row r="161" spans="1:16" customFormat="1" ht="32.450000000000003">
      <c r="A161" s="312" t="s">
        <v>1322</v>
      </c>
      <c r="B161" s="506">
        <v>0</v>
      </c>
      <c r="C161" s="506">
        <v>0.56999999999999995</v>
      </c>
      <c r="D161" s="506">
        <v>0</v>
      </c>
      <c r="E161" s="506">
        <v>0</v>
      </c>
      <c r="F161" s="506">
        <v>0</v>
      </c>
      <c r="G161" s="507">
        <v>0.56999999999999995</v>
      </c>
      <c r="H161" s="506">
        <v>0</v>
      </c>
      <c r="I161" s="506">
        <v>0.35</v>
      </c>
      <c r="J161" s="506">
        <v>0</v>
      </c>
      <c r="K161" s="506">
        <v>0</v>
      </c>
      <c r="L161" s="506">
        <v>0</v>
      </c>
      <c r="M161" s="507">
        <v>0.35</v>
      </c>
      <c r="N161" s="315">
        <v>-0.38596491228070173</v>
      </c>
      <c r="O161" s="508" t="s">
        <v>1312</v>
      </c>
      <c r="P161" s="509" t="s">
        <v>1313</v>
      </c>
    </row>
    <row r="162" spans="1:16" customFormat="1" ht="32.450000000000003">
      <c r="A162" s="312" t="s">
        <v>1323</v>
      </c>
      <c r="B162" s="506">
        <v>2.238</v>
      </c>
      <c r="C162" s="506">
        <v>0</v>
      </c>
      <c r="D162" s="506">
        <v>0</v>
      </c>
      <c r="E162" s="506">
        <v>0</v>
      </c>
      <c r="F162" s="506">
        <v>0</v>
      </c>
      <c r="G162" s="507">
        <v>2.238</v>
      </c>
      <c r="H162" s="506">
        <v>2.2589999999999999</v>
      </c>
      <c r="I162" s="506">
        <v>0</v>
      </c>
      <c r="J162" s="506">
        <v>0</v>
      </c>
      <c r="K162" s="506">
        <v>0</v>
      </c>
      <c r="L162" s="506">
        <v>0</v>
      </c>
      <c r="M162" s="507">
        <v>2.2589999999999999</v>
      </c>
      <c r="N162" s="315">
        <v>9.3833780160857503E-3</v>
      </c>
      <c r="O162" s="508" t="s">
        <v>1324</v>
      </c>
      <c r="P162" s="317" t="s">
        <v>1318</v>
      </c>
    </row>
    <row r="163" spans="1:16" customFormat="1" ht="16.149999999999999">
      <c r="A163" s="511" t="s">
        <v>1325</v>
      </c>
      <c r="B163" s="168">
        <v>16.372</v>
      </c>
      <c r="C163" s="168">
        <v>1.44</v>
      </c>
      <c r="D163" s="168">
        <v>3.73</v>
      </c>
      <c r="E163" s="168">
        <v>0</v>
      </c>
      <c r="F163" s="168">
        <v>6.0000000000000005E-2</v>
      </c>
      <c r="G163" s="168">
        <v>21.602</v>
      </c>
      <c r="H163" s="168">
        <v>16.957000000000001</v>
      </c>
      <c r="I163" s="168">
        <v>1.1499999999999999</v>
      </c>
      <c r="J163" s="168">
        <v>3.66</v>
      </c>
      <c r="K163" s="168">
        <v>0</v>
      </c>
      <c r="L163" s="168">
        <v>8.9999999999999993E-3</v>
      </c>
      <c r="M163" s="168">
        <v>21.776000000000003</v>
      </c>
      <c r="N163" s="337">
        <v>8.0548097398390438E-3</v>
      </c>
      <c r="O163" s="512"/>
      <c r="P163" s="513"/>
    </row>
    <row r="164" spans="1:16" customFormat="1" ht="16.149999999999999">
      <c r="A164" s="514"/>
      <c r="B164" s="515"/>
      <c r="C164" s="515"/>
      <c r="D164" s="515"/>
      <c r="E164" s="515"/>
      <c r="F164" s="515"/>
      <c r="G164" s="515"/>
      <c r="H164" s="515"/>
      <c r="I164" s="515"/>
      <c r="J164" s="515"/>
      <c r="K164" s="515"/>
      <c r="L164" s="515"/>
      <c r="M164" s="515"/>
      <c r="N164" s="516"/>
      <c r="O164" s="517"/>
      <c r="P164" s="517"/>
    </row>
    <row r="165" spans="1:16" customFormat="1" ht="16.149999999999999">
      <c r="A165" s="209" t="s">
        <v>1326</v>
      </c>
      <c r="B165" s="208"/>
      <c r="C165" s="208"/>
      <c r="D165" s="208"/>
      <c r="E165" s="208"/>
      <c r="F165" s="208"/>
      <c r="G165" s="208"/>
      <c r="H165" s="208"/>
      <c r="I165" s="208"/>
      <c r="J165" s="208"/>
      <c r="K165" s="208"/>
      <c r="L165" s="208"/>
      <c r="M165" s="208"/>
      <c r="N165" s="504"/>
      <c r="O165" s="224"/>
      <c r="P165" s="224"/>
    </row>
    <row r="166" spans="1:16" customFormat="1" ht="81">
      <c r="A166" s="518" t="s">
        <v>1327</v>
      </c>
      <c r="B166" s="506">
        <v>3.55</v>
      </c>
      <c r="C166" s="506">
        <v>0</v>
      </c>
      <c r="D166" s="506">
        <v>2.1</v>
      </c>
      <c r="E166" s="506">
        <v>0</v>
      </c>
      <c r="F166" s="506">
        <v>0</v>
      </c>
      <c r="G166" s="507">
        <v>5.65</v>
      </c>
      <c r="H166" s="506">
        <v>1.6</v>
      </c>
      <c r="I166" s="506">
        <v>0</v>
      </c>
      <c r="J166" s="506">
        <v>1</v>
      </c>
      <c r="K166" s="506">
        <v>0</v>
      </c>
      <c r="L166" s="506">
        <v>0</v>
      </c>
      <c r="M166" s="507">
        <v>2.6</v>
      </c>
      <c r="N166" s="315">
        <v>-0.53982300884955758</v>
      </c>
      <c r="O166" s="518" t="s">
        <v>1328</v>
      </c>
      <c r="P166" s="317" t="s">
        <v>568</v>
      </c>
    </row>
    <row r="167" spans="1:16" customFormat="1" ht="48.6">
      <c r="A167" s="518" t="s">
        <v>1329</v>
      </c>
      <c r="B167" s="506">
        <v>2.5920000000000001</v>
      </c>
      <c r="C167" s="506">
        <v>0</v>
      </c>
      <c r="D167" s="506">
        <v>0</v>
      </c>
      <c r="E167" s="506">
        <v>0</v>
      </c>
      <c r="F167" s="506">
        <v>0</v>
      </c>
      <c r="G167" s="507">
        <v>2.5920000000000001</v>
      </c>
      <c r="H167" s="506">
        <v>3.3919999999999999</v>
      </c>
      <c r="I167" s="506">
        <v>0</v>
      </c>
      <c r="J167" s="506">
        <v>0</v>
      </c>
      <c r="K167" s="506">
        <v>0</v>
      </c>
      <c r="L167" s="506">
        <v>0</v>
      </c>
      <c r="M167" s="507">
        <v>3.3919999999999999</v>
      </c>
      <c r="N167" s="315">
        <v>0.3086419753086419</v>
      </c>
      <c r="O167" s="519" t="s">
        <v>1330</v>
      </c>
      <c r="P167" s="520" t="s">
        <v>1331</v>
      </c>
    </row>
    <row r="168" spans="1:16" customFormat="1" ht="64.900000000000006">
      <c r="A168" s="518" t="s">
        <v>1332</v>
      </c>
      <c r="B168" s="506">
        <v>1.3049999999999999</v>
      </c>
      <c r="C168" s="506">
        <v>0</v>
      </c>
      <c r="D168" s="506">
        <v>0</v>
      </c>
      <c r="E168" s="506">
        <v>0</v>
      </c>
      <c r="F168" s="506">
        <v>0</v>
      </c>
      <c r="G168" s="507">
        <v>1.3049999999999999</v>
      </c>
      <c r="H168" s="506">
        <v>0.52</v>
      </c>
      <c r="I168" s="506">
        <v>0</v>
      </c>
      <c r="J168" s="506">
        <v>0</v>
      </c>
      <c r="K168" s="506">
        <v>0</v>
      </c>
      <c r="L168" s="506">
        <v>0</v>
      </c>
      <c r="M168" s="507">
        <v>0.52</v>
      </c>
      <c r="N168" s="315">
        <v>-0.6015325670498084</v>
      </c>
      <c r="O168" s="521" t="s">
        <v>1333</v>
      </c>
      <c r="P168" s="522" t="s">
        <v>1334</v>
      </c>
    </row>
    <row r="169" spans="1:16" customFormat="1" ht="16.149999999999999">
      <c r="A169" s="511" t="s">
        <v>1335</v>
      </c>
      <c r="B169" s="168">
        <v>7.4469999999999992</v>
      </c>
      <c r="C169" s="168">
        <v>0</v>
      </c>
      <c r="D169" s="168">
        <v>2.1</v>
      </c>
      <c r="E169" s="168">
        <v>0</v>
      </c>
      <c r="F169" s="168">
        <v>0</v>
      </c>
      <c r="G169" s="168">
        <v>9.5470000000000006</v>
      </c>
      <c r="H169" s="168">
        <v>5.5120000000000005</v>
      </c>
      <c r="I169" s="168">
        <v>0</v>
      </c>
      <c r="J169" s="168">
        <v>1</v>
      </c>
      <c r="K169" s="168">
        <v>0</v>
      </c>
      <c r="L169" s="168">
        <v>0</v>
      </c>
      <c r="M169" s="168">
        <v>6.5120000000000005</v>
      </c>
      <c r="N169" s="337">
        <v>-0.31790091128103071</v>
      </c>
      <c r="O169" s="512"/>
      <c r="P169" s="513"/>
    </row>
    <row r="170" spans="1:16" customFormat="1" ht="16.149999999999999">
      <c r="A170" s="523"/>
      <c r="B170" s="515"/>
      <c r="C170" s="515"/>
      <c r="D170" s="515"/>
      <c r="E170" s="515"/>
      <c r="F170" s="515"/>
      <c r="G170" s="515"/>
      <c r="H170" s="515"/>
      <c r="I170" s="515"/>
      <c r="J170" s="515"/>
      <c r="K170" s="515"/>
      <c r="L170" s="515"/>
      <c r="M170" s="515"/>
      <c r="N170" s="516"/>
      <c r="O170" s="524"/>
      <c r="P170" s="524"/>
    </row>
    <row r="171" spans="1:16" customFormat="1" ht="16.149999999999999">
      <c r="A171" s="525" t="s">
        <v>1336</v>
      </c>
      <c r="B171" s="526"/>
      <c r="C171" s="526"/>
      <c r="D171" s="526"/>
      <c r="E171" s="526"/>
      <c r="F171" s="526"/>
      <c r="G171" s="526"/>
      <c r="H171" s="526"/>
      <c r="I171" s="526"/>
      <c r="J171" s="526"/>
      <c r="K171" s="526"/>
      <c r="L171" s="526"/>
      <c r="M171" s="526"/>
      <c r="N171" s="526"/>
      <c r="O171" s="526"/>
      <c r="P171" s="526"/>
    </row>
    <row r="172" spans="1:16" customFormat="1" ht="120" customHeight="1">
      <c r="A172" s="312" t="s">
        <v>1336</v>
      </c>
      <c r="B172" s="506">
        <v>5.0030000000000001</v>
      </c>
      <c r="C172" s="506">
        <v>0</v>
      </c>
      <c r="D172" s="506">
        <v>22.8</v>
      </c>
      <c r="E172" s="506">
        <v>0</v>
      </c>
      <c r="F172" s="506">
        <v>0</v>
      </c>
      <c r="G172" s="314">
        <v>27.803000000000001</v>
      </c>
      <c r="H172" s="506">
        <v>6.1809999999999992</v>
      </c>
      <c r="I172" s="506">
        <v>0</v>
      </c>
      <c r="J172" s="506">
        <v>23</v>
      </c>
      <c r="K172" s="506">
        <v>0</v>
      </c>
      <c r="L172" s="506">
        <v>0</v>
      </c>
      <c r="M172" s="314">
        <v>29.180999999999997</v>
      </c>
      <c r="N172" s="315">
        <v>4.9562996798906467E-2</v>
      </c>
      <c r="O172" s="527" t="s">
        <v>1337</v>
      </c>
      <c r="P172" s="317" t="s">
        <v>1338</v>
      </c>
    </row>
    <row r="173" spans="1:16" customFormat="1" ht="16.149999999999999">
      <c r="A173" s="511" t="s">
        <v>1339</v>
      </c>
      <c r="B173" s="168">
        <v>5.0030000000000001</v>
      </c>
      <c r="C173" s="168">
        <v>0</v>
      </c>
      <c r="D173" s="168">
        <v>22.8</v>
      </c>
      <c r="E173" s="168">
        <v>0</v>
      </c>
      <c r="F173" s="168">
        <v>0</v>
      </c>
      <c r="G173" s="168">
        <v>27.803000000000001</v>
      </c>
      <c r="H173" s="168">
        <v>6.1809999999999992</v>
      </c>
      <c r="I173" s="168">
        <v>0</v>
      </c>
      <c r="J173" s="168">
        <v>23</v>
      </c>
      <c r="K173" s="168">
        <v>0</v>
      </c>
      <c r="L173" s="168">
        <v>0</v>
      </c>
      <c r="M173" s="168">
        <v>29.180999999999997</v>
      </c>
      <c r="N173" s="337">
        <v>4.9562996798906467E-2</v>
      </c>
      <c r="O173" s="512"/>
      <c r="P173" s="513"/>
    </row>
    <row r="174" spans="1:16" customFormat="1" ht="16.149999999999999">
      <c r="A174" s="514"/>
      <c r="B174" s="515"/>
      <c r="C174" s="515"/>
      <c r="D174" s="515"/>
      <c r="E174" s="515"/>
      <c r="F174" s="515"/>
      <c r="G174" s="515"/>
      <c r="H174" s="515"/>
      <c r="I174" s="515"/>
      <c r="J174" s="515"/>
      <c r="K174" s="515"/>
      <c r="L174" s="515"/>
      <c r="M174" s="515"/>
      <c r="N174" s="516"/>
      <c r="O174" s="517"/>
      <c r="P174" s="517"/>
    </row>
    <row r="175" spans="1:16" customFormat="1" ht="32.450000000000003">
      <c r="A175" s="525" t="s">
        <v>1340</v>
      </c>
      <c r="B175" s="526"/>
      <c r="C175" s="526"/>
      <c r="D175" s="526"/>
      <c r="E175" s="526"/>
      <c r="F175" s="526"/>
      <c r="G175" s="526"/>
      <c r="H175" s="526"/>
      <c r="I175" s="526"/>
      <c r="J175" s="526"/>
      <c r="K175" s="526"/>
      <c r="L175" s="526"/>
      <c r="M175" s="526"/>
      <c r="N175" s="526"/>
      <c r="O175" s="526"/>
      <c r="P175" s="526"/>
    </row>
    <row r="176" spans="1:16" customFormat="1" ht="16.149999999999999">
      <c r="A176" s="312" t="s">
        <v>1341</v>
      </c>
      <c r="B176" s="313">
        <v>0</v>
      </c>
      <c r="C176" s="313">
        <v>0</v>
      </c>
      <c r="D176" s="313">
        <v>6.2</v>
      </c>
      <c r="E176" s="313">
        <v>0</v>
      </c>
      <c r="F176" s="313">
        <v>0</v>
      </c>
      <c r="G176" s="314">
        <v>6.2</v>
      </c>
      <c r="H176" s="313">
        <v>0</v>
      </c>
      <c r="I176" s="313">
        <v>0</v>
      </c>
      <c r="J176" s="313">
        <v>6.4</v>
      </c>
      <c r="K176" s="313">
        <v>0</v>
      </c>
      <c r="L176" s="313">
        <v>0</v>
      </c>
      <c r="M176" s="314">
        <v>6.4</v>
      </c>
      <c r="N176" s="315">
        <v>3.2258064516129059E-2</v>
      </c>
      <c r="O176" s="505" t="s">
        <v>1306</v>
      </c>
      <c r="P176" s="317" t="s">
        <v>1342</v>
      </c>
    </row>
    <row r="177" spans="1:16" customFormat="1" ht="97.15">
      <c r="A177" s="518" t="s">
        <v>1343</v>
      </c>
      <c r="B177" s="506">
        <v>62.006999999999998</v>
      </c>
      <c r="C177" s="506">
        <v>0</v>
      </c>
      <c r="D177" s="506">
        <v>0</v>
      </c>
      <c r="E177" s="506">
        <v>0</v>
      </c>
      <c r="F177" s="506">
        <v>0</v>
      </c>
      <c r="G177" s="507">
        <v>62.006999999999998</v>
      </c>
      <c r="H177" s="506">
        <v>65.727000000000004</v>
      </c>
      <c r="I177" s="506">
        <v>0</v>
      </c>
      <c r="J177" s="506">
        <v>0</v>
      </c>
      <c r="K177" s="506">
        <v>0</v>
      </c>
      <c r="L177" s="506">
        <v>0</v>
      </c>
      <c r="M177" s="507">
        <v>65.727000000000004</v>
      </c>
      <c r="N177" s="315">
        <v>5.9993226571193672E-2</v>
      </c>
      <c r="O177" s="508" t="s">
        <v>1344</v>
      </c>
      <c r="P177" s="509" t="s">
        <v>1345</v>
      </c>
    </row>
    <row r="178" spans="1:16" customFormat="1" ht="16.149999999999999">
      <c r="A178" s="518" t="s">
        <v>1346</v>
      </c>
      <c r="B178" s="506">
        <v>0</v>
      </c>
      <c r="C178" s="506">
        <v>5.1959999999999997</v>
      </c>
      <c r="D178" s="506">
        <v>0</v>
      </c>
      <c r="E178" s="506">
        <v>0</v>
      </c>
      <c r="F178" s="506">
        <v>0</v>
      </c>
      <c r="G178" s="507">
        <v>5.1959999999999997</v>
      </c>
      <c r="H178" s="506">
        <v>0</v>
      </c>
      <c r="I178" s="506">
        <v>6.28</v>
      </c>
      <c r="J178" s="506">
        <v>0</v>
      </c>
      <c r="K178" s="506">
        <v>0</v>
      </c>
      <c r="L178" s="506">
        <v>0</v>
      </c>
      <c r="M178" s="507">
        <v>6.28</v>
      </c>
      <c r="N178" s="315">
        <v>0.2086220169361048</v>
      </c>
      <c r="O178" s="508" t="s">
        <v>1312</v>
      </c>
      <c r="P178" s="522" t="s">
        <v>1313</v>
      </c>
    </row>
    <row r="179" spans="1:16" customFormat="1" ht="48.6">
      <c r="A179" s="518" t="s">
        <v>1347</v>
      </c>
      <c r="B179" s="506">
        <v>22.62</v>
      </c>
      <c r="C179" s="506">
        <v>0</v>
      </c>
      <c r="D179" s="506">
        <v>0</v>
      </c>
      <c r="E179" s="506">
        <v>0</v>
      </c>
      <c r="F179" s="506">
        <v>0</v>
      </c>
      <c r="G179" s="507">
        <v>22.62</v>
      </c>
      <c r="H179" s="506">
        <v>25.75</v>
      </c>
      <c r="I179" s="506">
        <v>0</v>
      </c>
      <c r="J179" s="506">
        <v>0</v>
      </c>
      <c r="K179" s="506">
        <v>0</v>
      </c>
      <c r="L179" s="506">
        <v>0</v>
      </c>
      <c r="M179" s="507">
        <v>25.75</v>
      </c>
      <c r="N179" s="315">
        <v>0.13837312113174177</v>
      </c>
      <c r="O179" s="508" t="s">
        <v>1348</v>
      </c>
      <c r="P179" s="528" t="s">
        <v>1349</v>
      </c>
    </row>
    <row r="180" spans="1:16" customFormat="1" ht="32.450000000000003">
      <c r="A180" s="518" t="s">
        <v>1350</v>
      </c>
      <c r="B180" s="506">
        <v>-46.996000000000002</v>
      </c>
      <c r="C180" s="506">
        <v>0</v>
      </c>
      <c r="D180" s="506">
        <v>0</v>
      </c>
      <c r="E180" s="506">
        <v>0</v>
      </c>
      <c r="F180" s="506">
        <v>0</v>
      </c>
      <c r="G180" s="507">
        <v>-46.996000000000002</v>
      </c>
      <c r="H180" s="506">
        <v>-51.566000000000003</v>
      </c>
      <c r="I180" s="506">
        <v>0</v>
      </c>
      <c r="J180" s="506">
        <v>0</v>
      </c>
      <c r="K180" s="506">
        <v>0</v>
      </c>
      <c r="L180" s="506">
        <v>0</v>
      </c>
      <c r="M180" s="507">
        <v>-51.566000000000003</v>
      </c>
      <c r="N180" s="315">
        <v>9.7242318495191077E-2</v>
      </c>
      <c r="O180" s="508" t="s">
        <v>1351</v>
      </c>
      <c r="P180" s="528" t="s">
        <v>1352</v>
      </c>
    </row>
    <row r="181" spans="1:16" customFormat="1" ht="32.450000000000003">
      <c r="A181" s="511" t="s">
        <v>1353</v>
      </c>
      <c r="B181" s="168">
        <v>37.630999999999993</v>
      </c>
      <c r="C181" s="168">
        <v>5.1959999999999997</v>
      </c>
      <c r="D181" s="168">
        <v>6.2</v>
      </c>
      <c r="E181" s="168">
        <v>0</v>
      </c>
      <c r="F181" s="168">
        <v>0</v>
      </c>
      <c r="G181" s="168">
        <v>49.026999999999994</v>
      </c>
      <c r="H181" s="168">
        <v>39.911000000000001</v>
      </c>
      <c r="I181" s="168">
        <v>6.28</v>
      </c>
      <c r="J181" s="168">
        <v>6.4</v>
      </c>
      <c r="K181" s="168">
        <v>0</v>
      </c>
      <c r="L181" s="168">
        <v>0</v>
      </c>
      <c r="M181" s="168">
        <v>52.591000000000008</v>
      </c>
      <c r="N181" s="337">
        <v>7.2694637648642882E-2</v>
      </c>
      <c r="O181" s="512"/>
      <c r="P181" s="513"/>
    </row>
    <row r="182" spans="1:16" customFormat="1" ht="16.149999999999999">
      <c r="A182" s="514"/>
      <c r="B182" s="515"/>
      <c r="C182" s="515"/>
      <c r="D182" s="515"/>
      <c r="E182" s="515"/>
      <c r="F182" s="515"/>
      <c r="G182" s="515"/>
      <c r="H182" s="515"/>
      <c r="I182" s="515"/>
      <c r="J182" s="515"/>
      <c r="K182" s="515"/>
      <c r="L182" s="515"/>
      <c r="M182" s="515"/>
      <c r="N182" s="516"/>
      <c r="O182" s="517"/>
      <c r="P182" s="517"/>
    </row>
    <row r="183" spans="1:16" customFormat="1" ht="16.149999999999999">
      <c r="A183" s="209" t="s">
        <v>1354</v>
      </c>
      <c r="B183" s="208"/>
      <c r="C183" s="208"/>
      <c r="D183" s="208"/>
      <c r="E183" s="208"/>
      <c r="F183" s="208"/>
      <c r="G183" s="208"/>
      <c r="H183" s="208"/>
      <c r="I183" s="208"/>
      <c r="J183" s="208"/>
      <c r="K183" s="208"/>
      <c r="L183" s="208"/>
      <c r="M183" s="208"/>
      <c r="N183" s="504"/>
      <c r="O183" s="208"/>
      <c r="P183" s="208"/>
    </row>
    <row r="184" spans="1:16" customFormat="1" ht="64.900000000000006">
      <c r="A184" s="312" t="s">
        <v>1355</v>
      </c>
      <c r="B184" s="313">
        <v>28.954000000000001</v>
      </c>
      <c r="C184" s="313">
        <v>0</v>
      </c>
      <c r="D184" s="313">
        <v>0</v>
      </c>
      <c r="E184" s="313">
        <v>0</v>
      </c>
      <c r="F184" s="313">
        <v>0</v>
      </c>
      <c r="G184" s="314">
        <v>28.954000000000001</v>
      </c>
      <c r="H184" s="313">
        <v>30.7</v>
      </c>
      <c r="I184" s="313">
        <v>0</v>
      </c>
      <c r="J184" s="313">
        <v>0</v>
      </c>
      <c r="K184" s="313">
        <v>0</v>
      </c>
      <c r="L184" s="313">
        <v>0</v>
      </c>
      <c r="M184" s="314">
        <v>30.7</v>
      </c>
      <c r="N184" s="315">
        <v>6.0302548870622322E-2</v>
      </c>
      <c r="O184" s="505" t="s">
        <v>1356</v>
      </c>
      <c r="P184" s="529" t="s">
        <v>1357</v>
      </c>
    </row>
    <row r="185" spans="1:16" customFormat="1" ht="32.450000000000003">
      <c r="A185" s="518" t="s">
        <v>1358</v>
      </c>
      <c r="B185" s="506">
        <v>0</v>
      </c>
      <c r="C185" s="506">
        <v>2.8730000000000002</v>
      </c>
      <c r="D185" s="506">
        <v>0</v>
      </c>
      <c r="E185" s="506">
        <v>0</v>
      </c>
      <c r="F185" s="506">
        <v>0</v>
      </c>
      <c r="G185" s="507">
        <v>2.8730000000000002</v>
      </c>
      <c r="H185" s="506">
        <v>0</v>
      </c>
      <c r="I185" s="506">
        <v>2.363</v>
      </c>
      <c r="J185" s="506">
        <v>0</v>
      </c>
      <c r="K185" s="506">
        <v>0</v>
      </c>
      <c r="L185" s="506">
        <v>0</v>
      </c>
      <c r="M185" s="507">
        <v>2.363</v>
      </c>
      <c r="N185" s="315">
        <v>-0.17751479289940836</v>
      </c>
      <c r="O185" s="508" t="s">
        <v>1312</v>
      </c>
      <c r="P185" s="509" t="s">
        <v>1313</v>
      </c>
    </row>
    <row r="186" spans="1:16" customFormat="1" ht="48.6">
      <c r="A186" s="518" t="s">
        <v>1359</v>
      </c>
      <c r="B186" s="506">
        <v>22.518000000000001</v>
      </c>
      <c r="C186" s="506">
        <v>0</v>
      </c>
      <c r="D186" s="506">
        <v>0</v>
      </c>
      <c r="E186" s="506">
        <v>0</v>
      </c>
      <c r="F186" s="506">
        <v>4.5999999999999999E-2</v>
      </c>
      <c r="G186" s="507">
        <v>22.564</v>
      </c>
      <c r="H186" s="506">
        <v>24.902000000000001</v>
      </c>
      <c r="I186" s="506">
        <v>0</v>
      </c>
      <c r="J186" s="506">
        <v>0</v>
      </c>
      <c r="K186" s="506">
        <v>0</v>
      </c>
      <c r="L186" s="506">
        <v>4.5999999999999999E-2</v>
      </c>
      <c r="M186" s="507">
        <v>24.948</v>
      </c>
      <c r="N186" s="315">
        <v>0.10565502570466231</v>
      </c>
      <c r="O186" s="508" t="s">
        <v>1360</v>
      </c>
      <c r="P186" s="509" t="s">
        <v>1361</v>
      </c>
    </row>
    <row r="187" spans="1:16" customFormat="1" ht="32.450000000000003">
      <c r="A187" s="518" t="s">
        <v>1362</v>
      </c>
      <c r="B187" s="506">
        <v>0</v>
      </c>
      <c r="C187" s="506">
        <v>0</v>
      </c>
      <c r="D187" s="506">
        <v>7.2569999999999997</v>
      </c>
      <c r="E187" s="506">
        <v>0</v>
      </c>
      <c r="F187" s="506">
        <v>0</v>
      </c>
      <c r="G187" s="507">
        <v>7.2569999999999997</v>
      </c>
      <c r="H187" s="506">
        <v>0</v>
      </c>
      <c r="I187" s="506">
        <v>0</v>
      </c>
      <c r="J187" s="506">
        <v>7.5979999999999999</v>
      </c>
      <c r="K187" s="506">
        <v>0</v>
      </c>
      <c r="L187" s="506">
        <v>0</v>
      </c>
      <c r="M187" s="507">
        <v>7.5979999999999999</v>
      </c>
      <c r="N187" s="315">
        <v>4.6989113958936228E-2</v>
      </c>
      <c r="O187" s="508" t="s">
        <v>1363</v>
      </c>
      <c r="P187" s="317" t="s">
        <v>1364</v>
      </c>
    </row>
    <row r="188" spans="1:16" customFormat="1" ht="16.149999999999999">
      <c r="A188" s="511" t="s">
        <v>1365</v>
      </c>
      <c r="B188" s="168">
        <v>51.472000000000001</v>
      </c>
      <c r="C188" s="168">
        <v>2.8730000000000002</v>
      </c>
      <c r="D188" s="168">
        <v>7.2569999999999997</v>
      </c>
      <c r="E188" s="168">
        <v>0</v>
      </c>
      <c r="F188" s="168">
        <v>4.5999999999999999E-2</v>
      </c>
      <c r="G188" s="168">
        <v>61.648000000000003</v>
      </c>
      <c r="H188" s="168">
        <v>55.602000000000004</v>
      </c>
      <c r="I188" s="168">
        <v>2.363</v>
      </c>
      <c r="J188" s="168">
        <v>7.5979999999999999</v>
      </c>
      <c r="K188" s="168">
        <v>0</v>
      </c>
      <c r="L188" s="168">
        <v>4.5999999999999999E-2</v>
      </c>
      <c r="M188" s="168">
        <v>65.609000000000009</v>
      </c>
      <c r="N188" s="337">
        <v>6.425188165066191E-2</v>
      </c>
      <c r="O188" s="512"/>
      <c r="P188" s="513"/>
    </row>
    <row r="189" spans="1:16" customFormat="1" ht="16.149999999999999">
      <c r="A189" s="514"/>
      <c r="B189" s="515"/>
      <c r="C189" s="515"/>
      <c r="D189" s="515"/>
      <c r="E189" s="515"/>
      <c r="F189" s="515"/>
      <c r="G189" s="515"/>
      <c r="H189" s="515"/>
      <c r="I189" s="515"/>
      <c r="J189" s="515"/>
      <c r="K189" s="515"/>
      <c r="L189" s="515"/>
      <c r="M189" s="515"/>
      <c r="N189" s="516"/>
      <c r="O189" s="517"/>
      <c r="P189" s="517"/>
    </row>
    <row r="190" spans="1:16" customFormat="1" ht="16.149999999999999">
      <c r="A190" s="209" t="s">
        <v>1366</v>
      </c>
      <c r="B190" s="208"/>
      <c r="C190" s="208"/>
      <c r="D190" s="208"/>
      <c r="E190" s="208"/>
      <c r="F190" s="208"/>
      <c r="G190" s="208"/>
      <c r="H190" s="208"/>
      <c r="I190" s="208"/>
      <c r="J190" s="208"/>
      <c r="K190" s="208"/>
      <c r="L190" s="208"/>
      <c r="M190" s="208"/>
      <c r="N190" s="504"/>
      <c r="O190" s="224"/>
      <c r="P190" s="224"/>
    </row>
    <row r="191" spans="1:16" customFormat="1" ht="81">
      <c r="A191" s="312" t="s">
        <v>1366</v>
      </c>
      <c r="B191" s="313">
        <v>23.675000000000001</v>
      </c>
      <c r="C191" s="313">
        <v>0</v>
      </c>
      <c r="D191" s="313">
        <v>23.2</v>
      </c>
      <c r="E191" s="313">
        <v>0</v>
      </c>
      <c r="F191" s="313">
        <v>0</v>
      </c>
      <c r="G191" s="314">
        <v>46.875</v>
      </c>
      <c r="H191" s="313">
        <v>25.085000000000001</v>
      </c>
      <c r="I191" s="313">
        <v>0</v>
      </c>
      <c r="J191" s="313">
        <v>23.832000000000001</v>
      </c>
      <c r="K191" s="313">
        <v>0</v>
      </c>
      <c r="L191" s="313">
        <v>0</v>
      </c>
      <c r="M191" s="314">
        <v>48.917000000000002</v>
      </c>
      <c r="N191" s="315">
        <v>4.3562666666666701E-2</v>
      </c>
      <c r="O191" s="505" t="s">
        <v>1367</v>
      </c>
      <c r="P191" s="530" t="s">
        <v>1368</v>
      </c>
    </row>
    <row r="192" spans="1:16" customFormat="1" ht="16.149999999999999">
      <c r="A192" s="511" t="s">
        <v>1369</v>
      </c>
      <c r="B192" s="168">
        <v>23.675000000000001</v>
      </c>
      <c r="C192" s="168">
        <v>0</v>
      </c>
      <c r="D192" s="168">
        <v>23.2</v>
      </c>
      <c r="E192" s="168">
        <v>0</v>
      </c>
      <c r="F192" s="168">
        <v>0</v>
      </c>
      <c r="G192" s="168">
        <v>46.875</v>
      </c>
      <c r="H192" s="168">
        <v>25.085000000000001</v>
      </c>
      <c r="I192" s="168">
        <v>0</v>
      </c>
      <c r="J192" s="168">
        <v>23.832000000000001</v>
      </c>
      <c r="K192" s="168">
        <v>0</v>
      </c>
      <c r="L192" s="168">
        <v>0</v>
      </c>
      <c r="M192" s="168">
        <v>48.917000000000002</v>
      </c>
      <c r="N192" s="337">
        <v>4.3562666666666701E-2</v>
      </c>
      <c r="O192" s="512"/>
      <c r="P192" s="513"/>
    </row>
    <row r="193" spans="1:16" customFormat="1" ht="32.450000000000003">
      <c r="A193" s="518" t="s">
        <v>1370</v>
      </c>
      <c r="B193" s="506">
        <v>0</v>
      </c>
      <c r="C193" s="506">
        <v>0</v>
      </c>
      <c r="D193" s="506">
        <v>0</v>
      </c>
      <c r="E193" s="506">
        <v>0</v>
      </c>
      <c r="F193" s="506">
        <v>0</v>
      </c>
      <c r="G193" s="507">
        <v>0</v>
      </c>
      <c r="H193" s="506">
        <v>0</v>
      </c>
      <c r="I193" s="506">
        <v>0</v>
      </c>
      <c r="J193" s="506">
        <v>0</v>
      </c>
      <c r="K193" s="506">
        <v>0</v>
      </c>
      <c r="L193" s="506">
        <v>0</v>
      </c>
      <c r="M193" s="507">
        <v>0</v>
      </c>
      <c r="N193" s="337" t="s">
        <v>204</v>
      </c>
      <c r="O193" s="518" t="s">
        <v>1371</v>
      </c>
      <c r="P193" s="509" t="s">
        <v>1372</v>
      </c>
    </row>
    <row r="194" spans="1:16" customFormat="1" ht="32.450000000000003">
      <c r="A194" s="511" t="s">
        <v>1373</v>
      </c>
      <c r="B194" s="168">
        <v>0</v>
      </c>
      <c r="C194" s="168">
        <v>0</v>
      </c>
      <c r="D194" s="168">
        <v>0</v>
      </c>
      <c r="E194" s="168">
        <v>0</v>
      </c>
      <c r="F194" s="168">
        <v>0</v>
      </c>
      <c r="G194" s="168">
        <v>0</v>
      </c>
      <c r="H194" s="168">
        <v>0</v>
      </c>
      <c r="I194" s="168">
        <v>0</v>
      </c>
      <c r="J194" s="168">
        <v>0</v>
      </c>
      <c r="K194" s="168">
        <v>0</v>
      </c>
      <c r="L194" s="168">
        <v>0</v>
      </c>
      <c r="M194" s="168">
        <v>0</v>
      </c>
      <c r="N194" s="337" t="s">
        <v>204</v>
      </c>
      <c r="O194" s="512"/>
      <c r="P194" s="513"/>
    </row>
    <row r="195" spans="1:16" customFormat="1">
      <c r="A195" s="3"/>
    </row>
    <row r="196" spans="1:16" customFormat="1" ht="16.149999999999999">
      <c r="A196" s="531" t="s">
        <v>1374</v>
      </c>
      <c r="B196" s="532">
        <v>141.6</v>
      </c>
      <c r="C196" s="532">
        <v>9.5090000000000003</v>
      </c>
      <c r="D196" s="532">
        <v>65.287000000000006</v>
      </c>
      <c r="E196" s="532">
        <v>0</v>
      </c>
      <c r="F196" s="532">
        <v>0.10600000000000001</v>
      </c>
      <c r="G196" s="532">
        <v>216.50199999999998</v>
      </c>
      <c r="H196" s="532">
        <v>149.24800000000002</v>
      </c>
      <c r="I196" s="532">
        <v>9.7929999999999993</v>
      </c>
      <c r="J196" s="532">
        <v>65.490000000000009</v>
      </c>
      <c r="K196" s="532">
        <v>0</v>
      </c>
      <c r="L196" s="532">
        <v>5.5E-2</v>
      </c>
      <c r="M196" s="532">
        <v>224.58600000000001</v>
      </c>
      <c r="N196" s="320">
        <v>3.7339146982476062E-2</v>
      </c>
      <c r="O196" s="533"/>
      <c r="P196" s="534"/>
    </row>
    <row r="197" spans="1:16" customFormat="1" ht="16.149999999999999">
      <c r="A197" s="514"/>
      <c r="B197" s="535"/>
      <c r="C197" s="535"/>
      <c r="D197" s="535"/>
      <c r="E197" s="535"/>
      <c r="F197" s="535"/>
      <c r="G197" s="535"/>
      <c r="H197" s="535"/>
      <c r="I197" s="535"/>
      <c r="J197" s="535"/>
      <c r="K197" s="535"/>
      <c r="L197" s="535"/>
      <c r="M197" s="535"/>
      <c r="N197" s="502"/>
      <c r="O197" s="517"/>
      <c r="P197" s="517"/>
    </row>
    <row r="198" spans="1:16" customFormat="1" ht="32.450000000000003">
      <c r="A198" s="536" t="s">
        <v>1375</v>
      </c>
      <c r="B198" s="497"/>
      <c r="C198" s="497"/>
      <c r="D198" s="497"/>
      <c r="E198" s="497"/>
      <c r="F198" s="497"/>
      <c r="G198" s="497"/>
      <c r="H198" s="497"/>
      <c r="I198" s="497"/>
      <c r="J198" s="497"/>
      <c r="K198" s="497"/>
      <c r="L198" s="497"/>
      <c r="M198" s="497"/>
      <c r="N198" s="537"/>
      <c r="O198" s="538"/>
      <c r="P198" s="538"/>
    </row>
    <row r="199" spans="1:16" customFormat="1" ht="64.900000000000006">
      <c r="A199" s="539" t="s">
        <v>1375</v>
      </c>
      <c r="B199" s="506">
        <v>2.91</v>
      </c>
      <c r="C199" s="506">
        <v>0</v>
      </c>
      <c r="D199" s="506">
        <v>0</v>
      </c>
      <c r="E199" s="506">
        <v>0</v>
      </c>
      <c r="F199" s="506">
        <v>0</v>
      </c>
      <c r="G199" s="507">
        <v>2.91</v>
      </c>
      <c r="H199" s="506">
        <v>3.02</v>
      </c>
      <c r="I199" s="506">
        <v>0</v>
      </c>
      <c r="J199" s="506">
        <v>0</v>
      </c>
      <c r="K199" s="506">
        <v>0</v>
      </c>
      <c r="L199" s="506">
        <v>0</v>
      </c>
      <c r="M199" s="507">
        <v>3.02</v>
      </c>
      <c r="N199" s="315">
        <v>3.7800687285223324E-2</v>
      </c>
      <c r="O199" s="518" t="s">
        <v>1376</v>
      </c>
      <c r="P199" s="522" t="s">
        <v>1377</v>
      </c>
    </row>
    <row r="200" spans="1:16" customFormat="1" ht="32.450000000000003">
      <c r="A200" s="540" t="s">
        <v>1378</v>
      </c>
      <c r="B200" s="541">
        <v>2.91</v>
      </c>
      <c r="C200" s="541">
        <v>0</v>
      </c>
      <c r="D200" s="541">
        <v>0</v>
      </c>
      <c r="E200" s="541">
        <v>0</v>
      </c>
      <c r="F200" s="541">
        <v>0</v>
      </c>
      <c r="G200" s="541">
        <v>2.91</v>
      </c>
      <c r="H200" s="541">
        <v>3.02</v>
      </c>
      <c r="I200" s="541">
        <v>0</v>
      </c>
      <c r="J200" s="541">
        <v>0</v>
      </c>
      <c r="K200" s="541">
        <v>0</v>
      </c>
      <c r="L200" s="541">
        <v>0</v>
      </c>
      <c r="M200" s="541">
        <v>3.02</v>
      </c>
      <c r="N200" s="320">
        <v>3.7800687285223324E-2</v>
      </c>
      <c r="O200" s="542"/>
      <c r="P200" s="543"/>
    </row>
    <row r="201" spans="1:16" customFormat="1" ht="16.149999999999999">
      <c r="A201" s="544"/>
      <c r="B201" s="545"/>
      <c r="C201" s="545"/>
      <c r="D201" s="545"/>
      <c r="E201" s="545"/>
      <c r="F201" s="545"/>
      <c r="G201" s="546"/>
      <c r="H201" s="545"/>
      <c r="I201" s="545"/>
      <c r="J201" s="545"/>
      <c r="K201" s="545"/>
      <c r="L201" s="545"/>
      <c r="M201" s="546"/>
      <c r="N201" s="547"/>
      <c r="O201" s="544"/>
      <c r="P201" s="544"/>
    </row>
    <row r="202" spans="1:16" customFormat="1" ht="16.149999999999999">
      <c r="A202" s="496" t="s">
        <v>1379</v>
      </c>
      <c r="B202" s="497"/>
      <c r="C202" s="497"/>
      <c r="D202" s="497"/>
      <c r="E202" s="497"/>
      <c r="F202" s="497"/>
      <c r="G202" s="497"/>
      <c r="H202" s="497"/>
      <c r="I202" s="497"/>
      <c r="J202" s="497"/>
      <c r="K202" s="497"/>
      <c r="L202" s="497"/>
      <c r="M202" s="497"/>
      <c r="N202" s="498"/>
      <c r="O202" s="499"/>
      <c r="P202" s="499"/>
    </row>
    <row r="203" spans="1:16" customFormat="1" ht="64.150000000000006" customHeight="1">
      <c r="A203" s="312" t="s">
        <v>1380</v>
      </c>
      <c r="B203" s="313">
        <v>29.707999999999998</v>
      </c>
      <c r="C203" s="313">
        <v>0</v>
      </c>
      <c r="D203" s="313">
        <v>0</v>
      </c>
      <c r="E203" s="313">
        <v>0</v>
      </c>
      <c r="F203" s="313">
        <v>0</v>
      </c>
      <c r="G203" s="314">
        <v>29.707999999999998</v>
      </c>
      <c r="H203" s="313">
        <v>29</v>
      </c>
      <c r="I203" s="313">
        <v>0</v>
      </c>
      <c r="J203" s="313">
        <v>0</v>
      </c>
      <c r="K203" s="313">
        <v>0</v>
      </c>
      <c r="L203" s="313">
        <v>0</v>
      </c>
      <c r="M203" s="314">
        <v>29</v>
      </c>
      <c r="N203" s="315">
        <v>-2.3831964454019066E-2</v>
      </c>
      <c r="O203" s="316" t="s">
        <v>1381</v>
      </c>
      <c r="P203" s="317" t="s">
        <v>1382</v>
      </c>
    </row>
    <row r="204" spans="1:16" customFormat="1" ht="124.5">
      <c r="A204" s="518" t="s">
        <v>1383</v>
      </c>
      <c r="B204" s="506">
        <v>0.2</v>
      </c>
      <c r="C204" s="506">
        <v>0</v>
      </c>
      <c r="D204" s="506">
        <v>0</v>
      </c>
      <c r="E204" s="506">
        <v>0</v>
      </c>
      <c r="F204" s="506">
        <v>0</v>
      </c>
      <c r="G204" s="507">
        <v>0.2</v>
      </c>
      <c r="H204" s="506">
        <v>0</v>
      </c>
      <c r="I204" s="506">
        <v>0</v>
      </c>
      <c r="J204" s="506">
        <v>0</v>
      </c>
      <c r="K204" s="506">
        <v>0</v>
      </c>
      <c r="L204" s="506">
        <v>0</v>
      </c>
      <c r="M204" s="507">
        <v>0</v>
      </c>
      <c r="N204" s="315">
        <v>-1</v>
      </c>
      <c r="O204" s="519" t="s">
        <v>1384</v>
      </c>
      <c r="P204" s="522" t="s">
        <v>1385</v>
      </c>
    </row>
    <row r="205" spans="1:16" customFormat="1" ht="160.15" customHeight="1">
      <c r="A205" s="539" t="s">
        <v>1386</v>
      </c>
      <c r="B205" s="506">
        <v>0</v>
      </c>
      <c r="C205" s="506">
        <v>0</v>
      </c>
      <c r="D205" s="506">
        <v>25</v>
      </c>
      <c r="E205" s="506">
        <v>25</v>
      </c>
      <c r="F205" s="506">
        <v>0</v>
      </c>
      <c r="G205" s="507">
        <v>50</v>
      </c>
      <c r="H205" s="506">
        <v>0</v>
      </c>
      <c r="I205" s="506">
        <v>0</v>
      </c>
      <c r="J205" s="506">
        <v>12.172000000000001</v>
      </c>
      <c r="K205" s="506">
        <v>0</v>
      </c>
      <c r="L205" s="506">
        <v>0</v>
      </c>
      <c r="M205" s="507">
        <v>12.172000000000001</v>
      </c>
      <c r="N205" s="315">
        <v>-0.75656000000000001</v>
      </c>
      <c r="O205" s="519" t="s">
        <v>1387</v>
      </c>
      <c r="P205" s="528" t="s">
        <v>1388</v>
      </c>
    </row>
    <row r="206" spans="1:16" customFormat="1" ht="16.149999999999999">
      <c r="A206" s="548" t="s">
        <v>1389</v>
      </c>
      <c r="B206" s="541">
        <v>29.907999999999998</v>
      </c>
      <c r="C206" s="541">
        <v>0</v>
      </c>
      <c r="D206" s="541">
        <v>25</v>
      </c>
      <c r="E206" s="541">
        <v>25</v>
      </c>
      <c r="F206" s="541">
        <v>0</v>
      </c>
      <c r="G206" s="541">
        <v>79.908000000000001</v>
      </c>
      <c r="H206" s="541">
        <v>29</v>
      </c>
      <c r="I206" s="541">
        <v>0</v>
      </c>
      <c r="J206" s="541">
        <v>12.172000000000001</v>
      </c>
      <c r="K206" s="541">
        <v>0</v>
      </c>
      <c r="L206" s="541">
        <v>0</v>
      </c>
      <c r="M206" s="541">
        <v>41.171999999999997</v>
      </c>
      <c r="N206" s="320">
        <v>-0.48475747109175554</v>
      </c>
      <c r="O206" s="549"/>
      <c r="P206" s="534"/>
    </row>
    <row r="207" spans="1:16" customFormat="1">
      <c r="A207" s="3"/>
    </row>
    <row r="208" spans="1:16" customFormat="1" ht="16.149999999999999">
      <c r="A208" s="550"/>
      <c r="B208" s="551"/>
      <c r="C208" s="551"/>
      <c r="D208" s="551"/>
      <c r="E208" s="551"/>
      <c r="F208" s="551"/>
      <c r="G208" s="551"/>
      <c r="H208" s="551"/>
      <c r="I208" s="551"/>
      <c r="J208" s="551"/>
      <c r="K208" s="551"/>
      <c r="L208" s="551"/>
      <c r="M208" s="551"/>
      <c r="N208" s="516"/>
      <c r="O208" s="552"/>
      <c r="P208" s="552"/>
    </row>
    <row r="209" spans="1:16" customFormat="1" ht="16.149999999999999">
      <c r="A209" s="553" t="s">
        <v>1390</v>
      </c>
      <c r="B209" s="184"/>
      <c r="C209" s="184"/>
      <c r="D209" s="184"/>
      <c r="E209" s="184"/>
      <c r="F209" s="184"/>
      <c r="G209" s="184"/>
      <c r="H209" s="184"/>
      <c r="I209" s="184"/>
      <c r="J209" s="184"/>
      <c r="K209" s="184"/>
      <c r="L209" s="184"/>
      <c r="M209" s="184"/>
      <c r="N209" s="554"/>
      <c r="O209" s="555"/>
      <c r="P209" s="555"/>
    </row>
    <row r="210" spans="1:16" customFormat="1" ht="32.450000000000003">
      <c r="A210" s="312" t="s">
        <v>1391</v>
      </c>
      <c r="B210" s="313">
        <v>-105</v>
      </c>
      <c r="C210" s="313">
        <v>0</v>
      </c>
      <c r="D210" s="313">
        <v>0</v>
      </c>
      <c r="E210" s="313">
        <v>0</v>
      </c>
      <c r="F210" s="313">
        <v>0</v>
      </c>
      <c r="G210" s="314">
        <v>-105</v>
      </c>
      <c r="H210" s="313">
        <v>-105.5</v>
      </c>
      <c r="I210" s="313">
        <v>0</v>
      </c>
      <c r="J210" s="313">
        <v>0</v>
      </c>
      <c r="K210" s="313">
        <v>0</v>
      </c>
      <c r="L210" s="313">
        <v>0</v>
      </c>
      <c r="M210" s="314">
        <v>-105.5</v>
      </c>
      <c r="N210" s="315">
        <v>4.7619047619047623E-3</v>
      </c>
      <c r="O210" s="556" t="s">
        <v>1392</v>
      </c>
      <c r="P210" s="317" t="s">
        <v>47</v>
      </c>
    </row>
    <row r="211" spans="1:16" customFormat="1" ht="32.450000000000003">
      <c r="A211" s="518" t="s">
        <v>1393</v>
      </c>
      <c r="B211" s="506">
        <v>0</v>
      </c>
      <c r="C211" s="506">
        <v>0</v>
      </c>
      <c r="D211" s="506">
        <v>170</v>
      </c>
      <c r="E211" s="506">
        <v>0</v>
      </c>
      <c r="F211" s="506">
        <v>0</v>
      </c>
      <c r="G211" s="507">
        <v>170</v>
      </c>
      <c r="H211" s="506">
        <v>0</v>
      </c>
      <c r="I211" s="506">
        <v>0</v>
      </c>
      <c r="J211" s="506">
        <v>170</v>
      </c>
      <c r="K211" s="506">
        <v>0</v>
      </c>
      <c r="L211" s="506">
        <v>0</v>
      </c>
      <c r="M211" s="507">
        <v>170</v>
      </c>
      <c r="N211" s="315">
        <v>0</v>
      </c>
      <c r="O211" s="557" t="s">
        <v>1394</v>
      </c>
      <c r="P211" s="317" t="s">
        <v>47</v>
      </c>
    </row>
    <row r="212" spans="1:16" customFormat="1" ht="16.149999999999999">
      <c r="A212" s="518" t="s">
        <v>1395</v>
      </c>
      <c r="B212" s="506">
        <v>3.548</v>
      </c>
      <c r="C212" s="506">
        <v>0</v>
      </c>
      <c r="D212" s="506">
        <v>0</v>
      </c>
      <c r="E212" s="506">
        <v>0</v>
      </c>
      <c r="F212" s="506">
        <v>0</v>
      </c>
      <c r="G212" s="507">
        <v>3.548</v>
      </c>
      <c r="H212" s="506">
        <v>2.8280000000000003</v>
      </c>
      <c r="I212" s="506">
        <v>0</v>
      </c>
      <c r="J212" s="506">
        <v>0</v>
      </c>
      <c r="K212" s="506">
        <v>0</v>
      </c>
      <c r="L212" s="506">
        <v>0</v>
      </c>
      <c r="M212" s="507">
        <v>2.8280000000000003</v>
      </c>
      <c r="N212" s="315">
        <v>-0.20293122886133025</v>
      </c>
      <c r="O212" s="557" t="s">
        <v>1396</v>
      </c>
      <c r="P212" s="510" t="s">
        <v>1382</v>
      </c>
    </row>
    <row r="213" spans="1:16" customFormat="1" ht="48.6">
      <c r="A213" s="518" t="s">
        <v>1397</v>
      </c>
      <c r="B213" s="506">
        <v>0.35799999999999998</v>
      </c>
      <c r="C213" s="506">
        <v>0</v>
      </c>
      <c r="D213" s="506">
        <v>0</v>
      </c>
      <c r="E213" s="506">
        <v>0</v>
      </c>
      <c r="F213" s="506">
        <v>0</v>
      </c>
      <c r="G213" s="507">
        <v>0.35799999999999998</v>
      </c>
      <c r="H213" s="506">
        <v>0.41499999999999998</v>
      </c>
      <c r="I213" s="506">
        <v>0</v>
      </c>
      <c r="J213" s="506">
        <v>0</v>
      </c>
      <c r="K213" s="506">
        <v>0</v>
      </c>
      <c r="L213" s="506">
        <v>0</v>
      </c>
      <c r="M213" s="507">
        <v>0.41499999999999998</v>
      </c>
      <c r="N213" s="315">
        <v>0.15921787709497207</v>
      </c>
      <c r="O213" s="557" t="s">
        <v>1398</v>
      </c>
      <c r="P213" s="510" t="s">
        <v>1382</v>
      </c>
    </row>
    <row r="214" spans="1:16" customFormat="1" ht="48.6">
      <c r="A214" s="518" t="s">
        <v>1399</v>
      </c>
      <c r="B214" s="506">
        <v>1.7869999999999999</v>
      </c>
      <c r="C214" s="506">
        <v>0</v>
      </c>
      <c r="D214" s="506">
        <v>5</v>
      </c>
      <c r="E214" s="506">
        <v>0</v>
      </c>
      <c r="F214" s="506">
        <v>0</v>
      </c>
      <c r="G214" s="507">
        <v>6.7869999999999999</v>
      </c>
      <c r="H214" s="506">
        <v>1.8420000000000001</v>
      </c>
      <c r="I214" s="506">
        <v>0</v>
      </c>
      <c r="J214" s="506">
        <v>5</v>
      </c>
      <c r="K214" s="506">
        <v>0</v>
      </c>
      <c r="L214" s="506">
        <v>0</v>
      </c>
      <c r="M214" s="507">
        <v>6.8420000000000005</v>
      </c>
      <c r="N214" s="315">
        <v>8.1037277147488727E-3</v>
      </c>
      <c r="O214" s="558" t="s">
        <v>1400</v>
      </c>
      <c r="P214" s="317" t="s">
        <v>1401</v>
      </c>
    </row>
    <row r="215" spans="1:16" customFormat="1" ht="16.149999999999999">
      <c r="A215" s="559" t="s">
        <v>1402</v>
      </c>
      <c r="B215" s="560">
        <v>-99.306999999999988</v>
      </c>
      <c r="C215" s="560">
        <v>0</v>
      </c>
      <c r="D215" s="560">
        <v>175</v>
      </c>
      <c r="E215" s="560">
        <v>0</v>
      </c>
      <c r="F215" s="560">
        <v>0</v>
      </c>
      <c r="G215" s="560">
        <v>75.693000000000012</v>
      </c>
      <c r="H215" s="560">
        <v>-100.41499999999999</v>
      </c>
      <c r="I215" s="560">
        <v>0</v>
      </c>
      <c r="J215" s="560">
        <v>175</v>
      </c>
      <c r="K215" s="560">
        <v>0</v>
      </c>
      <c r="L215" s="560">
        <v>0</v>
      </c>
      <c r="M215" s="560">
        <v>74.585000000000008</v>
      </c>
      <c r="N215" s="320">
        <v>-1.4638077497258714E-2</v>
      </c>
      <c r="O215" s="561"/>
      <c r="P215" s="562"/>
    </row>
    <row r="216" spans="1:16" customFormat="1">
      <c r="A216" s="3"/>
    </row>
    <row r="217" spans="1:16" customFormat="1" ht="16.149999999999999">
      <c r="A217" s="308" t="s">
        <v>1403</v>
      </c>
      <c r="B217" s="213"/>
      <c r="C217" s="213"/>
      <c r="D217" s="213"/>
      <c r="E217" s="213"/>
      <c r="F217" s="213"/>
      <c r="G217" s="213"/>
      <c r="H217" s="213"/>
      <c r="I217" s="213"/>
      <c r="J217" s="213"/>
      <c r="K217" s="213"/>
      <c r="L217" s="213"/>
      <c r="M217" s="213"/>
      <c r="N217" s="322"/>
      <c r="O217" s="323"/>
      <c r="P217" s="323"/>
    </row>
    <row r="218" spans="1:16" ht="16.149999999999999">
      <c r="A218" s="349" t="s">
        <v>1403</v>
      </c>
      <c r="B218" s="350"/>
      <c r="C218" s="350"/>
      <c r="D218" s="350"/>
      <c r="E218" s="350"/>
      <c r="F218" s="350"/>
      <c r="G218" s="350"/>
      <c r="H218" s="350"/>
      <c r="I218" s="350"/>
      <c r="J218" s="350"/>
      <c r="K218" s="350"/>
      <c r="L218" s="350"/>
      <c r="M218" s="350"/>
      <c r="N218" s="351"/>
      <c r="O218" s="402"/>
      <c r="P218" s="402"/>
    </row>
    <row r="219" spans="1:16" ht="16.149999999999999">
      <c r="A219" s="412" t="s">
        <v>1404</v>
      </c>
      <c r="B219" s="369">
        <v>0</v>
      </c>
      <c r="C219" s="369">
        <v>0</v>
      </c>
      <c r="D219" s="369">
        <v>5.07</v>
      </c>
      <c r="E219" s="369">
        <v>0</v>
      </c>
      <c r="F219" s="369">
        <v>0</v>
      </c>
      <c r="G219" s="370">
        <v>5.07</v>
      </c>
      <c r="H219" s="357">
        <v>0</v>
      </c>
      <c r="I219" s="357">
        <v>0</v>
      </c>
      <c r="J219" s="357">
        <v>0</v>
      </c>
      <c r="K219" s="357">
        <v>0</v>
      </c>
      <c r="L219" s="357">
        <v>0</v>
      </c>
      <c r="M219" s="370">
        <v>0</v>
      </c>
      <c r="N219" s="371">
        <v>-1</v>
      </c>
      <c r="O219" s="404" t="s">
        <v>1405</v>
      </c>
      <c r="P219" s="373" t="s">
        <v>677</v>
      </c>
    </row>
    <row r="220" spans="1:16" ht="32.450000000000003">
      <c r="A220" s="406" t="s">
        <v>1406</v>
      </c>
      <c r="B220" s="388">
        <v>0</v>
      </c>
      <c r="C220" s="388">
        <v>0</v>
      </c>
      <c r="D220" s="388">
        <v>0</v>
      </c>
      <c r="E220" s="388">
        <v>0</v>
      </c>
      <c r="F220" s="388">
        <v>0</v>
      </c>
      <c r="G220" s="389">
        <v>0</v>
      </c>
      <c r="H220" s="357">
        <v>0</v>
      </c>
      <c r="I220" s="357">
        <v>0</v>
      </c>
      <c r="J220" s="357">
        <v>0</v>
      </c>
      <c r="K220" s="357">
        <v>0</v>
      </c>
      <c r="L220" s="357">
        <v>0</v>
      </c>
      <c r="M220" s="389">
        <v>0</v>
      </c>
      <c r="N220" s="390" t="s">
        <v>204</v>
      </c>
      <c r="O220" s="563" t="s">
        <v>1407</v>
      </c>
      <c r="P220" s="564" t="s">
        <v>238</v>
      </c>
    </row>
    <row r="221" spans="1:16" ht="16.149999999999999">
      <c r="A221" s="406"/>
      <c r="B221" s="388"/>
      <c r="C221" s="388"/>
      <c r="D221" s="388"/>
      <c r="E221" s="388"/>
      <c r="F221" s="388"/>
      <c r="G221" s="389"/>
      <c r="H221" s="357"/>
      <c r="I221" s="357"/>
      <c r="J221" s="357"/>
      <c r="K221" s="357"/>
      <c r="L221" s="357"/>
      <c r="M221" s="389"/>
      <c r="N221" s="390"/>
      <c r="O221" s="563"/>
      <c r="P221" s="564"/>
    </row>
    <row r="222" spans="1:16" ht="16.149999999999999">
      <c r="A222" s="392" t="s">
        <v>1403</v>
      </c>
      <c r="B222" s="393">
        <v>0</v>
      </c>
      <c r="C222" s="393">
        <v>0</v>
      </c>
      <c r="D222" s="393">
        <v>5.07</v>
      </c>
      <c r="E222" s="393">
        <v>0</v>
      </c>
      <c r="F222" s="393">
        <v>0</v>
      </c>
      <c r="G222" s="393">
        <v>5.07</v>
      </c>
      <c r="H222" s="393">
        <v>0</v>
      </c>
      <c r="I222" s="393">
        <v>0</v>
      </c>
      <c r="J222" s="393">
        <v>0</v>
      </c>
      <c r="K222" s="393">
        <v>0</v>
      </c>
      <c r="L222" s="393">
        <v>0</v>
      </c>
      <c r="M222" s="393">
        <v>0</v>
      </c>
      <c r="N222" s="337">
        <v>-1</v>
      </c>
      <c r="O222" s="410"/>
      <c r="P222" s="411"/>
    </row>
    <row r="223" spans="1:16" ht="16.149999999999999">
      <c r="A223" s="380" t="s">
        <v>1403</v>
      </c>
      <c r="B223" s="565">
        <v>0</v>
      </c>
      <c r="C223" s="565">
        <v>0</v>
      </c>
      <c r="D223" s="565">
        <v>5.07</v>
      </c>
      <c r="E223" s="565">
        <v>0</v>
      </c>
      <c r="F223" s="565">
        <v>0</v>
      </c>
      <c r="G223" s="565">
        <v>5.07</v>
      </c>
      <c r="H223" s="565">
        <v>0</v>
      </c>
      <c r="I223" s="565">
        <v>0</v>
      </c>
      <c r="J223" s="565">
        <v>0</v>
      </c>
      <c r="K223" s="565">
        <v>0</v>
      </c>
      <c r="L223" s="565">
        <v>0</v>
      </c>
      <c r="M223" s="565">
        <v>0</v>
      </c>
      <c r="N223" s="320">
        <v>-1</v>
      </c>
      <c r="O223" s="430"/>
      <c r="P223" s="433"/>
    </row>
    <row r="224" spans="1:16" ht="16.149999999999999">
      <c r="A224" s="340"/>
      <c r="B224" s="341"/>
      <c r="C224" s="341"/>
      <c r="D224" s="341"/>
      <c r="E224" s="341"/>
      <c r="F224" s="341"/>
      <c r="G224" s="342"/>
      <c r="H224" s="341"/>
      <c r="I224" s="341"/>
      <c r="J224" s="341"/>
      <c r="K224" s="341"/>
      <c r="L224" s="341"/>
      <c r="M224" s="342"/>
      <c r="N224" s="343"/>
      <c r="O224" s="340"/>
      <c r="P224" s="340"/>
    </row>
    <row r="225" spans="1:16" ht="16.149999999999999">
      <c r="A225" s="566" t="s">
        <v>372</v>
      </c>
      <c r="B225" s="567"/>
      <c r="C225" s="567"/>
      <c r="D225" s="567"/>
      <c r="E225" s="567"/>
      <c r="F225" s="567"/>
      <c r="G225" s="393"/>
      <c r="H225" s="567"/>
      <c r="I225" s="567"/>
      <c r="J225" s="567"/>
      <c r="K225" s="567"/>
      <c r="L225" s="567"/>
      <c r="M225" s="393"/>
      <c r="N225" s="343"/>
      <c r="O225" s="340"/>
      <c r="P225" s="340"/>
    </row>
    <row r="226" spans="1:16" s="572" customFormat="1" ht="18.600000000000001">
      <c r="A226" s="568"/>
      <c r="B226" s="569"/>
      <c r="C226" s="569"/>
      <c r="D226" s="569"/>
      <c r="E226" s="569"/>
      <c r="F226" s="569"/>
      <c r="G226" s="570"/>
      <c r="H226" s="569"/>
      <c r="I226" s="569"/>
      <c r="J226" s="569"/>
      <c r="K226" s="569"/>
      <c r="L226" s="569"/>
      <c r="M226" s="570"/>
      <c r="N226" s="571"/>
      <c r="O226" s="568"/>
      <c r="P226" s="568"/>
    </row>
    <row r="227" spans="1:16" ht="16.149999999999999">
      <c r="A227" s="380" t="s">
        <v>1408</v>
      </c>
      <c r="B227" s="565">
        <v>622.91999999999996</v>
      </c>
      <c r="C227" s="565">
        <v>43.846000000000004</v>
      </c>
      <c r="D227" s="565">
        <v>1125.8210000000001</v>
      </c>
      <c r="E227" s="565">
        <v>323</v>
      </c>
      <c r="F227" s="565">
        <v>0.36899999999999999</v>
      </c>
      <c r="G227" s="565">
        <v>2115.9559999999997</v>
      </c>
      <c r="H227" s="565">
        <v>591.63900000000012</v>
      </c>
      <c r="I227" s="565">
        <v>37.063000000000002</v>
      </c>
      <c r="J227" s="565">
        <v>1152.586</v>
      </c>
      <c r="K227" s="565">
        <v>190.70000000000002</v>
      </c>
      <c r="L227" s="565">
        <v>9.7000000000000003E-2</v>
      </c>
      <c r="M227" s="565">
        <v>1972.085</v>
      </c>
      <c r="N227" s="382">
        <v>-6.799337982453306E-2</v>
      </c>
      <c r="O227" s="573"/>
      <c r="P227" s="573"/>
    </row>
    <row r="228" spans="1:16" ht="16.149999999999999">
      <c r="A228" s="340"/>
      <c r="B228" s="341"/>
      <c r="C228" s="341"/>
      <c r="D228" s="341"/>
      <c r="E228" s="341"/>
      <c r="F228" s="341"/>
      <c r="G228" s="342"/>
      <c r="H228" s="341"/>
      <c r="I228" s="341"/>
      <c r="J228" s="341"/>
      <c r="K228" s="341"/>
      <c r="L228" s="341"/>
      <c r="M228" s="342"/>
      <c r="N228" s="343"/>
      <c r="O228" s="573"/>
      <c r="P228" s="573"/>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6DCA-0A66-4AAB-82CA-25E567A215B6}">
  <sheetPr>
    <tabColor theme="8" tint="-0.499984740745262"/>
  </sheetPr>
  <dimension ref="A1:Q214"/>
  <sheetViews>
    <sheetView showGridLines="0" tabSelected="1" zoomScale="50" zoomScaleNormal="50" workbookViewId="0">
      <pane xSplit="1" ySplit="4" topLeftCell="H13" activePane="bottomRight" state="frozen"/>
      <selection pane="bottomRight" activeCell="N3" sqref="N3"/>
      <selection pane="bottomLeft" activeCell="G13" sqref="G13"/>
      <selection pane="topRight" activeCell="G13" sqref="G13"/>
    </sheetView>
  </sheetViews>
  <sheetFormatPr defaultColWidth="9.28515625" defaultRowHeight="14.45" outlineLevelCol="1"/>
  <cols>
    <col min="1" max="1" width="40.7109375" style="3" customWidth="1"/>
    <col min="2" max="14" width="17.7109375" customWidth="1" outlineLevel="1"/>
    <col min="15" max="16" width="75.7109375" customWidth="1" outlineLevel="1"/>
    <col min="17" max="17" width="2.5703125" style="134" customWidth="1"/>
  </cols>
  <sheetData>
    <row r="1" spans="1:16" ht="15" thickBot="1"/>
    <row r="2" spans="1:16" ht="22.15">
      <c r="A2" s="574"/>
      <c r="B2" s="576"/>
      <c r="C2" s="577"/>
      <c r="D2" s="577"/>
      <c r="E2" s="577"/>
      <c r="F2" s="577"/>
      <c r="G2" s="575"/>
      <c r="H2" s="575"/>
      <c r="I2" s="575"/>
      <c r="J2" s="575"/>
      <c r="K2" s="575"/>
      <c r="L2" s="575"/>
      <c r="M2" s="575"/>
      <c r="N2" s="578"/>
      <c r="O2" s="579"/>
      <c r="P2" s="580"/>
    </row>
    <row r="3" spans="1:16" ht="87" customHeight="1">
      <c r="A3" s="10" t="s">
        <v>1409</v>
      </c>
      <c r="B3" s="11" t="s">
        <v>11</v>
      </c>
      <c r="C3" s="11" t="s">
        <v>12</v>
      </c>
      <c r="D3" s="11" t="s">
        <v>13</v>
      </c>
      <c r="E3" s="11" t="s">
        <v>14</v>
      </c>
      <c r="F3" s="11" t="s">
        <v>15</v>
      </c>
      <c r="G3" s="11" t="s">
        <v>16</v>
      </c>
      <c r="H3" s="11" t="s">
        <v>17</v>
      </c>
      <c r="I3" s="11" t="s">
        <v>18</v>
      </c>
      <c r="J3" s="11" t="s">
        <v>19</v>
      </c>
      <c r="K3" s="11" t="s">
        <v>20</v>
      </c>
      <c r="L3" s="11" t="s">
        <v>21</v>
      </c>
      <c r="M3" s="11" t="s">
        <v>22</v>
      </c>
      <c r="N3" s="12" t="s">
        <v>23</v>
      </c>
      <c r="O3" s="13" t="s">
        <v>24</v>
      </c>
      <c r="P3" s="276" t="s">
        <v>25</v>
      </c>
    </row>
    <row r="4" spans="1:16" ht="22.9" thickBot="1">
      <c r="A4" s="273"/>
      <c r="B4" s="272"/>
      <c r="C4" s="272"/>
      <c r="D4" s="272"/>
      <c r="E4" s="272"/>
      <c r="F4" s="272"/>
      <c r="G4" s="272"/>
      <c r="H4" s="855"/>
      <c r="I4" s="855"/>
      <c r="J4" s="855"/>
      <c r="K4" s="855"/>
      <c r="L4" s="855"/>
      <c r="M4" s="272"/>
      <c r="N4" s="581"/>
      <c r="O4" s="270"/>
      <c r="P4" s="270"/>
    </row>
    <row r="5" spans="1:16" ht="16.149999999999999">
      <c r="A5" s="856"/>
      <c r="B5" s="857"/>
      <c r="C5" s="857"/>
      <c r="D5" s="857"/>
      <c r="E5" s="857"/>
      <c r="F5" s="857"/>
      <c r="G5" s="857"/>
      <c r="H5" s="857"/>
      <c r="I5" s="857"/>
      <c r="J5" s="857"/>
      <c r="K5" s="857"/>
      <c r="L5" s="857"/>
      <c r="M5" s="857"/>
      <c r="N5" s="858"/>
      <c r="O5" s="859"/>
      <c r="P5" s="859"/>
    </row>
    <row r="6" spans="1:16" ht="32.450000000000003">
      <c r="A6" s="860" t="s">
        <v>1410</v>
      </c>
      <c r="B6" s="861"/>
      <c r="C6" s="861"/>
      <c r="D6" s="861"/>
      <c r="E6" s="861"/>
      <c r="F6" s="861"/>
      <c r="G6" s="861"/>
      <c r="H6" s="861"/>
      <c r="I6" s="861"/>
      <c r="J6" s="861"/>
      <c r="K6" s="861"/>
      <c r="L6" s="861"/>
      <c r="M6" s="861"/>
      <c r="N6" s="862"/>
      <c r="O6" s="861"/>
      <c r="P6" s="861"/>
    </row>
    <row r="7" spans="1:16" ht="16.149999999999999">
      <c r="A7" s="856"/>
      <c r="B7" s="857"/>
      <c r="C7" s="857"/>
      <c r="D7" s="857"/>
      <c r="E7" s="857"/>
      <c r="F7" s="857"/>
      <c r="G7" s="857"/>
      <c r="H7" s="857"/>
      <c r="I7" s="857"/>
      <c r="J7" s="857"/>
      <c r="K7" s="857"/>
      <c r="L7" s="857"/>
      <c r="M7" s="857"/>
      <c r="N7" s="858"/>
      <c r="O7" s="859"/>
      <c r="P7" s="859"/>
    </row>
    <row r="8" spans="1:16" ht="16.149999999999999">
      <c r="A8" s="592" t="s">
        <v>1411</v>
      </c>
      <c r="B8" s="594"/>
      <c r="C8" s="594"/>
      <c r="D8" s="594"/>
      <c r="E8" s="594"/>
      <c r="F8" s="594"/>
      <c r="G8" s="594"/>
      <c r="H8" s="594"/>
      <c r="I8" s="594"/>
      <c r="J8" s="594"/>
      <c r="K8" s="594"/>
      <c r="L8" s="594"/>
      <c r="M8" s="594"/>
      <c r="N8" s="429"/>
      <c r="O8" s="693"/>
      <c r="P8" s="693"/>
    </row>
    <row r="9" spans="1:16" ht="145.9">
      <c r="A9" s="778" t="s">
        <v>1411</v>
      </c>
      <c r="B9" s="313">
        <v>282</v>
      </c>
      <c r="C9" s="313">
        <v>0</v>
      </c>
      <c r="D9" s="313">
        <v>0</v>
      </c>
      <c r="E9" s="313">
        <v>0</v>
      </c>
      <c r="F9" s="313">
        <v>0</v>
      </c>
      <c r="G9" s="314">
        <v>282</v>
      </c>
      <c r="H9" s="313">
        <v>282</v>
      </c>
      <c r="I9" s="313">
        <v>0</v>
      </c>
      <c r="J9" s="313">
        <v>0</v>
      </c>
      <c r="K9" s="313">
        <v>0</v>
      </c>
      <c r="L9" s="313">
        <v>0</v>
      </c>
      <c r="M9" s="314">
        <v>282</v>
      </c>
      <c r="N9" s="315">
        <v>0</v>
      </c>
      <c r="O9" s="78" t="s">
        <v>1412</v>
      </c>
      <c r="P9" s="333" t="s">
        <v>1413</v>
      </c>
    </row>
    <row r="10" spans="1:16" ht="32.450000000000003">
      <c r="A10" s="607" t="s">
        <v>1414</v>
      </c>
      <c r="B10" s="168">
        <v>282</v>
      </c>
      <c r="C10" s="168">
        <v>0</v>
      </c>
      <c r="D10" s="168">
        <v>0</v>
      </c>
      <c r="E10" s="168">
        <v>0</v>
      </c>
      <c r="F10" s="168">
        <v>0</v>
      </c>
      <c r="G10" s="168">
        <v>282</v>
      </c>
      <c r="H10" s="168">
        <v>282</v>
      </c>
      <c r="I10" s="168">
        <v>0</v>
      </c>
      <c r="J10" s="168">
        <v>0</v>
      </c>
      <c r="K10" s="168">
        <v>0</v>
      </c>
      <c r="L10" s="168">
        <v>0</v>
      </c>
      <c r="M10" s="168">
        <v>282</v>
      </c>
      <c r="N10" s="425">
        <v>0</v>
      </c>
      <c r="O10" s="863"/>
      <c r="P10" s="864"/>
    </row>
    <row r="11" spans="1:16" ht="16.149999999999999">
      <c r="A11" s="856"/>
      <c r="B11" s="865"/>
      <c r="C11" s="865"/>
      <c r="D11" s="865"/>
      <c r="E11" s="865"/>
      <c r="F11" s="865"/>
      <c r="G11" s="865"/>
      <c r="H11" s="865"/>
      <c r="I11" s="865"/>
      <c r="J11" s="865"/>
      <c r="K11" s="865"/>
      <c r="L11" s="865"/>
      <c r="M11" s="865"/>
      <c r="N11" s="866"/>
      <c r="O11" s="669"/>
      <c r="P11" s="669"/>
    </row>
    <row r="12" spans="1:16" ht="16.149999999999999">
      <c r="A12" s="592" t="s">
        <v>1415</v>
      </c>
      <c r="B12" s="208"/>
      <c r="C12" s="208"/>
      <c r="D12" s="208"/>
      <c r="E12" s="208"/>
      <c r="F12" s="208"/>
      <c r="G12" s="208"/>
      <c r="H12" s="208"/>
      <c r="I12" s="208"/>
      <c r="J12" s="208"/>
      <c r="K12" s="208"/>
      <c r="L12" s="208"/>
      <c r="M12" s="208"/>
      <c r="N12" s="429"/>
      <c r="O12" s="867"/>
      <c r="P12" s="867"/>
    </row>
    <row r="13" spans="1:16" ht="129.6">
      <c r="A13" s="778" t="s">
        <v>1415</v>
      </c>
      <c r="B13" s="313">
        <v>142</v>
      </c>
      <c r="C13" s="313">
        <v>0</v>
      </c>
      <c r="D13" s="313">
        <v>0</v>
      </c>
      <c r="E13" s="313">
        <v>0</v>
      </c>
      <c r="F13" s="313">
        <v>0</v>
      </c>
      <c r="G13" s="314">
        <v>142</v>
      </c>
      <c r="H13" s="313">
        <v>142</v>
      </c>
      <c r="I13" s="313">
        <v>0</v>
      </c>
      <c r="J13" s="313">
        <v>0</v>
      </c>
      <c r="K13" s="313">
        <v>0</v>
      </c>
      <c r="L13" s="313">
        <v>0</v>
      </c>
      <c r="M13" s="314">
        <v>142</v>
      </c>
      <c r="N13" s="315">
        <v>0</v>
      </c>
      <c r="O13" s="78" t="s">
        <v>1416</v>
      </c>
      <c r="P13" s="333" t="s">
        <v>1413</v>
      </c>
    </row>
    <row r="14" spans="1:16" ht="32.450000000000003">
      <c r="A14" s="607" t="s">
        <v>1417</v>
      </c>
      <c r="B14" s="168">
        <v>142</v>
      </c>
      <c r="C14" s="168">
        <v>0</v>
      </c>
      <c r="D14" s="168">
        <v>0</v>
      </c>
      <c r="E14" s="168">
        <v>0</v>
      </c>
      <c r="F14" s="168">
        <v>0</v>
      </c>
      <c r="G14" s="168">
        <v>142</v>
      </c>
      <c r="H14" s="168">
        <v>142</v>
      </c>
      <c r="I14" s="168">
        <v>0</v>
      </c>
      <c r="J14" s="168">
        <v>0</v>
      </c>
      <c r="K14" s="168">
        <v>0</v>
      </c>
      <c r="L14" s="168">
        <v>0</v>
      </c>
      <c r="M14" s="168">
        <v>142</v>
      </c>
      <c r="N14" s="425">
        <v>0</v>
      </c>
      <c r="O14" s="863"/>
      <c r="P14" s="864"/>
    </row>
    <row r="15" spans="1:16" ht="16.149999999999999">
      <c r="A15" s="856"/>
      <c r="B15" s="865"/>
      <c r="C15" s="865"/>
      <c r="D15" s="865"/>
      <c r="E15" s="865"/>
      <c r="F15" s="865"/>
      <c r="G15" s="865"/>
      <c r="H15" s="865"/>
      <c r="I15" s="865"/>
      <c r="J15" s="865"/>
      <c r="K15" s="865"/>
      <c r="L15" s="865"/>
      <c r="M15" s="865"/>
      <c r="N15" s="866"/>
      <c r="O15" s="669"/>
      <c r="P15" s="669"/>
    </row>
    <row r="16" spans="1:16" ht="16.149999999999999">
      <c r="A16" s="592" t="s">
        <v>1418</v>
      </c>
      <c r="B16" s="208"/>
      <c r="C16" s="208"/>
      <c r="D16" s="208"/>
      <c r="E16" s="208"/>
      <c r="F16" s="208"/>
      <c r="G16" s="208"/>
      <c r="H16" s="208"/>
      <c r="I16" s="208"/>
      <c r="J16" s="208"/>
      <c r="K16" s="208"/>
      <c r="L16" s="208"/>
      <c r="M16" s="208"/>
      <c r="N16" s="429"/>
      <c r="O16" s="867"/>
      <c r="P16" s="867"/>
    </row>
    <row r="17" spans="1:17" ht="113.45">
      <c r="A17" s="778" t="s">
        <v>1418</v>
      </c>
      <c r="B17" s="313">
        <v>61</v>
      </c>
      <c r="C17" s="313">
        <v>0</v>
      </c>
      <c r="D17" s="313">
        <v>0</v>
      </c>
      <c r="E17" s="313">
        <v>0</v>
      </c>
      <c r="F17" s="313">
        <v>0</v>
      </c>
      <c r="G17" s="314">
        <v>61</v>
      </c>
      <c r="H17" s="313">
        <v>50.7</v>
      </c>
      <c r="I17" s="313">
        <v>0</v>
      </c>
      <c r="J17" s="313">
        <v>0</v>
      </c>
      <c r="K17" s="313">
        <v>0</v>
      </c>
      <c r="L17" s="313">
        <v>0</v>
      </c>
      <c r="M17" s="314">
        <v>50.7</v>
      </c>
      <c r="N17" s="315">
        <v>-0.1688524590163934</v>
      </c>
      <c r="O17" s="78" t="s">
        <v>1419</v>
      </c>
      <c r="P17" s="333" t="s">
        <v>1420</v>
      </c>
    </row>
    <row r="18" spans="1:17" ht="16.149999999999999">
      <c r="A18" s="607" t="s">
        <v>1421</v>
      </c>
      <c r="B18" s="168">
        <v>61</v>
      </c>
      <c r="C18" s="168">
        <v>0</v>
      </c>
      <c r="D18" s="168">
        <v>0</v>
      </c>
      <c r="E18" s="168">
        <v>0</v>
      </c>
      <c r="F18" s="168">
        <v>0</v>
      </c>
      <c r="G18" s="168">
        <v>61</v>
      </c>
      <c r="H18" s="168">
        <v>50.7</v>
      </c>
      <c r="I18" s="168">
        <v>0</v>
      </c>
      <c r="J18" s="168">
        <v>0</v>
      </c>
      <c r="K18" s="168">
        <v>0</v>
      </c>
      <c r="L18" s="168">
        <v>0</v>
      </c>
      <c r="M18" s="168">
        <v>50.7</v>
      </c>
      <c r="N18" s="425">
        <v>-0.1688524590163934</v>
      </c>
      <c r="O18" s="863"/>
      <c r="P18" s="864"/>
    </row>
    <row r="19" spans="1:17" ht="16.149999999999999">
      <c r="A19" s="856"/>
      <c r="B19" s="865"/>
      <c r="C19" s="865"/>
      <c r="D19" s="865"/>
      <c r="E19" s="865"/>
      <c r="F19" s="865"/>
      <c r="G19" s="865"/>
      <c r="H19" s="865"/>
      <c r="I19" s="865"/>
      <c r="J19" s="865"/>
      <c r="K19" s="865"/>
      <c r="L19" s="865"/>
      <c r="M19" s="865"/>
      <c r="N19" s="866"/>
      <c r="O19" s="669"/>
      <c r="P19" s="669"/>
    </row>
    <row r="20" spans="1:17" ht="16.149999999999999">
      <c r="A20" s="592" t="s">
        <v>1422</v>
      </c>
      <c r="B20" s="208"/>
      <c r="C20" s="208"/>
      <c r="D20" s="208"/>
      <c r="E20" s="208"/>
      <c r="F20" s="208"/>
      <c r="G20" s="208"/>
      <c r="H20" s="208"/>
      <c r="I20" s="208"/>
      <c r="J20" s="208"/>
      <c r="K20" s="208"/>
      <c r="L20" s="208"/>
      <c r="M20" s="208"/>
      <c r="N20" s="429"/>
      <c r="O20" s="867"/>
      <c r="P20" s="867"/>
    </row>
    <row r="21" spans="1:17" ht="64.900000000000006">
      <c r="A21" s="778" t="s">
        <v>1422</v>
      </c>
      <c r="B21" s="313">
        <v>0</v>
      </c>
      <c r="C21" s="313">
        <v>0</v>
      </c>
      <c r="D21" s="313">
        <v>0</v>
      </c>
      <c r="E21" s="313">
        <v>0</v>
      </c>
      <c r="F21" s="313">
        <v>0</v>
      </c>
      <c r="G21" s="314">
        <v>0</v>
      </c>
      <c r="H21" s="313">
        <v>0</v>
      </c>
      <c r="I21" s="313">
        <v>0</v>
      </c>
      <c r="J21" s="313">
        <v>0</v>
      </c>
      <c r="K21" s="313">
        <v>0</v>
      </c>
      <c r="L21" s="313">
        <v>0</v>
      </c>
      <c r="M21" s="314">
        <v>0</v>
      </c>
      <c r="N21" s="315" t="s">
        <v>204</v>
      </c>
      <c r="O21" s="78" t="s">
        <v>1423</v>
      </c>
      <c r="P21" s="333" t="s">
        <v>1424</v>
      </c>
    </row>
    <row r="22" spans="1:17" ht="16.149999999999999">
      <c r="A22" s="607" t="s">
        <v>1425</v>
      </c>
      <c r="B22" s="168">
        <v>0</v>
      </c>
      <c r="C22" s="168">
        <v>0</v>
      </c>
      <c r="D22" s="168">
        <v>0</v>
      </c>
      <c r="E22" s="168">
        <v>0</v>
      </c>
      <c r="F22" s="168">
        <v>0</v>
      </c>
      <c r="G22" s="168">
        <v>0</v>
      </c>
      <c r="H22" s="168">
        <v>0</v>
      </c>
      <c r="I22" s="168">
        <v>0</v>
      </c>
      <c r="J22" s="168">
        <v>0</v>
      </c>
      <c r="K22" s="168">
        <v>0</v>
      </c>
      <c r="L22" s="168">
        <v>0</v>
      </c>
      <c r="M22" s="168">
        <v>0</v>
      </c>
      <c r="N22" s="425" t="s">
        <v>204</v>
      </c>
      <c r="O22" s="863"/>
      <c r="P22" s="864"/>
    </row>
    <row r="23" spans="1:17" ht="16.149999999999999">
      <c r="A23" s="856"/>
      <c r="B23" s="535"/>
      <c r="C23" s="535"/>
      <c r="D23" s="535"/>
      <c r="E23" s="535"/>
      <c r="F23" s="535"/>
      <c r="G23" s="535"/>
      <c r="H23" s="535"/>
      <c r="I23" s="535"/>
      <c r="J23" s="535"/>
      <c r="K23" s="535"/>
      <c r="L23" s="535"/>
      <c r="M23" s="535"/>
      <c r="N23" s="868"/>
      <c r="O23" s="793"/>
      <c r="P23" s="869"/>
    </row>
    <row r="24" spans="1:17" ht="32.1" customHeight="1">
      <c r="A24" s="615" t="s">
        <v>1426</v>
      </c>
      <c r="B24" s="870"/>
      <c r="C24" s="870"/>
      <c r="D24" s="870"/>
      <c r="E24" s="870"/>
      <c r="F24" s="870"/>
      <c r="G24" s="870"/>
      <c r="H24" s="870"/>
      <c r="I24" s="870"/>
      <c r="J24" s="870"/>
      <c r="K24" s="870"/>
      <c r="L24" s="870"/>
      <c r="M24" s="870"/>
      <c r="N24" s="870"/>
      <c r="O24" s="870"/>
      <c r="P24" s="870"/>
    </row>
    <row r="25" spans="1:17" ht="81">
      <c r="A25" s="778" t="s">
        <v>1427</v>
      </c>
      <c r="B25" s="313">
        <v>0</v>
      </c>
      <c r="C25" s="313">
        <v>0</v>
      </c>
      <c r="D25" s="313">
        <v>5</v>
      </c>
      <c r="E25" s="313">
        <v>0</v>
      </c>
      <c r="F25" s="313">
        <v>0</v>
      </c>
      <c r="G25" s="314">
        <v>5</v>
      </c>
      <c r="H25" s="313">
        <v>3</v>
      </c>
      <c r="I25" s="313">
        <v>0</v>
      </c>
      <c r="J25" s="313">
        <v>0</v>
      </c>
      <c r="K25" s="313">
        <v>0</v>
      </c>
      <c r="L25" s="313">
        <v>0</v>
      </c>
      <c r="M25" s="314">
        <v>3</v>
      </c>
      <c r="N25" s="315">
        <v>-0.4</v>
      </c>
      <c r="O25" s="78" t="s">
        <v>1428</v>
      </c>
      <c r="P25" s="333" t="s">
        <v>1429</v>
      </c>
    </row>
    <row r="26" spans="1:17" ht="32.450000000000003">
      <c r="A26" s="871" t="s">
        <v>1430</v>
      </c>
      <c r="B26" s="202">
        <v>0</v>
      </c>
      <c r="C26" s="202">
        <v>0</v>
      </c>
      <c r="D26" s="202">
        <v>5</v>
      </c>
      <c r="E26" s="202">
        <v>0</v>
      </c>
      <c r="F26" s="202">
        <v>0</v>
      </c>
      <c r="G26" s="202">
        <v>5</v>
      </c>
      <c r="H26" s="202">
        <v>3</v>
      </c>
      <c r="I26" s="202">
        <v>0</v>
      </c>
      <c r="J26" s="202">
        <v>0</v>
      </c>
      <c r="K26" s="202">
        <v>0</v>
      </c>
      <c r="L26" s="202">
        <v>0</v>
      </c>
      <c r="M26" s="202">
        <v>3</v>
      </c>
      <c r="N26" s="425">
        <v>-0.4</v>
      </c>
      <c r="O26" s="872"/>
      <c r="P26" s="873"/>
    </row>
    <row r="27" spans="1:17" ht="16.149999999999999">
      <c r="A27" s="874"/>
      <c r="B27" s="875"/>
      <c r="C27" s="875"/>
      <c r="D27" s="875"/>
      <c r="E27" s="875"/>
      <c r="F27" s="875"/>
      <c r="G27" s="875"/>
      <c r="H27" s="875"/>
      <c r="I27" s="875"/>
      <c r="J27" s="875"/>
      <c r="K27" s="875"/>
      <c r="L27" s="875"/>
      <c r="M27" s="875"/>
      <c r="N27" s="876"/>
      <c r="O27" s="877"/>
      <c r="P27" s="877"/>
      <c r="Q27" s="214"/>
    </row>
    <row r="28" spans="1:17" ht="32.1" customHeight="1">
      <c r="A28" s="615" t="s">
        <v>1431</v>
      </c>
      <c r="B28" s="870"/>
      <c r="C28" s="870"/>
      <c r="D28" s="870"/>
      <c r="E28" s="870"/>
      <c r="F28" s="870"/>
      <c r="G28" s="870"/>
      <c r="H28" s="870"/>
      <c r="I28" s="870"/>
      <c r="J28" s="870"/>
      <c r="K28" s="870"/>
      <c r="L28" s="870"/>
      <c r="M28" s="870"/>
      <c r="N28" s="870"/>
      <c r="O28" s="870"/>
      <c r="P28" s="870"/>
    </row>
    <row r="29" spans="1:17" ht="64.900000000000006">
      <c r="A29" s="778" t="s">
        <v>1431</v>
      </c>
      <c r="B29" s="313">
        <v>1</v>
      </c>
      <c r="C29" s="313">
        <v>0</v>
      </c>
      <c r="D29" s="313">
        <v>0</v>
      </c>
      <c r="E29" s="313">
        <v>0</v>
      </c>
      <c r="F29" s="313">
        <v>0</v>
      </c>
      <c r="G29" s="314">
        <v>1</v>
      </c>
      <c r="H29" s="313">
        <v>1</v>
      </c>
      <c r="I29" s="313">
        <v>0</v>
      </c>
      <c r="J29" s="313">
        <v>0</v>
      </c>
      <c r="K29" s="313">
        <v>0</v>
      </c>
      <c r="L29" s="313">
        <v>0</v>
      </c>
      <c r="M29" s="314">
        <v>1</v>
      </c>
      <c r="N29" s="315">
        <v>0</v>
      </c>
      <c r="O29" s="78" t="s">
        <v>1432</v>
      </c>
      <c r="P29" s="333" t="s">
        <v>1413</v>
      </c>
    </row>
    <row r="30" spans="1:17" ht="16.149999999999999">
      <c r="A30" s="871" t="s">
        <v>1433</v>
      </c>
      <c r="B30" s="202">
        <v>1</v>
      </c>
      <c r="C30" s="202">
        <v>0</v>
      </c>
      <c r="D30" s="202">
        <v>0</v>
      </c>
      <c r="E30" s="202">
        <v>0</v>
      </c>
      <c r="F30" s="202">
        <v>0</v>
      </c>
      <c r="G30" s="202">
        <v>1</v>
      </c>
      <c r="H30" s="202">
        <v>1</v>
      </c>
      <c r="I30" s="202">
        <v>0</v>
      </c>
      <c r="J30" s="202">
        <v>0</v>
      </c>
      <c r="K30" s="202">
        <v>0</v>
      </c>
      <c r="L30" s="202">
        <v>0</v>
      </c>
      <c r="M30" s="202">
        <v>1</v>
      </c>
      <c r="N30" s="425">
        <v>0</v>
      </c>
      <c r="O30" s="872"/>
      <c r="P30" s="873"/>
    </row>
    <row r="31" spans="1:17" ht="16.149999999999999">
      <c r="A31" s="856"/>
      <c r="B31" s="865"/>
      <c r="C31" s="865"/>
      <c r="D31" s="865"/>
      <c r="E31" s="865"/>
      <c r="F31" s="865"/>
      <c r="G31" s="865"/>
      <c r="H31" s="865"/>
      <c r="I31" s="865"/>
      <c r="J31" s="865"/>
      <c r="K31" s="865"/>
      <c r="L31" s="865"/>
      <c r="M31" s="865"/>
      <c r="N31" s="866"/>
      <c r="O31" s="669"/>
      <c r="P31" s="669"/>
    </row>
    <row r="32" spans="1:17" ht="16.149999999999999">
      <c r="A32" s="592" t="s">
        <v>1434</v>
      </c>
      <c r="B32" s="208"/>
      <c r="C32" s="208"/>
      <c r="D32" s="208"/>
      <c r="E32" s="208"/>
      <c r="F32" s="208"/>
      <c r="G32" s="208"/>
      <c r="H32" s="208"/>
      <c r="I32" s="208"/>
      <c r="J32" s="208"/>
      <c r="K32" s="208"/>
      <c r="L32" s="208"/>
      <c r="M32" s="208"/>
      <c r="N32" s="429"/>
      <c r="O32" s="867"/>
      <c r="P32" s="867"/>
    </row>
    <row r="33" spans="1:16" ht="66" customHeight="1">
      <c r="A33" s="778" t="s">
        <v>1435</v>
      </c>
      <c r="B33" s="313">
        <v>9.6999999999999993</v>
      </c>
      <c r="C33" s="313">
        <v>0</v>
      </c>
      <c r="D33" s="313">
        <v>0</v>
      </c>
      <c r="E33" s="313">
        <v>0</v>
      </c>
      <c r="F33" s="313">
        <v>0</v>
      </c>
      <c r="G33" s="314">
        <v>9.6999999999999993</v>
      </c>
      <c r="H33" s="313">
        <v>9.1</v>
      </c>
      <c r="I33" s="313">
        <v>0</v>
      </c>
      <c r="J33" s="313">
        <v>0</v>
      </c>
      <c r="K33" s="313">
        <v>0</v>
      </c>
      <c r="L33" s="313">
        <v>0</v>
      </c>
      <c r="M33" s="314">
        <v>9.1</v>
      </c>
      <c r="N33" s="315">
        <v>-6.1855670103092751E-2</v>
      </c>
      <c r="O33" s="78" t="s">
        <v>1436</v>
      </c>
      <c r="P33" s="333" t="s">
        <v>95</v>
      </c>
    </row>
    <row r="34" spans="1:16" ht="48.6">
      <c r="A34" s="781" t="s">
        <v>1437</v>
      </c>
      <c r="B34" s="506">
        <v>0</v>
      </c>
      <c r="C34" s="506">
        <v>0</v>
      </c>
      <c r="D34" s="506">
        <v>3.4</v>
      </c>
      <c r="E34" s="506">
        <v>0</v>
      </c>
      <c r="F34" s="506">
        <v>0</v>
      </c>
      <c r="G34" s="507">
        <v>3.4</v>
      </c>
      <c r="H34" s="313">
        <v>0</v>
      </c>
      <c r="I34" s="313">
        <v>0</v>
      </c>
      <c r="J34" s="313">
        <v>1.2</v>
      </c>
      <c r="K34" s="313">
        <v>0</v>
      </c>
      <c r="L34" s="313">
        <v>0</v>
      </c>
      <c r="M34" s="507">
        <v>1.2</v>
      </c>
      <c r="N34" s="315">
        <v>-0.6470588235294118</v>
      </c>
      <c r="O34" s="234" t="s">
        <v>1438</v>
      </c>
      <c r="P34" s="233" t="s">
        <v>1439</v>
      </c>
    </row>
    <row r="35" spans="1:16" ht="32.450000000000003">
      <c r="A35" s="781" t="s">
        <v>1440</v>
      </c>
      <c r="B35" s="506">
        <v>0</v>
      </c>
      <c r="C35" s="506">
        <v>0</v>
      </c>
      <c r="D35" s="506">
        <v>0</v>
      </c>
      <c r="E35" s="506">
        <v>0</v>
      </c>
      <c r="F35" s="506">
        <v>0</v>
      </c>
      <c r="G35" s="507">
        <v>0</v>
      </c>
      <c r="H35" s="313">
        <v>0</v>
      </c>
      <c r="I35" s="313">
        <v>0</v>
      </c>
      <c r="J35" s="313">
        <v>0</v>
      </c>
      <c r="K35" s="313">
        <v>0</v>
      </c>
      <c r="L35" s="313">
        <v>0</v>
      </c>
      <c r="M35" s="507">
        <v>0</v>
      </c>
      <c r="N35" s="315" t="s">
        <v>204</v>
      </c>
      <c r="O35" s="234" t="s">
        <v>238</v>
      </c>
      <c r="P35" s="233" t="s">
        <v>238</v>
      </c>
    </row>
    <row r="36" spans="1:16" ht="32.450000000000003">
      <c r="A36" s="781" t="s">
        <v>1441</v>
      </c>
      <c r="B36" s="506">
        <v>0</v>
      </c>
      <c r="C36" s="506">
        <v>0</v>
      </c>
      <c r="D36" s="506">
        <v>0</v>
      </c>
      <c r="E36" s="506">
        <v>0</v>
      </c>
      <c r="F36" s="506">
        <v>0</v>
      </c>
      <c r="G36" s="507">
        <v>0</v>
      </c>
      <c r="H36" s="313">
        <v>0</v>
      </c>
      <c r="I36" s="313">
        <v>0</v>
      </c>
      <c r="J36" s="313">
        <v>0</v>
      </c>
      <c r="K36" s="313">
        <v>0</v>
      </c>
      <c r="L36" s="313">
        <v>0</v>
      </c>
      <c r="M36" s="507">
        <v>0</v>
      </c>
      <c r="N36" s="878" t="s">
        <v>204</v>
      </c>
      <c r="O36" s="234" t="s">
        <v>238</v>
      </c>
      <c r="P36" s="233" t="s">
        <v>238</v>
      </c>
    </row>
    <row r="37" spans="1:16" ht="16.149999999999999">
      <c r="A37" s="607" t="s">
        <v>1442</v>
      </c>
      <c r="B37" s="168">
        <v>9.6999999999999993</v>
      </c>
      <c r="C37" s="168">
        <v>0</v>
      </c>
      <c r="D37" s="168">
        <v>3.4</v>
      </c>
      <c r="E37" s="168">
        <v>0</v>
      </c>
      <c r="F37" s="168">
        <v>0</v>
      </c>
      <c r="G37" s="168">
        <v>13.1</v>
      </c>
      <c r="H37" s="168">
        <v>9.1</v>
      </c>
      <c r="I37" s="168">
        <v>0</v>
      </c>
      <c r="J37" s="168">
        <v>1.2</v>
      </c>
      <c r="K37" s="168">
        <v>0</v>
      </c>
      <c r="L37" s="168">
        <v>0</v>
      </c>
      <c r="M37" s="168">
        <v>10.299999999999999</v>
      </c>
      <c r="N37" s="425">
        <v>-0.21374045801526723</v>
      </c>
      <c r="O37" s="863"/>
      <c r="P37" s="864"/>
    </row>
    <row r="38" spans="1:16" ht="16.149999999999999">
      <c r="A38" s="856"/>
      <c r="B38" s="535"/>
      <c r="C38" s="535"/>
      <c r="D38" s="535"/>
      <c r="E38" s="535"/>
      <c r="F38" s="535"/>
      <c r="G38" s="535"/>
      <c r="H38" s="535"/>
      <c r="I38" s="535"/>
      <c r="J38" s="535"/>
      <c r="K38" s="535"/>
      <c r="L38" s="535"/>
      <c r="M38" s="535"/>
      <c r="N38" s="868"/>
      <c r="O38" s="669"/>
      <c r="P38" s="669"/>
    </row>
    <row r="39" spans="1:16" ht="32.450000000000003">
      <c r="A39" s="805" t="s">
        <v>1443</v>
      </c>
      <c r="B39" s="806"/>
      <c r="C39" s="806"/>
      <c r="D39" s="806"/>
      <c r="E39" s="806"/>
      <c r="F39" s="806"/>
      <c r="G39" s="806"/>
      <c r="H39" s="806"/>
      <c r="I39" s="806"/>
      <c r="J39" s="806"/>
      <c r="K39" s="806"/>
      <c r="L39" s="806"/>
      <c r="M39" s="806"/>
      <c r="N39" s="806"/>
      <c r="O39" s="806"/>
      <c r="P39" s="806"/>
    </row>
    <row r="40" spans="1:16" ht="81">
      <c r="A40" s="778" t="s">
        <v>1443</v>
      </c>
      <c r="B40" s="313">
        <v>65.5</v>
      </c>
      <c r="C40" s="313">
        <v>0</v>
      </c>
      <c r="D40" s="313">
        <v>0</v>
      </c>
      <c r="E40" s="313">
        <v>0</v>
      </c>
      <c r="F40" s="313">
        <v>0</v>
      </c>
      <c r="G40" s="314">
        <v>65.5</v>
      </c>
      <c r="H40" s="313">
        <v>65.5</v>
      </c>
      <c r="I40" s="313">
        <v>0</v>
      </c>
      <c r="J40" s="313">
        <v>0</v>
      </c>
      <c r="K40" s="313">
        <v>0</v>
      </c>
      <c r="L40" s="313">
        <v>0</v>
      </c>
      <c r="M40" s="314">
        <v>65.5</v>
      </c>
      <c r="N40" s="315">
        <v>0</v>
      </c>
      <c r="O40" s="78" t="s">
        <v>1444</v>
      </c>
      <c r="P40" s="333" t="s">
        <v>1413</v>
      </c>
    </row>
    <row r="41" spans="1:16" ht="32.450000000000003">
      <c r="A41" s="607" t="s">
        <v>1445</v>
      </c>
      <c r="B41" s="168">
        <v>65.5</v>
      </c>
      <c r="C41" s="168">
        <v>0</v>
      </c>
      <c r="D41" s="168">
        <v>0</v>
      </c>
      <c r="E41" s="168">
        <v>0</v>
      </c>
      <c r="F41" s="168">
        <v>0</v>
      </c>
      <c r="G41" s="168">
        <v>65.5</v>
      </c>
      <c r="H41" s="168">
        <v>65.5</v>
      </c>
      <c r="I41" s="168">
        <v>0</v>
      </c>
      <c r="J41" s="168">
        <v>0</v>
      </c>
      <c r="K41" s="168">
        <v>0</v>
      </c>
      <c r="L41" s="168">
        <v>0</v>
      </c>
      <c r="M41" s="168">
        <v>65.5</v>
      </c>
      <c r="N41" s="425">
        <v>0</v>
      </c>
      <c r="O41" s="863"/>
      <c r="P41" s="864"/>
    </row>
    <row r="42" spans="1:16" ht="16.149999999999999">
      <c r="A42" s="856"/>
      <c r="B42" s="535"/>
      <c r="C42" s="535"/>
      <c r="D42" s="535"/>
      <c r="E42" s="535"/>
      <c r="F42" s="535"/>
      <c r="G42" s="535"/>
      <c r="H42" s="535"/>
      <c r="I42" s="535"/>
      <c r="J42" s="535"/>
      <c r="K42" s="535"/>
      <c r="L42" s="535"/>
      <c r="M42" s="535"/>
      <c r="N42" s="868"/>
      <c r="O42" s="669"/>
      <c r="P42" s="669"/>
    </row>
    <row r="43" spans="1:16" ht="16.149999999999999">
      <c r="A43" s="592" t="s">
        <v>1446</v>
      </c>
      <c r="B43" s="208"/>
      <c r="C43" s="208"/>
      <c r="D43" s="208"/>
      <c r="E43" s="208"/>
      <c r="F43" s="208"/>
      <c r="G43" s="208"/>
      <c r="H43" s="208"/>
      <c r="I43" s="208"/>
      <c r="J43" s="208"/>
      <c r="K43" s="208"/>
      <c r="L43" s="208"/>
      <c r="M43" s="208"/>
      <c r="N43" s="429"/>
      <c r="O43" s="867"/>
      <c r="P43" s="867"/>
    </row>
    <row r="44" spans="1:16" ht="48.6">
      <c r="A44" s="778" t="s">
        <v>1447</v>
      </c>
      <c r="B44" s="313">
        <v>26.5</v>
      </c>
      <c r="C44" s="313">
        <v>0</v>
      </c>
      <c r="D44" s="313">
        <v>0</v>
      </c>
      <c r="E44" s="313">
        <v>0</v>
      </c>
      <c r="F44" s="313">
        <v>0</v>
      </c>
      <c r="G44" s="314">
        <v>26.5</v>
      </c>
      <c r="H44" s="313">
        <v>27.8</v>
      </c>
      <c r="I44" s="313">
        <v>0</v>
      </c>
      <c r="J44" s="313">
        <v>0</v>
      </c>
      <c r="K44" s="313">
        <v>0</v>
      </c>
      <c r="L44" s="313">
        <v>0</v>
      </c>
      <c r="M44" s="314">
        <v>27.8</v>
      </c>
      <c r="N44" s="315">
        <v>4.9056603773584929E-2</v>
      </c>
      <c r="O44" s="78" t="s">
        <v>1448</v>
      </c>
      <c r="P44" s="879" t="s">
        <v>95</v>
      </c>
    </row>
    <row r="45" spans="1:16" ht="64.900000000000006">
      <c r="A45" s="781" t="s">
        <v>1449</v>
      </c>
      <c r="B45" s="506">
        <v>0</v>
      </c>
      <c r="C45" s="506">
        <v>0</v>
      </c>
      <c r="D45" s="506">
        <v>9.3000000000000007</v>
      </c>
      <c r="E45" s="506">
        <v>0</v>
      </c>
      <c r="F45" s="506">
        <v>0</v>
      </c>
      <c r="G45" s="507">
        <v>9.3000000000000007</v>
      </c>
      <c r="H45" s="313">
        <v>0</v>
      </c>
      <c r="I45" s="313">
        <v>0</v>
      </c>
      <c r="J45" s="313">
        <v>1.764</v>
      </c>
      <c r="K45" s="313">
        <v>0</v>
      </c>
      <c r="L45" s="313">
        <v>0</v>
      </c>
      <c r="M45" s="507">
        <v>1.764</v>
      </c>
      <c r="N45" s="315">
        <v>-0.81032258064516127</v>
      </c>
      <c r="O45" s="234" t="s">
        <v>1450</v>
      </c>
      <c r="P45" s="880" t="s">
        <v>1439</v>
      </c>
    </row>
    <row r="46" spans="1:16" ht="32.450000000000003">
      <c r="A46" s="607" t="s">
        <v>1451</v>
      </c>
      <c r="B46" s="168">
        <v>26.5</v>
      </c>
      <c r="C46" s="168">
        <v>0</v>
      </c>
      <c r="D46" s="168">
        <v>9.3000000000000007</v>
      </c>
      <c r="E46" s="168">
        <v>0</v>
      </c>
      <c r="F46" s="168">
        <v>0</v>
      </c>
      <c r="G46" s="168">
        <v>35.799999999999997</v>
      </c>
      <c r="H46" s="168">
        <v>27.8</v>
      </c>
      <c r="I46" s="168">
        <v>0</v>
      </c>
      <c r="J46" s="168">
        <v>1.764</v>
      </c>
      <c r="K46" s="168">
        <v>0</v>
      </c>
      <c r="L46" s="168">
        <v>0</v>
      </c>
      <c r="M46" s="168">
        <v>29.564</v>
      </c>
      <c r="N46" s="425">
        <v>-0.17418994413407815</v>
      </c>
      <c r="O46" s="696"/>
      <c r="P46" s="697"/>
    </row>
    <row r="47" spans="1:16" ht="16.149999999999999">
      <c r="A47" s="856"/>
      <c r="B47" s="535"/>
      <c r="C47" s="535"/>
      <c r="D47" s="535"/>
      <c r="E47" s="535"/>
      <c r="F47" s="535"/>
      <c r="G47" s="535"/>
      <c r="H47" s="535"/>
      <c r="I47" s="535"/>
      <c r="J47" s="535"/>
      <c r="K47" s="535"/>
      <c r="L47" s="535"/>
      <c r="M47" s="535"/>
      <c r="N47" s="868"/>
      <c r="O47" s="859"/>
      <c r="P47" s="859"/>
    </row>
    <row r="48" spans="1:16" ht="16.149999999999999">
      <c r="A48" s="592" t="s">
        <v>1452</v>
      </c>
      <c r="B48" s="208"/>
      <c r="C48" s="208"/>
      <c r="D48" s="208"/>
      <c r="E48" s="208"/>
      <c r="F48" s="208"/>
      <c r="G48" s="208"/>
      <c r="H48" s="208"/>
      <c r="I48" s="208"/>
      <c r="J48" s="208"/>
      <c r="K48" s="208"/>
      <c r="L48" s="208"/>
      <c r="M48" s="208"/>
      <c r="N48" s="429"/>
      <c r="O48" s="693"/>
      <c r="P48" s="693"/>
    </row>
    <row r="49" spans="1:16" ht="97.15">
      <c r="A49" s="778" t="s">
        <v>1453</v>
      </c>
      <c r="B49" s="313">
        <v>0.03</v>
      </c>
      <c r="C49" s="313">
        <v>0</v>
      </c>
      <c r="D49" s="313">
        <v>0</v>
      </c>
      <c r="E49" s="313">
        <v>0</v>
      </c>
      <c r="F49" s="313">
        <v>0</v>
      </c>
      <c r="G49" s="314">
        <v>0.03</v>
      </c>
      <c r="H49" s="313">
        <v>0.1</v>
      </c>
      <c r="I49" s="313">
        <v>0</v>
      </c>
      <c r="J49" s="313">
        <v>0</v>
      </c>
      <c r="K49" s="313">
        <v>0</v>
      </c>
      <c r="L49" s="313">
        <v>0</v>
      </c>
      <c r="M49" s="314">
        <v>0.1</v>
      </c>
      <c r="N49" s="315">
        <v>2.3333333333333335</v>
      </c>
      <c r="O49" s="78" t="s">
        <v>1454</v>
      </c>
      <c r="P49" s="333" t="s">
        <v>95</v>
      </c>
    </row>
    <row r="50" spans="1:16" ht="64.900000000000006">
      <c r="A50" s="781" t="s">
        <v>1455</v>
      </c>
      <c r="B50" s="506">
        <v>0.01</v>
      </c>
      <c r="C50" s="506">
        <v>0</v>
      </c>
      <c r="D50" s="506">
        <v>0</v>
      </c>
      <c r="E50" s="506">
        <v>0</v>
      </c>
      <c r="F50" s="506">
        <v>0</v>
      </c>
      <c r="G50" s="507">
        <v>0.01</v>
      </c>
      <c r="H50" s="313">
        <v>0</v>
      </c>
      <c r="I50" s="313">
        <v>0</v>
      </c>
      <c r="J50" s="313">
        <v>0</v>
      </c>
      <c r="K50" s="313">
        <v>0</v>
      </c>
      <c r="L50" s="313">
        <v>0</v>
      </c>
      <c r="M50" s="507">
        <v>0</v>
      </c>
      <c r="N50" s="315">
        <v>-1</v>
      </c>
      <c r="O50" s="234" t="s">
        <v>1456</v>
      </c>
      <c r="P50" s="233" t="s">
        <v>1457</v>
      </c>
    </row>
    <row r="51" spans="1:16" ht="64.900000000000006">
      <c r="A51" s="781" t="s">
        <v>1458</v>
      </c>
      <c r="B51" s="506">
        <v>0.06</v>
      </c>
      <c r="C51" s="506">
        <v>0</v>
      </c>
      <c r="D51" s="506">
        <v>0</v>
      </c>
      <c r="E51" s="506">
        <v>0</v>
      </c>
      <c r="F51" s="506">
        <v>0</v>
      </c>
      <c r="G51" s="507">
        <v>0.06</v>
      </c>
      <c r="H51" s="313">
        <v>0</v>
      </c>
      <c r="I51" s="313">
        <v>0</v>
      </c>
      <c r="J51" s="313">
        <v>0</v>
      </c>
      <c r="K51" s="313">
        <v>0</v>
      </c>
      <c r="L51" s="313">
        <v>0</v>
      </c>
      <c r="M51" s="507">
        <v>0</v>
      </c>
      <c r="N51" s="315">
        <v>-1</v>
      </c>
      <c r="O51" s="234" t="s">
        <v>1459</v>
      </c>
      <c r="P51" s="233" t="s">
        <v>1460</v>
      </c>
    </row>
    <row r="52" spans="1:16" ht="16.149999999999999">
      <c r="A52" s="607" t="s">
        <v>1461</v>
      </c>
      <c r="B52" s="168">
        <v>0.1</v>
      </c>
      <c r="C52" s="168">
        <v>0</v>
      </c>
      <c r="D52" s="168">
        <v>0</v>
      </c>
      <c r="E52" s="168">
        <v>0</v>
      </c>
      <c r="F52" s="168">
        <v>0</v>
      </c>
      <c r="G52" s="168">
        <v>0.1</v>
      </c>
      <c r="H52" s="168">
        <v>0.1</v>
      </c>
      <c r="I52" s="168">
        <v>0</v>
      </c>
      <c r="J52" s="168">
        <v>0</v>
      </c>
      <c r="K52" s="168">
        <v>0</v>
      </c>
      <c r="L52" s="168">
        <v>0</v>
      </c>
      <c r="M52" s="168">
        <v>0.1</v>
      </c>
      <c r="N52" s="425">
        <v>0</v>
      </c>
      <c r="O52" s="863"/>
      <c r="P52" s="864"/>
    </row>
    <row r="53" spans="1:16" ht="16.149999999999999">
      <c r="A53" s="856"/>
      <c r="B53" s="535"/>
      <c r="C53" s="535"/>
      <c r="D53" s="535"/>
      <c r="E53" s="535"/>
      <c r="F53" s="535"/>
      <c r="G53" s="535"/>
      <c r="H53" s="535"/>
      <c r="I53" s="535"/>
      <c r="J53" s="535"/>
      <c r="K53" s="535"/>
      <c r="L53" s="535"/>
      <c r="M53" s="535"/>
      <c r="N53" s="868"/>
      <c r="O53" s="669"/>
      <c r="P53" s="669"/>
    </row>
    <row r="54" spans="1:16" ht="32.450000000000003">
      <c r="A54" s="592" t="s">
        <v>1462</v>
      </c>
      <c r="B54" s="208"/>
      <c r="C54" s="208"/>
      <c r="D54" s="208"/>
      <c r="E54" s="208"/>
      <c r="F54" s="208"/>
      <c r="G54" s="208"/>
      <c r="H54" s="208"/>
      <c r="I54" s="208"/>
      <c r="J54" s="208"/>
      <c r="K54" s="208"/>
      <c r="L54" s="208"/>
      <c r="M54" s="208"/>
      <c r="N54" s="429"/>
      <c r="O54" s="867"/>
      <c r="P54" s="867"/>
    </row>
    <row r="55" spans="1:16" ht="40.15" customHeight="1">
      <c r="A55" s="778" t="s">
        <v>1463</v>
      </c>
      <c r="B55" s="313">
        <v>0.7</v>
      </c>
      <c r="C55" s="313">
        <v>0</v>
      </c>
      <c r="D55" s="313">
        <v>0</v>
      </c>
      <c r="E55" s="313">
        <v>0</v>
      </c>
      <c r="F55" s="313">
        <v>0</v>
      </c>
      <c r="G55" s="314">
        <v>0.7</v>
      </c>
      <c r="H55" s="313">
        <v>0</v>
      </c>
      <c r="I55" s="313">
        <v>0</v>
      </c>
      <c r="J55" s="313">
        <v>0</v>
      </c>
      <c r="K55" s="313">
        <v>0</v>
      </c>
      <c r="L55" s="313">
        <v>0</v>
      </c>
      <c r="M55" s="314">
        <v>0</v>
      </c>
      <c r="N55" s="315">
        <v>-1</v>
      </c>
      <c r="O55" s="78" t="s">
        <v>1464</v>
      </c>
      <c r="P55" s="333" t="s">
        <v>1465</v>
      </c>
    </row>
    <row r="56" spans="1:16" ht="32.450000000000003">
      <c r="A56" s="607" t="s">
        <v>1466</v>
      </c>
      <c r="B56" s="168">
        <v>0.7</v>
      </c>
      <c r="C56" s="168">
        <v>0</v>
      </c>
      <c r="D56" s="168">
        <v>0</v>
      </c>
      <c r="E56" s="168">
        <v>0</v>
      </c>
      <c r="F56" s="168">
        <v>0</v>
      </c>
      <c r="G56" s="168">
        <v>0.7</v>
      </c>
      <c r="H56" s="168">
        <v>0</v>
      </c>
      <c r="I56" s="168">
        <v>0</v>
      </c>
      <c r="J56" s="168">
        <v>0</v>
      </c>
      <c r="K56" s="168">
        <v>0</v>
      </c>
      <c r="L56" s="168">
        <v>0</v>
      </c>
      <c r="M56" s="168">
        <v>0</v>
      </c>
      <c r="N56" s="425">
        <v>-1</v>
      </c>
      <c r="O56" s="863"/>
      <c r="P56" s="864"/>
    </row>
    <row r="57" spans="1:16" ht="16.149999999999999">
      <c r="A57" s="856"/>
      <c r="B57" s="535"/>
      <c r="C57" s="535"/>
      <c r="D57" s="535"/>
      <c r="E57" s="535"/>
      <c r="F57" s="535"/>
      <c r="G57" s="535"/>
      <c r="H57" s="535"/>
      <c r="I57" s="535"/>
      <c r="J57" s="535"/>
      <c r="K57" s="535"/>
      <c r="L57" s="535"/>
      <c r="M57" s="535"/>
      <c r="N57" s="868"/>
      <c r="O57" s="669"/>
      <c r="P57" s="669"/>
    </row>
    <row r="58" spans="1:16" ht="16.149999999999999">
      <c r="A58" s="856"/>
      <c r="B58" s="535"/>
      <c r="C58" s="535"/>
      <c r="D58" s="535"/>
      <c r="E58" s="535"/>
      <c r="F58" s="535"/>
      <c r="G58" s="535"/>
      <c r="H58" s="535"/>
      <c r="I58" s="535"/>
      <c r="J58" s="535"/>
      <c r="K58" s="535"/>
      <c r="L58" s="535"/>
      <c r="M58" s="535"/>
      <c r="N58" s="868"/>
      <c r="O58" s="669"/>
      <c r="P58" s="669"/>
    </row>
    <row r="59" spans="1:16" ht="32.450000000000003">
      <c r="A59" s="592" t="s">
        <v>1467</v>
      </c>
      <c r="B59" s="208"/>
      <c r="C59" s="208"/>
      <c r="D59" s="208"/>
      <c r="E59" s="208"/>
      <c r="F59" s="208"/>
      <c r="G59" s="208"/>
      <c r="H59" s="208"/>
      <c r="I59" s="208"/>
      <c r="J59" s="208"/>
      <c r="K59" s="208"/>
      <c r="L59" s="208"/>
      <c r="M59" s="208"/>
      <c r="N59" s="429"/>
      <c r="O59" s="867"/>
      <c r="P59" s="867"/>
    </row>
    <row r="60" spans="1:16" ht="64.150000000000006" customHeight="1">
      <c r="A60" s="778" t="s">
        <v>1468</v>
      </c>
      <c r="B60" s="313">
        <v>20</v>
      </c>
      <c r="C60" s="313">
        <v>0</v>
      </c>
      <c r="D60" s="313">
        <v>0</v>
      </c>
      <c r="E60" s="313">
        <v>0</v>
      </c>
      <c r="F60" s="313">
        <v>0</v>
      </c>
      <c r="G60" s="314">
        <v>20</v>
      </c>
      <c r="H60" s="313">
        <v>12</v>
      </c>
      <c r="I60" s="313">
        <v>0</v>
      </c>
      <c r="J60" s="313">
        <v>0</v>
      </c>
      <c r="K60" s="313">
        <v>0</v>
      </c>
      <c r="L60" s="313">
        <v>0</v>
      </c>
      <c r="M60" s="314">
        <v>12</v>
      </c>
      <c r="N60" s="315">
        <v>-0.4</v>
      </c>
      <c r="O60" s="78" t="s">
        <v>1469</v>
      </c>
      <c r="P60" s="333" t="s">
        <v>1470</v>
      </c>
    </row>
    <row r="61" spans="1:16" ht="48.6">
      <c r="A61" s="778" t="s">
        <v>1471</v>
      </c>
      <c r="B61" s="313">
        <v>0</v>
      </c>
      <c r="C61" s="313">
        <v>0</v>
      </c>
      <c r="D61" s="313">
        <v>10.8</v>
      </c>
      <c r="E61" s="313">
        <v>0</v>
      </c>
      <c r="F61" s="313">
        <v>0</v>
      </c>
      <c r="G61" s="314">
        <v>10.8</v>
      </c>
      <c r="H61" s="313">
        <v>0</v>
      </c>
      <c r="I61" s="313">
        <v>0</v>
      </c>
      <c r="J61" s="313">
        <v>0</v>
      </c>
      <c r="K61" s="313">
        <v>0</v>
      </c>
      <c r="L61" s="313">
        <v>0</v>
      </c>
      <c r="M61" s="314">
        <v>0</v>
      </c>
      <c r="N61" s="315">
        <v>-1</v>
      </c>
      <c r="O61" s="78" t="s">
        <v>1472</v>
      </c>
      <c r="P61" s="333" t="s">
        <v>1473</v>
      </c>
    </row>
    <row r="62" spans="1:16" ht="32.450000000000003">
      <c r="A62" s="778" t="s">
        <v>1474</v>
      </c>
      <c r="B62" s="313">
        <v>8.1999999999999993</v>
      </c>
      <c r="C62" s="313">
        <v>0</v>
      </c>
      <c r="D62" s="313">
        <v>0</v>
      </c>
      <c r="E62" s="313">
        <v>0</v>
      </c>
      <c r="F62" s="313">
        <v>0</v>
      </c>
      <c r="G62" s="314">
        <v>8.1999999999999993</v>
      </c>
      <c r="H62" s="313">
        <v>5</v>
      </c>
      <c r="I62" s="313">
        <v>0</v>
      </c>
      <c r="J62" s="313">
        <v>0</v>
      </c>
      <c r="K62" s="313">
        <v>0</v>
      </c>
      <c r="L62" s="313">
        <v>0</v>
      </c>
      <c r="M62" s="314">
        <v>5</v>
      </c>
      <c r="N62" s="315">
        <v>-0.39024390243902435</v>
      </c>
      <c r="O62" s="78" t="s">
        <v>1475</v>
      </c>
      <c r="P62" s="333" t="s">
        <v>1476</v>
      </c>
    </row>
    <row r="63" spans="1:16" ht="32.450000000000003">
      <c r="A63" s="607" t="s">
        <v>1477</v>
      </c>
      <c r="B63" s="168">
        <v>28.2</v>
      </c>
      <c r="C63" s="168">
        <v>0</v>
      </c>
      <c r="D63" s="168">
        <v>10.8</v>
      </c>
      <c r="E63" s="168">
        <v>0</v>
      </c>
      <c r="F63" s="168">
        <v>0</v>
      </c>
      <c r="G63" s="168">
        <v>39</v>
      </c>
      <c r="H63" s="168">
        <v>17</v>
      </c>
      <c r="I63" s="168">
        <v>0</v>
      </c>
      <c r="J63" s="168">
        <v>0</v>
      </c>
      <c r="K63" s="168">
        <v>0</v>
      </c>
      <c r="L63" s="168">
        <v>0</v>
      </c>
      <c r="M63" s="168">
        <v>17</v>
      </c>
      <c r="N63" s="425">
        <v>-0.5641025641025641</v>
      </c>
      <c r="O63" s="863"/>
      <c r="P63" s="864"/>
    </row>
    <row r="64" spans="1:16" ht="16.149999999999999">
      <c r="A64" s="856"/>
      <c r="B64" s="881"/>
      <c r="C64" s="881"/>
      <c r="D64" s="881"/>
      <c r="E64" s="881"/>
      <c r="F64" s="881"/>
      <c r="G64" s="881"/>
      <c r="H64" s="881"/>
      <c r="I64" s="881"/>
      <c r="J64" s="881"/>
      <c r="K64" s="881"/>
      <c r="L64" s="881"/>
      <c r="M64" s="881"/>
      <c r="N64" s="866"/>
      <c r="O64" s="669"/>
      <c r="P64" s="669"/>
    </row>
    <row r="65" spans="1:16" ht="16.149999999999999">
      <c r="A65" s="592" t="s">
        <v>1478</v>
      </c>
      <c r="B65" s="208"/>
      <c r="C65" s="208"/>
      <c r="D65" s="208"/>
      <c r="E65" s="208"/>
      <c r="F65" s="208"/>
      <c r="G65" s="208"/>
      <c r="H65" s="208"/>
      <c r="I65" s="208"/>
      <c r="J65" s="208"/>
      <c r="K65" s="208"/>
      <c r="L65" s="208"/>
      <c r="M65" s="208"/>
      <c r="N65" s="429"/>
      <c r="O65" s="867"/>
      <c r="P65" s="867"/>
    </row>
    <row r="66" spans="1:16" ht="32.450000000000003">
      <c r="A66" s="778" t="s">
        <v>1479</v>
      </c>
      <c r="B66" s="313">
        <v>0</v>
      </c>
      <c r="C66" s="313">
        <v>0</v>
      </c>
      <c r="D66" s="313">
        <v>-0.3</v>
      </c>
      <c r="E66" s="313">
        <v>0</v>
      </c>
      <c r="F66" s="313">
        <v>0</v>
      </c>
      <c r="G66" s="314">
        <v>-0.3</v>
      </c>
      <c r="H66" s="313">
        <v>0</v>
      </c>
      <c r="I66" s="313">
        <v>0</v>
      </c>
      <c r="J66" s="313">
        <v>0</v>
      </c>
      <c r="K66" s="313">
        <v>0</v>
      </c>
      <c r="L66" s="313">
        <v>0</v>
      </c>
      <c r="M66" s="314">
        <v>0</v>
      </c>
      <c r="N66" s="315">
        <v>-1</v>
      </c>
      <c r="O66" s="78" t="s">
        <v>1480</v>
      </c>
      <c r="P66" s="333" t="s">
        <v>1481</v>
      </c>
    </row>
    <row r="67" spans="1:16" ht="32.450000000000003">
      <c r="A67" s="781" t="s">
        <v>1482</v>
      </c>
      <c r="B67" s="506">
        <v>0</v>
      </c>
      <c r="C67" s="506">
        <v>0</v>
      </c>
      <c r="D67" s="506">
        <v>2.4</v>
      </c>
      <c r="E67" s="506">
        <v>0</v>
      </c>
      <c r="F67" s="506">
        <v>0</v>
      </c>
      <c r="G67" s="507">
        <v>2.4</v>
      </c>
      <c r="H67" s="313">
        <v>0</v>
      </c>
      <c r="I67" s="313">
        <v>0</v>
      </c>
      <c r="J67" s="313">
        <v>0.59599999999999997</v>
      </c>
      <c r="K67" s="313">
        <v>0</v>
      </c>
      <c r="L67" s="313">
        <v>0</v>
      </c>
      <c r="M67" s="507">
        <v>0.59599999999999997</v>
      </c>
      <c r="N67" s="315">
        <v>-0.75166666666666659</v>
      </c>
      <c r="O67" s="234" t="s">
        <v>1483</v>
      </c>
      <c r="P67" s="233" t="s">
        <v>1484</v>
      </c>
    </row>
    <row r="68" spans="1:16" ht="32.450000000000003">
      <c r="A68" s="781" t="s">
        <v>1482</v>
      </c>
      <c r="B68" s="506">
        <v>-1.4999999999999999E-2</v>
      </c>
      <c r="C68" s="506">
        <v>0</v>
      </c>
      <c r="D68" s="506">
        <v>0</v>
      </c>
      <c r="E68" s="506">
        <v>0</v>
      </c>
      <c r="F68" s="506">
        <v>0</v>
      </c>
      <c r="G68" s="507">
        <v>-1.4999999999999999E-2</v>
      </c>
      <c r="H68" s="313">
        <v>0</v>
      </c>
      <c r="I68" s="313">
        <v>0</v>
      </c>
      <c r="J68" s="313">
        <v>0</v>
      </c>
      <c r="K68" s="313">
        <v>0</v>
      </c>
      <c r="L68" s="313">
        <v>0</v>
      </c>
      <c r="M68" s="507">
        <v>0</v>
      </c>
      <c r="N68" s="315">
        <v>-1</v>
      </c>
      <c r="O68" s="234" t="s">
        <v>1485</v>
      </c>
      <c r="P68" s="233" t="s">
        <v>1486</v>
      </c>
    </row>
    <row r="69" spans="1:16" ht="32.450000000000003">
      <c r="A69" s="781" t="s">
        <v>1482</v>
      </c>
      <c r="B69" s="506">
        <v>1.6E-2</v>
      </c>
      <c r="C69" s="506">
        <v>0</v>
      </c>
      <c r="D69" s="506">
        <v>0</v>
      </c>
      <c r="E69" s="506">
        <v>0</v>
      </c>
      <c r="F69" s="506">
        <v>0</v>
      </c>
      <c r="G69" s="507">
        <v>1.6E-2</v>
      </c>
      <c r="H69" s="313">
        <v>1.5</v>
      </c>
      <c r="I69" s="313">
        <v>0</v>
      </c>
      <c r="J69" s="313">
        <v>0</v>
      </c>
      <c r="K69" s="313">
        <v>0</v>
      </c>
      <c r="L69" s="313">
        <v>0</v>
      </c>
      <c r="M69" s="507">
        <v>1.5</v>
      </c>
      <c r="N69" s="315">
        <v>92.75</v>
      </c>
      <c r="O69" s="234" t="s">
        <v>1485</v>
      </c>
      <c r="P69" s="233" t="s">
        <v>238</v>
      </c>
    </row>
    <row r="70" spans="1:16" ht="32.450000000000003">
      <c r="A70" s="781" t="s">
        <v>1487</v>
      </c>
      <c r="B70" s="506">
        <v>-0.20100000000000001</v>
      </c>
      <c r="C70" s="506">
        <v>0</v>
      </c>
      <c r="D70" s="506">
        <v>0</v>
      </c>
      <c r="E70" s="506">
        <v>0</v>
      </c>
      <c r="F70" s="506">
        <v>0</v>
      </c>
      <c r="G70" s="507">
        <v>-0.20100000000000001</v>
      </c>
      <c r="H70" s="313">
        <v>0</v>
      </c>
      <c r="I70" s="313">
        <v>0</v>
      </c>
      <c r="J70" s="313">
        <v>0</v>
      </c>
      <c r="K70" s="313">
        <v>0</v>
      </c>
      <c r="L70" s="313">
        <v>0</v>
      </c>
      <c r="M70" s="507">
        <v>0</v>
      </c>
      <c r="N70" s="315">
        <v>-1</v>
      </c>
      <c r="O70" s="234" t="s">
        <v>1488</v>
      </c>
      <c r="P70" s="233" t="s">
        <v>238</v>
      </c>
    </row>
    <row r="71" spans="1:16" ht="16.149999999999999">
      <c r="A71" s="607" t="s">
        <v>1489</v>
      </c>
      <c r="B71" s="168">
        <v>-0.2</v>
      </c>
      <c r="C71" s="168">
        <v>0</v>
      </c>
      <c r="D71" s="168">
        <v>2.1</v>
      </c>
      <c r="E71" s="168">
        <v>0</v>
      </c>
      <c r="F71" s="168">
        <v>0</v>
      </c>
      <c r="G71" s="168">
        <v>1.9</v>
      </c>
      <c r="H71" s="168">
        <v>1.5</v>
      </c>
      <c r="I71" s="168">
        <v>0</v>
      </c>
      <c r="J71" s="168">
        <v>0.59599999999999997</v>
      </c>
      <c r="K71" s="168">
        <v>0</v>
      </c>
      <c r="L71" s="168">
        <v>0</v>
      </c>
      <c r="M71" s="168">
        <v>2.0960000000000001</v>
      </c>
      <c r="N71" s="425">
        <v>0.1031578947368422</v>
      </c>
      <c r="O71" s="863"/>
      <c r="P71" s="864"/>
    </row>
    <row r="72" spans="1:16" ht="16.149999999999999">
      <c r="A72" s="856"/>
      <c r="B72" s="535"/>
      <c r="C72" s="535"/>
      <c r="D72" s="535"/>
      <c r="E72" s="535"/>
      <c r="F72" s="535"/>
      <c r="G72" s="535"/>
      <c r="H72" s="535"/>
      <c r="I72" s="535"/>
      <c r="J72" s="535"/>
      <c r="K72" s="535"/>
      <c r="L72" s="535"/>
      <c r="M72" s="535"/>
      <c r="N72" s="868"/>
      <c r="O72" s="669"/>
      <c r="P72" s="669"/>
    </row>
    <row r="73" spans="1:16" ht="16.149999999999999">
      <c r="A73" s="592" t="s">
        <v>1490</v>
      </c>
      <c r="B73" s="208"/>
      <c r="C73" s="208"/>
      <c r="D73" s="208"/>
      <c r="E73" s="208"/>
      <c r="F73" s="208"/>
      <c r="G73" s="208"/>
      <c r="H73" s="208"/>
      <c r="I73" s="208"/>
      <c r="J73" s="208"/>
      <c r="K73" s="208"/>
      <c r="L73" s="208"/>
      <c r="M73" s="208"/>
      <c r="N73" s="429"/>
      <c r="O73" s="867"/>
      <c r="P73" s="867"/>
    </row>
    <row r="74" spans="1:16" ht="113.45">
      <c r="A74" s="778" t="s">
        <v>1105</v>
      </c>
      <c r="B74" s="313">
        <v>0</v>
      </c>
      <c r="C74" s="313">
        <v>0</v>
      </c>
      <c r="D74" s="313">
        <v>9.5</v>
      </c>
      <c r="E74" s="313">
        <v>0</v>
      </c>
      <c r="F74" s="313">
        <v>0</v>
      </c>
      <c r="G74" s="314">
        <v>9.5</v>
      </c>
      <c r="H74" s="313">
        <v>0</v>
      </c>
      <c r="I74" s="313">
        <v>0</v>
      </c>
      <c r="J74" s="313">
        <v>10.199999999999999</v>
      </c>
      <c r="K74" s="313">
        <v>0</v>
      </c>
      <c r="L74" s="313">
        <v>0</v>
      </c>
      <c r="M74" s="314">
        <v>10.199999999999999</v>
      </c>
      <c r="N74" s="315">
        <v>7.3684210526315713E-2</v>
      </c>
      <c r="O74" s="78" t="s">
        <v>1491</v>
      </c>
      <c r="P74" s="333" t="s">
        <v>95</v>
      </c>
    </row>
    <row r="75" spans="1:16" ht="129.6">
      <c r="A75" s="781" t="s">
        <v>1103</v>
      </c>
      <c r="B75" s="506">
        <v>81.578000000000003</v>
      </c>
      <c r="C75" s="506">
        <v>0</v>
      </c>
      <c r="D75" s="506">
        <v>0</v>
      </c>
      <c r="E75" s="506">
        <v>0</v>
      </c>
      <c r="F75" s="506">
        <v>0</v>
      </c>
      <c r="G75" s="507">
        <v>81.578000000000003</v>
      </c>
      <c r="H75" s="313">
        <v>80.210999999999999</v>
      </c>
      <c r="I75" s="313">
        <v>0</v>
      </c>
      <c r="J75" s="313">
        <v>0</v>
      </c>
      <c r="K75" s="313">
        <v>0</v>
      </c>
      <c r="L75" s="313">
        <v>0</v>
      </c>
      <c r="M75" s="507">
        <v>80.210999999999999</v>
      </c>
      <c r="N75" s="315">
        <v>-1.6756968790605363E-2</v>
      </c>
      <c r="O75" s="234" t="s">
        <v>1492</v>
      </c>
      <c r="P75" s="233" t="s">
        <v>1493</v>
      </c>
    </row>
    <row r="76" spans="1:16" ht="32.450000000000003">
      <c r="A76" s="781" t="s">
        <v>780</v>
      </c>
      <c r="B76" s="506">
        <v>0</v>
      </c>
      <c r="C76" s="506">
        <v>5.01</v>
      </c>
      <c r="D76" s="506">
        <v>0</v>
      </c>
      <c r="E76" s="506">
        <v>0</v>
      </c>
      <c r="F76" s="506">
        <v>0</v>
      </c>
      <c r="G76" s="507">
        <v>5.01</v>
      </c>
      <c r="H76" s="313">
        <v>0</v>
      </c>
      <c r="I76" s="313">
        <v>16.193000000000001</v>
      </c>
      <c r="J76" s="313">
        <v>0</v>
      </c>
      <c r="K76" s="313">
        <v>0</v>
      </c>
      <c r="L76" s="313">
        <v>0</v>
      </c>
      <c r="M76" s="507">
        <v>16.193000000000001</v>
      </c>
      <c r="N76" s="315">
        <v>2.2321357285429144</v>
      </c>
      <c r="O76" s="234" t="s">
        <v>1494</v>
      </c>
      <c r="P76" s="233" t="s">
        <v>1313</v>
      </c>
    </row>
    <row r="77" spans="1:16" ht="64.900000000000006">
      <c r="A77" s="781" t="s">
        <v>1495</v>
      </c>
      <c r="B77" s="506">
        <v>-4.2880000000000003</v>
      </c>
      <c r="C77" s="506">
        <v>0</v>
      </c>
      <c r="D77" s="506">
        <v>0</v>
      </c>
      <c r="E77" s="506">
        <v>0</v>
      </c>
      <c r="F77" s="506">
        <v>0</v>
      </c>
      <c r="G77" s="507">
        <v>-4.2880000000000003</v>
      </c>
      <c r="H77" s="313">
        <v>-4.2110000000000003</v>
      </c>
      <c r="I77" s="313">
        <v>0</v>
      </c>
      <c r="J77" s="313">
        <v>0</v>
      </c>
      <c r="K77" s="313">
        <v>0</v>
      </c>
      <c r="L77" s="313">
        <v>0</v>
      </c>
      <c r="M77" s="507">
        <v>-4.2110000000000003</v>
      </c>
      <c r="N77" s="315">
        <v>-1.7957089552238795E-2</v>
      </c>
      <c r="O77" s="234" t="s">
        <v>1496</v>
      </c>
      <c r="P77" s="233" t="s">
        <v>95</v>
      </c>
    </row>
    <row r="78" spans="1:16" ht="16.149999999999999">
      <c r="A78" s="781" t="s">
        <v>1497</v>
      </c>
      <c r="B78" s="506">
        <v>0</v>
      </c>
      <c r="C78" s="506">
        <v>0</v>
      </c>
      <c r="D78" s="506">
        <v>0</v>
      </c>
      <c r="E78" s="506">
        <v>0</v>
      </c>
      <c r="F78" s="506">
        <v>0</v>
      </c>
      <c r="G78" s="507">
        <v>0</v>
      </c>
      <c r="H78" s="313">
        <v>0</v>
      </c>
      <c r="I78" s="313">
        <v>0</v>
      </c>
      <c r="J78" s="313">
        <v>0</v>
      </c>
      <c r="K78" s="313">
        <v>0</v>
      </c>
      <c r="L78" s="313">
        <v>0</v>
      </c>
      <c r="M78" s="507">
        <v>0</v>
      </c>
      <c r="N78" s="315" t="s">
        <v>204</v>
      </c>
      <c r="O78" s="234" t="s">
        <v>238</v>
      </c>
      <c r="P78" s="233" t="s">
        <v>238</v>
      </c>
    </row>
    <row r="79" spans="1:16" ht="16.149999999999999">
      <c r="A79" s="607" t="s">
        <v>1498</v>
      </c>
      <c r="B79" s="168">
        <v>77.290000000000006</v>
      </c>
      <c r="C79" s="168">
        <v>5.01</v>
      </c>
      <c r="D79" s="168">
        <v>9.5</v>
      </c>
      <c r="E79" s="168">
        <v>0</v>
      </c>
      <c r="F79" s="168">
        <v>0</v>
      </c>
      <c r="G79" s="168">
        <v>91.800000000000011</v>
      </c>
      <c r="H79" s="168">
        <v>76</v>
      </c>
      <c r="I79" s="168">
        <v>16.193000000000001</v>
      </c>
      <c r="J79" s="168">
        <v>10.199999999999999</v>
      </c>
      <c r="K79" s="168">
        <v>0</v>
      </c>
      <c r="L79" s="168">
        <v>0</v>
      </c>
      <c r="M79" s="168">
        <v>102.393</v>
      </c>
      <c r="N79" s="425">
        <v>0.11539215686274497</v>
      </c>
      <c r="O79" s="863"/>
      <c r="P79" s="864"/>
    </row>
    <row r="80" spans="1:16" ht="16.149999999999999">
      <c r="A80" s="856"/>
      <c r="B80" s="881"/>
      <c r="C80" s="881"/>
      <c r="D80" s="881"/>
      <c r="E80" s="881"/>
      <c r="F80" s="881"/>
      <c r="G80" s="881"/>
      <c r="H80" s="881"/>
      <c r="I80" s="881"/>
      <c r="J80" s="881"/>
      <c r="K80" s="881"/>
      <c r="L80" s="881"/>
      <c r="M80" s="881"/>
      <c r="N80" s="866"/>
      <c r="O80" s="669"/>
      <c r="P80" s="669"/>
    </row>
    <row r="81" spans="1:16" ht="16.149999999999999">
      <c r="A81" s="592" t="s">
        <v>1499</v>
      </c>
      <c r="B81" s="208"/>
      <c r="C81" s="208"/>
      <c r="D81" s="208"/>
      <c r="E81" s="208"/>
      <c r="F81" s="208"/>
      <c r="G81" s="208"/>
      <c r="H81" s="208"/>
      <c r="I81" s="208"/>
      <c r="J81" s="208"/>
      <c r="K81" s="208"/>
      <c r="L81" s="208"/>
      <c r="M81" s="208"/>
      <c r="N81" s="429"/>
      <c r="O81" s="867"/>
      <c r="P81" s="867"/>
    </row>
    <row r="82" spans="1:16" ht="16.149999999999999">
      <c r="A82" s="778" t="s">
        <v>1500</v>
      </c>
      <c r="B82" s="313">
        <v>0</v>
      </c>
      <c r="C82" s="313">
        <v>0</v>
      </c>
      <c r="D82" s="313">
        <v>0</v>
      </c>
      <c r="E82" s="313">
        <v>0</v>
      </c>
      <c r="F82" s="313">
        <v>0</v>
      </c>
      <c r="G82" s="314">
        <v>0</v>
      </c>
      <c r="H82" s="313">
        <v>0</v>
      </c>
      <c r="I82" s="313">
        <v>0</v>
      </c>
      <c r="J82" s="313">
        <v>0</v>
      </c>
      <c r="K82" s="313">
        <v>0</v>
      </c>
      <c r="L82" s="313">
        <v>0</v>
      </c>
      <c r="M82" s="314">
        <v>0</v>
      </c>
      <c r="N82" s="315" t="s">
        <v>204</v>
      </c>
      <c r="O82" s="78" t="s">
        <v>238</v>
      </c>
      <c r="P82" s="333" t="s">
        <v>238</v>
      </c>
    </row>
    <row r="83" spans="1:16" ht="48.6">
      <c r="A83" s="781" t="s">
        <v>1501</v>
      </c>
      <c r="B83" s="506">
        <v>0</v>
      </c>
      <c r="C83" s="506">
        <v>0</v>
      </c>
      <c r="D83" s="506">
        <v>0</v>
      </c>
      <c r="E83" s="506">
        <v>0</v>
      </c>
      <c r="F83" s="506">
        <v>0</v>
      </c>
      <c r="G83" s="507">
        <v>0</v>
      </c>
      <c r="H83" s="313">
        <v>0</v>
      </c>
      <c r="I83" s="313">
        <v>0</v>
      </c>
      <c r="J83" s="313">
        <v>0</v>
      </c>
      <c r="K83" s="313">
        <v>0</v>
      </c>
      <c r="L83" s="313">
        <v>0</v>
      </c>
      <c r="M83" s="507">
        <v>0</v>
      </c>
      <c r="N83" s="315" t="s">
        <v>204</v>
      </c>
      <c r="O83" s="234" t="s">
        <v>1502</v>
      </c>
      <c r="P83" s="233" t="s">
        <v>1503</v>
      </c>
    </row>
    <row r="84" spans="1:16" ht="16.149999999999999">
      <c r="A84" s="607" t="s">
        <v>1504</v>
      </c>
      <c r="B84" s="168">
        <v>0</v>
      </c>
      <c r="C84" s="168">
        <v>0</v>
      </c>
      <c r="D84" s="168">
        <v>0</v>
      </c>
      <c r="E84" s="168">
        <v>0</v>
      </c>
      <c r="F84" s="168">
        <v>0</v>
      </c>
      <c r="G84" s="168">
        <v>0</v>
      </c>
      <c r="H84" s="168">
        <v>0</v>
      </c>
      <c r="I84" s="168">
        <v>0</v>
      </c>
      <c r="J84" s="168">
        <v>0</v>
      </c>
      <c r="K84" s="168">
        <v>0</v>
      </c>
      <c r="L84" s="168">
        <v>0</v>
      </c>
      <c r="M84" s="168">
        <v>0</v>
      </c>
      <c r="N84" s="425" t="s">
        <v>204</v>
      </c>
      <c r="O84" s="696"/>
      <c r="P84" s="697"/>
    </row>
    <row r="85" spans="1:16" ht="16.149999999999999">
      <c r="A85" s="856"/>
      <c r="B85" s="535"/>
      <c r="C85" s="535"/>
      <c r="D85" s="535"/>
      <c r="E85" s="535"/>
      <c r="F85" s="535"/>
      <c r="G85" s="535"/>
      <c r="H85" s="535"/>
      <c r="I85" s="535"/>
      <c r="J85" s="535"/>
      <c r="K85" s="535"/>
      <c r="L85" s="535"/>
      <c r="M85" s="535"/>
      <c r="N85" s="535"/>
      <c r="O85" s="793"/>
      <c r="P85" s="869"/>
    </row>
    <row r="86" spans="1:16" ht="32.450000000000003">
      <c r="A86" s="882" t="s">
        <v>1505</v>
      </c>
      <c r="B86" s="532">
        <v>693.79</v>
      </c>
      <c r="C86" s="532">
        <v>5.01</v>
      </c>
      <c r="D86" s="532">
        <v>40.1</v>
      </c>
      <c r="E86" s="532">
        <v>0</v>
      </c>
      <c r="F86" s="532">
        <v>0</v>
      </c>
      <c r="G86" s="532">
        <v>738.90000000000009</v>
      </c>
      <c r="H86" s="532">
        <v>675.7</v>
      </c>
      <c r="I86" s="532">
        <v>16.193000000000001</v>
      </c>
      <c r="J86" s="532">
        <v>13.759999999999998</v>
      </c>
      <c r="K86" s="532">
        <v>0</v>
      </c>
      <c r="L86" s="532">
        <v>0</v>
      </c>
      <c r="M86" s="532">
        <v>705.65300000000002</v>
      </c>
      <c r="N86" s="320">
        <v>-4.4995263229124463E-2</v>
      </c>
      <c r="O86" s="542"/>
      <c r="P86" s="543"/>
    </row>
    <row r="87" spans="1:16" ht="16.149999999999999">
      <c r="A87" s="883"/>
      <c r="B87" s="551"/>
      <c r="C87" s="551"/>
      <c r="D87" s="551"/>
      <c r="E87" s="551"/>
      <c r="F87" s="551"/>
      <c r="G87" s="551"/>
      <c r="H87" s="551"/>
      <c r="I87" s="551"/>
      <c r="J87" s="551"/>
      <c r="K87" s="551"/>
      <c r="L87" s="551"/>
      <c r="M87" s="551"/>
      <c r="N87" s="884"/>
      <c r="O87" s="885"/>
      <c r="P87" s="885"/>
    </row>
    <row r="88" spans="1:16" ht="16.149999999999999">
      <c r="A88" s="536" t="s">
        <v>1506</v>
      </c>
      <c r="B88" s="497"/>
      <c r="C88" s="497"/>
      <c r="D88" s="497"/>
      <c r="E88" s="497"/>
      <c r="F88" s="497"/>
      <c r="G88" s="497"/>
      <c r="H88" s="497"/>
      <c r="I88" s="497"/>
      <c r="J88" s="497"/>
      <c r="K88" s="497"/>
      <c r="L88" s="497"/>
      <c r="M88" s="497"/>
      <c r="N88" s="537"/>
      <c r="O88" s="538"/>
      <c r="P88" s="538"/>
    </row>
    <row r="89" spans="1:16" ht="16.149999999999999">
      <c r="A89" s="886"/>
      <c r="B89" s="501"/>
      <c r="C89" s="501"/>
      <c r="D89" s="501"/>
      <c r="E89" s="501"/>
      <c r="F89" s="501"/>
      <c r="G89" s="501"/>
      <c r="H89" s="501"/>
      <c r="I89" s="501"/>
      <c r="J89" s="501"/>
      <c r="K89" s="501"/>
      <c r="L89" s="501"/>
      <c r="M89" s="501"/>
      <c r="N89" s="866"/>
      <c r="O89" s="859"/>
      <c r="P89" s="859"/>
    </row>
    <row r="90" spans="1:16" ht="32.450000000000003">
      <c r="A90" s="805" t="s">
        <v>1507</v>
      </c>
      <c r="B90" s="870"/>
      <c r="C90" s="870"/>
      <c r="D90" s="870"/>
      <c r="E90" s="870"/>
      <c r="F90" s="870"/>
      <c r="G90" s="870"/>
      <c r="H90" s="870"/>
      <c r="I90" s="870"/>
      <c r="J90" s="870"/>
      <c r="K90" s="870"/>
      <c r="L90" s="870"/>
      <c r="M90" s="870"/>
      <c r="N90" s="870"/>
      <c r="O90" s="870"/>
      <c r="P90" s="870"/>
    </row>
    <row r="91" spans="1:16" ht="81">
      <c r="A91" s="778" t="s">
        <v>1508</v>
      </c>
      <c r="B91" s="313">
        <v>2.2000000000000002</v>
      </c>
      <c r="C91" s="313">
        <v>0</v>
      </c>
      <c r="D91" s="313">
        <v>0</v>
      </c>
      <c r="E91" s="313">
        <v>0</v>
      </c>
      <c r="F91" s="313">
        <v>0</v>
      </c>
      <c r="G91" s="314">
        <v>2.2000000000000002</v>
      </c>
      <c r="H91" s="313">
        <v>2.2000000000000002</v>
      </c>
      <c r="I91" s="313">
        <v>0</v>
      </c>
      <c r="J91" s="313">
        <v>0</v>
      </c>
      <c r="K91" s="313">
        <v>0</v>
      </c>
      <c r="L91" s="313">
        <v>0</v>
      </c>
      <c r="M91" s="314">
        <v>2.2000000000000002</v>
      </c>
      <c r="N91" s="315">
        <v>0</v>
      </c>
      <c r="O91" s="78" t="s">
        <v>1509</v>
      </c>
      <c r="P91" s="333" t="s">
        <v>65</v>
      </c>
    </row>
    <row r="92" spans="1:16" ht="32.450000000000003">
      <c r="A92" s="781" t="s">
        <v>1510</v>
      </c>
      <c r="B92" s="506">
        <v>0</v>
      </c>
      <c r="C92" s="506">
        <v>0</v>
      </c>
      <c r="D92" s="506">
        <v>0</v>
      </c>
      <c r="E92" s="506">
        <v>0</v>
      </c>
      <c r="F92" s="506">
        <v>0</v>
      </c>
      <c r="G92" s="507">
        <v>0</v>
      </c>
      <c r="H92" s="313">
        <v>0</v>
      </c>
      <c r="I92" s="313">
        <v>0</v>
      </c>
      <c r="J92" s="313">
        <v>0</v>
      </c>
      <c r="K92" s="313">
        <v>0</v>
      </c>
      <c r="L92" s="313">
        <v>0</v>
      </c>
      <c r="M92" s="507">
        <v>0</v>
      </c>
      <c r="N92" s="315" t="s">
        <v>204</v>
      </c>
      <c r="O92" s="234" t="s">
        <v>1511</v>
      </c>
      <c r="P92" s="233" t="s">
        <v>65</v>
      </c>
    </row>
    <row r="93" spans="1:16" ht="48.6">
      <c r="A93" s="607" t="s">
        <v>1512</v>
      </c>
      <c r="B93" s="168">
        <v>2.2000000000000002</v>
      </c>
      <c r="C93" s="168">
        <v>0</v>
      </c>
      <c r="D93" s="168">
        <v>0</v>
      </c>
      <c r="E93" s="168">
        <v>0</v>
      </c>
      <c r="F93" s="168">
        <v>0</v>
      </c>
      <c r="G93" s="168">
        <v>2.2000000000000002</v>
      </c>
      <c r="H93" s="168">
        <v>2.2000000000000002</v>
      </c>
      <c r="I93" s="168">
        <v>0</v>
      </c>
      <c r="J93" s="168">
        <v>0</v>
      </c>
      <c r="K93" s="168">
        <v>0</v>
      </c>
      <c r="L93" s="168">
        <v>0</v>
      </c>
      <c r="M93" s="168">
        <v>2.2000000000000002</v>
      </c>
      <c r="N93" s="425">
        <v>0</v>
      </c>
      <c r="O93" s="696"/>
      <c r="P93" s="697"/>
    </row>
    <row r="94" spans="1:16" ht="16.149999999999999">
      <c r="A94" s="856"/>
      <c r="B94" s="515"/>
      <c r="C94" s="515"/>
      <c r="D94" s="515"/>
      <c r="E94" s="515"/>
      <c r="F94" s="515"/>
      <c r="G94" s="515"/>
      <c r="H94" s="515"/>
      <c r="I94" s="515"/>
      <c r="J94" s="515"/>
      <c r="K94" s="515"/>
      <c r="L94" s="515"/>
      <c r="M94" s="515"/>
      <c r="N94" s="868"/>
      <c r="O94" s="793"/>
      <c r="P94" s="793"/>
    </row>
    <row r="95" spans="1:16" ht="16.149999999999999">
      <c r="A95" s="592" t="s">
        <v>1513</v>
      </c>
      <c r="B95" s="208"/>
      <c r="C95" s="208"/>
      <c r="D95" s="208"/>
      <c r="E95" s="208"/>
      <c r="F95" s="208"/>
      <c r="G95" s="208"/>
      <c r="H95" s="208"/>
      <c r="I95" s="208"/>
      <c r="J95" s="208"/>
      <c r="K95" s="208"/>
      <c r="L95" s="208"/>
      <c r="M95" s="208"/>
      <c r="N95" s="429"/>
      <c r="O95" s="693"/>
      <c r="P95" s="693"/>
    </row>
    <row r="96" spans="1:16" ht="48.6">
      <c r="A96" s="778" t="s">
        <v>1514</v>
      </c>
      <c r="B96" s="313">
        <v>0.06</v>
      </c>
      <c r="C96" s="313">
        <v>0</v>
      </c>
      <c r="D96" s="313">
        <v>0</v>
      </c>
      <c r="E96" s="313">
        <v>0</v>
      </c>
      <c r="F96" s="313">
        <v>0</v>
      </c>
      <c r="G96" s="314">
        <v>0.06</v>
      </c>
      <c r="H96" s="313">
        <v>0.06</v>
      </c>
      <c r="I96" s="313">
        <v>0</v>
      </c>
      <c r="J96" s="313">
        <v>0</v>
      </c>
      <c r="K96" s="313">
        <v>0</v>
      </c>
      <c r="L96" s="313">
        <v>0</v>
      </c>
      <c r="M96" s="314">
        <v>0.06</v>
      </c>
      <c r="N96" s="315">
        <v>0</v>
      </c>
      <c r="O96" s="78" t="s">
        <v>1515</v>
      </c>
      <c r="P96" s="333" t="s">
        <v>65</v>
      </c>
    </row>
    <row r="97" spans="1:16" ht="16.149999999999999">
      <c r="A97" s="781" t="s">
        <v>1516</v>
      </c>
      <c r="B97" s="506">
        <v>0</v>
      </c>
      <c r="C97" s="506">
        <v>0</v>
      </c>
      <c r="D97" s="506">
        <v>0</v>
      </c>
      <c r="E97" s="506">
        <v>0</v>
      </c>
      <c r="F97" s="506">
        <v>0</v>
      </c>
      <c r="G97" s="507">
        <v>0</v>
      </c>
      <c r="H97" s="313">
        <v>0</v>
      </c>
      <c r="I97" s="313">
        <v>0</v>
      </c>
      <c r="J97" s="313">
        <v>0</v>
      </c>
      <c r="K97" s="313">
        <v>0</v>
      </c>
      <c r="L97" s="313">
        <v>0</v>
      </c>
      <c r="M97" s="507">
        <v>0</v>
      </c>
      <c r="N97" s="315" t="s">
        <v>204</v>
      </c>
      <c r="O97" s="234" t="s">
        <v>1511</v>
      </c>
      <c r="P97" s="233" t="s">
        <v>238</v>
      </c>
    </row>
    <row r="98" spans="1:16" ht="32.450000000000003">
      <c r="A98" s="781" t="s">
        <v>1517</v>
      </c>
      <c r="B98" s="506">
        <v>0.76200000000000001</v>
      </c>
      <c r="C98" s="506">
        <v>0</v>
      </c>
      <c r="D98" s="506">
        <v>0</v>
      </c>
      <c r="E98" s="506">
        <v>0</v>
      </c>
      <c r="F98" s="506">
        <v>0</v>
      </c>
      <c r="G98" s="507">
        <v>0.76200000000000001</v>
      </c>
      <c r="H98" s="313">
        <v>0.76500000000000001</v>
      </c>
      <c r="I98" s="313">
        <v>0</v>
      </c>
      <c r="J98" s="313">
        <v>0</v>
      </c>
      <c r="K98" s="313">
        <v>0</v>
      </c>
      <c r="L98" s="313">
        <v>0</v>
      </c>
      <c r="M98" s="507">
        <v>0.76500000000000001</v>
      </c>
      <c r="N98" s="315">
        <v>3.9370078740157514E-3</v>
      </c>
      <c r="O98" s="234" t="s">
        <v>1518</v>
      </c>
      <c r="P98" s="233" t="s">
        <v>95</v>
      </c>
    </row>
    <row r="99" spans="1:16" ht="97.15">
      <c r="A99" s="781" t="s">
        <v>1519</v>
      </c>
      <c r="B99" s="506">
        <v>24.75</v>
      </c>
      <c r="C99" s="506">
        <v>0</v>
      </c>
      <c r="D99" s="506">
        <v>0</v>
      </c>
      <c r="E99" s="506">
        <v>0</v>
      </c>
      <c r="F99" s="506">
        <v>0</v>
      </c>
      <c r="G99" s="507">
        <v>24.75</v>
      </c>
      <c r="H99" s="313">
        <v>23.875</v>
      </c>
      <c r="I99" s="313">
        <v>0</v>
      </c>
      <c r="J99" s="313">
        <v>0</v>
      </c>
      <c r="K99" s="313">
        <v>0</v>
      </c>
      <c r="L99" s="313">
        <v>0</v>
      </c>
      <c r="M99" s="507">
        <v>23.875</v>
      </c>
      <c r="N99" s="315">
        <v>-3.5353535353535352E-2</v>
      </c>
      <c r="O99" s="234" t="s">
        <v>1520</v>
      </c>
      <c r="P99" s="233" t="s">
        <v>1521</v>
      </c>
    </row>
    <row r="100" spans="1:16" ht="16.149999999999999">
      <c r="A100" s="607" t="s">
        <v>1522</v>
      </c>
      <c r="B100" s="168">
        <v>25.571999999999999</v>
      </c>
      <c r="C100" s="168">
        <v>0</v>
      </c>
      <c r="D100" s="168">
        <v>0</v>
      </c>
      <c r="E100" s="168">
        <v>0</v>
      </c>
      <c r="F100" s="168">
        <v>0</v>
      </c>
      <c r="G100" s="168">
        <v>25.571999999999999</v>
      </c>
      <c r="H100" s="168">
        <v>24.7</v>
      </c>
      <c r="I100" s="168">
        <v>0</v>
      </c>
      <c r="J100" s="168">
        <v>0</v>
      </c>
      <c r="K100" s="168">
        <v>0</v>
      </c>
      <c r="L100" s="168">
        <v>0</v>
      </c>
      <c r="M100" s="168">
        <v>24.7</v>
      </c>
      <c r="N100" s="425">
        <v>-3.4099796652588762E-2</v>
      </c>
      <c r="O100" s="696"/>
      <c r="P100" s="697"/>
    </row>
    <row r="101" spans="1:16" ht="16.149999999999999">
      <c r="A101" s="856"/>
      <c r="B101" s="515"/>
      <c r="C101" s="515"/>
      <c r="D101" s="515"/>
      <c r="E101" s="515"/>
      <c r="F101" s="515"/>
      <c r="G101" s="515"/>
      <c r="H101" s="515"/>
      <c r="I101" s="515"/>
      <c r="J101" s="515"/>
      <c r="K101" s="515"/>
      <c r="L101" s="515"/>
      <c r="M101" s="515"/>
      <c r="N101" s="868"/>
      <c r="O101" s="793"/>
      <c r="P101" s="793"/>
    </row>
    <row r="102" spans="1:16" ht="16.149999999999999">
      <c r="A102" s="592" t="s">
        <v>1523</v>
      </c>
      <c r="B102" s="208"/>
      <c r="C102" s="208"/>
      <c r="D102" s="208"/>
      <c r="E102" s="208"/>
      <c r="F102" s="208"/>
      <c r="G102" s="208"/>
      <c r="H102" s="208"/>
      <c r="I102" s="208"/>
      <c r="J102" s="208"/>
      <c r="K102" s="208"/>
      <c r="L102" s="208"/>
      <c r="M102" s="208"/>
      <c r="N102" s="429"/>
      <c r="O102" s="693"/>
      <c r="P102" s="693"/>
    </row>
    <row r="103" spans="1:16" ht="31.15" customHeight="1">
      <c r="A103" s="778" t="s">
        <v>1524</v>
      </c>
      <c r="B103" s="313">
        <v>0</v>
      </c>
      <c r="C103" s="313">
        <v>6.5000000000000002E-2</v>
      </c>
      <c r="D103" s="313">
        <v>0</v>
      </c>
      <c r="E103" s="313">
        <v>0</v>
      </c>
      <c r="F103" s="313">
        <v>0</v>
      </c>
      <c r="G103" s="314">
        <v>6.5000000000000002E-2</v>
      </c>
      <c r="H103" s="313">
        <v>0</v>
      </c>
      <c r="I103" s="313">
        <v>6.5000000000000002E-2</v>
      </c>
      <c r="J103" s="313">
        <v>0</v>
      </c>
      <c r="K103" s="313">
        <v>0</v>
      </c>
      <c r="L103" s="313">
        <v>0</v>
      </c>
      <c r="M103" s="314">
        <v>6.5000000000000002E-2</v>
      </c>
      <c r="N103" s="315">
        <v>0</v>
      </c>
      <c r="O103" s="78" t="s">
        <v>1525</v>
      </c>
      <c r="P103" s="333" t="s">
        <v>1413</v>
      </c>
    </row>
    <row r="104" spans="1:16" ht="129.6">
      <c r="A104" s="781" t="s">
        <v>1526</v>
      </c>
      <c r="B104" s="506">
        <v>4.17</v>
      </c>
      <c r="C104" s="506">
        <v>0</v>
      </c>
      <c r="D104" s="506">
        <v>0</v>
      </c>
      <c r="E104" s="506">
        <v>0</v>
      </c>
      <c r="F104" s="506">
        <v>0</v>
      </c>
      <c r="G104" s="507">
        <v>4.17</v>
      </c>
      <c r="H104" s="313">
        <v>4.5</v>
      </c>
      <c r="I104" s="313">
        <v>0</v>
      </c>
      <c r="J104" s="313">
        <v>0</v>
      </c>
      <c r="K104" s="313">
        <v>0</v>
      </c>
      <c r="L104" s="313">
        <v>0</v>
      </c>
      <c r="M104" s="507">
        <v>4.5</v>
      </c>
      <c r="N104" s="315">
        <v>7.9136690647482036E-2</v>
      </c>
      <c r="O104" s="234" t="s">
        <v>1527</v>
      </c>
      <c r="P104" s="233" t="s">
        <v>95</v>
      </c>
    </row>
    <row r="105" spans="1:16" ht="16.149999999999999">
      <c r="A105" s="607" t="s">
        <v>1528</v>
      </c>
      <c r="B105" s="168">
        <v>4.17</v>
      </c>
      <c r="C105" s="168">
        <v>6.5000000000000002E-2</v>
      </c>
      <c r="D105" s="168">
        <v>0</v>
      </c>
      <c r="E105" s="168">
        <v>0</v>
      </c>
      <c r="F105" s="168">
        <v>0</v>
      </c>
      <c r="G105" s="168">
        <v>4.2350000000000003</v>
      </c>
      <c r="H105" s="168">
        <v>4.5</v>
      </c>
      <c r="I105" s="168">
        <v>6.5000000000000002E-2</v>
      </c>
      <c r="J105" s="168">
        <v>0</v>
      </c>
      <c r="K105" s="168">
        <v>0</v>
      </c>
      <c r="L105" s="168">
        <v>0</v>
      </c>
      <c r="M105" s="168">
        <v>4.5650000000000004</v>
      </c>
      <c r="N105" s="425">
        <v>7.7922077922077934E-2</v>
      </c>
      <c r="O105" s="696"/>
      <c r="P105" s="697"/>
    </row>
    <row r="106" spans="1:16" ht="16.149999999999999">
      <c r="A106" s="856"/>
      <c r="B106" s="515"/>
      <c r="C106" s="515"/>
      <c r="D106" s="515"/>
      <c r="E106" s="515"/>
      <c r="F106" s="515"/>
      <c r="G106" s="515"/>
      <c r="H106" s="515"/>
      <c r="I106" s="515"/>
      <c r="J106" s="515"/>
      <c r="K106" s="515"/>
      <c r="L106" s="515"/>
      <c r="M106" s="515"/>
      <c r="N106" s="868"/>
      <c r="O106" s="793"/>
      <c r="P106" s="793"/>
    </row>
    <row r="107" spans="1:16" ht="16.149999999999999">
      <c r="A107" s="592" t="s">
        <v>1529</v>
      </c>
      <c r="B107" s="208"/>
      <c r="C107" s="208"/>
      <c r="D107" s="208"/>
      <c r="E107" s="208"/>
      <c r="F107" s="208"/>
      <c r="G107" s="208"/>
      <c r="H107" s="208"/>
      <c r="I107" s="208"/>
      <c r="J107" s="208"/>
      <c r="K107" s="208"/>
      <c r="L107" s="208"/>
      <c r="M107" s="208"/>
      <c r="N107" s="429"/>
      <c r="O107" s="693"/>
      <c r="P107" s="693"/>
    </row>
    <row r="108" spans="1:16" ht="16.149999999999999">
      <c r="A108" s="778" t="s">
        <v>1530</v>
      </c>
      <c r="B108" s="313">
        <v>0</v>
      </c>
      <c r="C108" s="313">
        <v>0</v>
      </c>
      <c r="D108" s="313">
        <v>0</v>
      </c>
      <c r="E108" s="313">
        <v>0</v>
      </c>
      <c r="F108" s="313">
        <v>0</v>
      </c>
      <c r="G108" s="314">
        <v>0</v>
      </c>
      <c r="H108" s="313">
        <v>0</v>
      </c>
      <c r="I108" s="313">
        <v>0</v>
      </c>
      <c r="J108" s="313">
        <v>0</v>
      </c>
      <c r="K108" s="313">
        <v>0</v>
      </c>
      <c r="L108" s="313">
        <v>0</v>
      </c>
      <c r="M108" s="314">
        <v>0</v>
      </c>
      <c r="N108" s="315" t="s">
        <v>204</v>
      </c>
      <c r="O108" s="78" t="s">
        <v>1511</v>
      </c>
      <c r="P108" s="333" t="s">
        <v>238</v>
      </c>
    </row>
    <row r="109" spans="1:16" ht="81">
      <c r="A109" s="781" t="s">
        <v>1531</v>
      </c>
      <c r="B109" s="506">
        <v>8.4</v>
      </c>
      <c r="C109" s="506">
        <v>0</v>
      </c>
      <c r="D109" s="506">
        <v>0</v>
      </c>
      <c r="E109" s="506">
        <v>0</v>
      </c>
      <c r="F109" s="506">
        <v>0</v>
      </c>
      <c r="G109" s="507">
        <v>8.4</v>
      </c>
      <c r="H109" s="313">
        <v>9.6</v>
      </c>
      <c r="I109" s="313">
        <v>0</v>
      </c>
      <c r="J109" s="313">
        <v>0</v>
      </c>
      <c r="K109" s="313">
        <v>0</v>
      </c>
      <c r="L109" s="313">
        <v>0</v>
      </c>
      <c r="M109" s="507">
        <v>9.6</v>
      </c>
      <c r="N109" s="315">
        <v>0.14285714285714277</v>
      </c>
      <c r="O109" s="234" t="s">
        <v>1532</v>
      </c>
      <c r="P109" s="233" t="s">
        <v>1533</v>
      </c>
    </row>
    <row r="110" spans="1:16" ht="16.149999999999999">
      <c r="A110" s="607" t="s">
        <v>1534</v>
      </c>
      <c r="B110" s="168">
        <v>8.4</v>
      </c>
      <c r="C110" s="168">
        <v>0</v>
      </c>
      <c r="D110" s="168">
        <v>0</v>
      </c>
      <c r="E110" s="168">
        <v>0</v>
      </c>
      <c r="F110" s="168">
        <v>0</v>
      </c>
      <c r="G110" s="168">
        <v>8.4</v>
      </c>
      <c r="H110" s="168">
        <v>9.6</v>
      </c>
      <c r="I110" s="168">
        <v>0</v>
      </c>
      <c r="J110" s="168">
        <v>0</v>
      </c>
      <c r="K110" s="168">
        <v>0</v>
      </c>
      <c r="L110" s="168">
        <v>0</v>
      </c>
      <c r="M110" s="168">
        <v>9.6</v>
      </c>
      <c r="N110" s="425">
        <v>0.14285714285714277</v>
      </c>
      <c r="O110" s="696"/>
      <c r="P110" s="697"/>
    </row>
    <row r="111" spans="1:16" ht="16.149999999999999">
      <c r="A111" s="887"/>
      <c r="B111" s="515"/>
      <c r="C111" s="515"/>
      <c r="D111" s="515"/>
      <c r="E111" s="515"/>
      <c r="F111" s="515"/>
      <c r="G111" s="515"/>
      <c r="H111" s="515"/>
      <c r="I111" s="515"/>
      <c r="J111" s="515"/>
      <c r="K111" s="515"/>
      <c r="L111" s="515"/>
      <c r="M111" s="515"/>
      <c r="N111" s="884"/>
      <c r="O111" s="793"/>
      <c r="P111" s="793"/>
    </row>
    <row r="112" spans="1:16" ht="16.149999999999999">
      <c r="A112" s="592" t="s">
        <v>1535</v>
      </c>
      <c r="B112" s="208"/>
      <c r="C112" s="208"/>
      <c r="D112" s="208"/>
      <c r="E112" s="208"/>
      <c r="F112" s="208"/>
      <c r="G112" s="208"/>
      <c r="H112" s="208"/>
      <c r="I112" s="208"/>
      <c r="J112" s="208"/>
      <c r="K112" s="208"/>
      <c r="L112" s="208"/>
      <c r="M112" s="208"/>
      <c r="N112" s="429"/>
      <c r="O112" s="867"/>
      <c r="P112" s="867"/>
    </row>
    <row r="113" spans="1:16" ht="97.15">
      <c r="A113" s="778" t="s">
        <v>1535</v>
      </c>
      <c r="B113" s="313">
        <v>11.6</v>
      </c>
      <c r="C113" s="313">
        <v>0</v>
      </c>
      <c r="D113" s="313">
        <v>0</v>
      </c>
      <c r="E113" s="313">
        <v>0</v>
      </c>
      <c r="F113" s="313">
        <v>0</v>
      </c>
      <c r="G113" s="314">
        <v>11.6</v>
      </c>
      <c r="H113" s="313">
        <v>12.200000000000001</v>
      </c>
      <c r="I113" s="313">
        <v>0</v>
      </c>
      <c r="J113" s="313">
        <v>0</v>
      </c>
      <c r="K113" s="313">
        <v>0</v>
      </c>
      <c r="L113" s="313">
        <v>0</v>
      </c>
      <c r="M113" s="314">
        <v>12.200000000000001</v>
      </c>
      <c r="N113" s="315">
        <v>5.1724137931034607E-2</v>
      </c>
      <c r="O113" s="78" t="s">
        <v>1536</v>
      </c>
      <c r="P113" s="333" t="s">
        <v>1537</v>
      </c>
    </row>
    <row r="114" spans="1:16" ht="32.450000000000003">
      <c r="A114" s="607" t="s">
        <v>1538</v>
      </c>
      <c r="B114" s="168">
        <v>11.6</v>
      </c>
      <c r="C114" s="168">
        <v>0</v>
      </c>
      <c r="D114" s="168">
        <v>0</v>
      </c>
      <c r="E114" s="168">
        <v>0</v>
      </c>
      <c r="F114" s="168">
        <v>0</v>
      </c>
      <c r="G114" s="168">
        <v>11.6</v>
      </c>
      <c r="H114" s="168">
        <v>12.200000000000001</v>
      </c>
      <c r="I114" s="168">
        <v>0</v>
      </c>
      <c r="J114" s="168">
        <v>0</v>
      </c>
      <c r="K114" s="168">
        <v>0</v>
      </c>
      <c r="L114" s="168">
        <v>0</v>
      </c>
      <c r="M114" s="168">
        <v>12.200000000000001</v>
      </c>
      <c r="N114" s="425">
        <v>5.1724137931034607E-2</v>
      </c>
      <c r="O114" s="863"/>
      <c r="P114" s="864"/>
    </row>
    <row r="115" spans="1:16" ht="16.149999999999999">
      <c r="A115" s="856"/>
      <c r="B115" s="515"/>
      <c r="C115" s="515"/>
      <c r="D115" s="515"/>
      <c r="E115" s="515"/>
      <c r="F115" s="515"/>
      <c r="G115" s="515"/>
      <c r="H115" s="515"/>
      <c r="I115" s="515"/>
      <c r="J115" s="515"/>
      <c r="K115" s="515"/>
      <c r="L115" s="515"/>
      <c r="M115" s="515"/>
      <c r="N115" s="868"/>
      <c r="O115" s="793"/>
      <c r="P115" s="793"/>
    </row>
    <row r="116" spans="1:16" ht="16.149999999999999" customHeight="1">
      <c r="A116" s="615" t="s">
        <v>1539</v>
      </c>
      <c r="B116" s="208"/>
      <c r="C116" s="208"/>
      <c r="D116" s="208"/>
      <c r="E116" s="208"/>
      <c r="F116" s="208"/>
      <c r="G116" s="208"/>
      <c r="H116" s="208"/>
      <c r="I116" s="208"/>
      <c r="J116" s="208"/>
      <c r="K116" s="208"/>
      <c r="L116" s="208"/>
      <c r="M116" s="208"/>
      <c r="N116" s="429"/>
      <c r="O116" s="693"/>
      <c r="P116" s="693"/>
    </row>
    <row r="117" spans="1:16" ht="48.6">
      <c r="A117" s="778" t="s">
        <v>1540</v>
      </c>
      <c r="B117" s="313">
        <v>0.88700000000000001</v>
      </c>
      <c r="C117" s="313">
        <v>0</v>
      </c>
      <c r="D117" s="313">
        <v>0</v>
      </c>
      <c r="E117" s="313">
        <v>0</v>
      </c>
      <c r="F117" s="313">
        <v>0</v>
      </c>
      <c r="G117" s="314">
        <v>0.88700000000000001</v>
      </c>
      <c r="H117" s="313">
        <v>0.6</v>
      </c>
      <c r="I117" s="313">
        <v>0</v>
      </c>
      <c r="J117" s="313">
        <v>0</v>
      </c>
      <c r="K117" s="313">
        <v>0</v>
      </c>
      <c r="L117" s="313">
        <v>0</v>
      </c>
      <c r="M117" s="314">
        <v>0.6</v>
      </c>
      <c r="N117" s="315">
        <v>-0.3235625704622323</v>
      </c>
      <c r="O117" s="78" t="s">
        <v>1541</v>
      </c>
      <c r="P117" s="333" t="s">
        <v>95</v>
      </c>
    </row>
    <row r="118" spans="1:16" ht="81">
      <c r="A118" s="781" t="s">
        <v>1542</v>
      </c>
      <c r="B118" s="506">
        <v>0.6</v>
      </c>
      <c r="C118" s="506">
        <v>0</v>
      </c>
      <c r="D118" s="506">
        <v>0</v>
      </c>
      <c r="E118" s="506">
        <v>0</v>
      </c>
      <c r="F118" s="506">
        <v>0</v>
      </c>
      <c r="G118" s="507">
        <v>0.6</v>
      </c>
      <c r="H118" s="313">
        <v>0.6</v>
      </c>
      <c r="I118" s="313">
        <v>0</v>
      </c>
      <c r="J118" s="313">
        <v>0</v>
      </c>
      <c r="K118" s="313">
        <v>0</v>
      </c>
      <c r="L118" s="313">
        <v>0</v>
      </c>
      <c r="M118" s="507">
        <v>0.6</v>
      </c>
      <c r="N118" s="315">
        <v>0</v>
      </c>
      <c r="O118" s="234" t="s">
        <v>1543</v>
      </c>
      <c r="P118" s="233" t="s">
        <v>65</v>
      </c>
    </row>
    <row r="119" spans="1:16" ht="32.450000000000003">
      <c r="A119" s="616" t="s">
        <v>1544</v>
      </c>
      <c r="B119" s="168">
        <v>1.4870000000000001</v>
      </c>
      <c r="C119" s="168">
        <v>0</v>
      </c>
      <c r="D119" s="168">
        <v>0</v>
      </c>
      <c r="E119" s="168">
        <v>0</v>
      </c>
      <c r="F119" s="168">
        <v>0</v>
      </c>
      <c r="G119" s="168">
        <v>1.4870000000000001</v>
      </c>
      <c r="H119" s="168">
        <v>1.2</v>
      </c>
      <c r="I119" s="168">
        <v>0</v>
      </c>
      <c r="J119" s="168">
        <v>0</v>
      </c>
      <c r="K119" s="168">
        <v>0</v>
      </c>
      <c r="L119" s="168">
        <v>0</v>
      </c>
      <c r="M119" s="168">
        <v>1.2</v>
      </c>
      <c r="N119" s="425">
        <v>-0.19300605245460667</v>
      </c>
      <c r="O119" s="696"/>
      <c r="P119" s="697"/>
    </row>
    <row r="120" spans="1:16" ht="16.149999999999999">
      <c r="A120" s="856"/>
      <c r="B120" s="535"/>
      <c r="C120" s="535"/>
      <c r="D120" s="535"/>
      <c r="E120" s="535"/>
      <c r="F120" s="535"/>
      <c r="G120" s="535"/>
      <c r="H120" s="535"/>
      <c r="I120" s="535"/>
      <c r="J120" s="535"/>
      <c r="K120" s="535"/>
      <c r="L120" s="535"/>
      <c r="M120" s="535"/>
      <c r="N120" s="866"/>
      <c r="O120" s="888"/>
      <c r="P120" s="793"/>
    </row>
    <row r="121" spans="1:16" ht="16.149999999999999">
      <c r="A121" s="592" t="s">
        <v>1545</v>
      </c>
      <c r="B121" s="208"/>
      <c r="C121" s="208"/>
      <c r="D121" s="208"/>
      <c r="E121" s="208"/>
      <c r="F121" s="208"/>
      <c r="G121" s="208"/>
      <c r="H121" s="208"/>
      <c r="I121" s="208"/>
      <c r="J121" s="208"/>
      <c r="K121" s="208"/>
      <c r="L121" s="208"/>
      <c r="M121" s="208"/>
      <c r="N121" s="429"/>
      <c r="O121" s="693"/>
      <c r="P121" s="693"/>
    </row>
    <row r="122" spans="1:16" ht="113.45">
      <c r="A122" s="778" t="s">
        <v>1545</v>
      </c>
      <c r="B122" s="313">
        <v>4.9249999999999998</v>
      </c>
      <c r="C122" s="313">
        <v>0</v>
      </c>
      <c r="D122" s="313">
        <v>0</v>
      </c>
      <c r="E122" s="313">
        <v>0</v>
      </c>
      <c r="F122" s="313">
        <v>0</v>
      </c>
      <c r="G122" s="314">
        <v>4.9249999999999998</v>
      </c>
      <c r="H122" s="313">
        <v>4.8</v>
      </c>
      <c r="I122" s="313">
        <v>0</v>
      </c>
      <c r="J122" s="313">
        <v>0</v>
      </c>
      <c r="K122" s="313">
        <v>0</v>
      </c>
      <c r="L122" s="313">
        <v>0</v>
      </c>
      <c r="M122" s="314">
        <v>4.8</v>
      </c>
      <c r="N122" s="315">
        <v>-2.5380710659898477E-2</v>
      </c>
      <c r="O122" s="78" t="s">
        <v>1546</v>
      </c>
      <c r="P122" s="333" t="s">
        <v>95</v>
      </c>
    </row>
    <row r="123" spans="1:16" ht="16.149999999999999">
      <c r="A123" s="607" t="s">
        <v>1547</v>
      </c>
      <c r="B123" s="168">
        <v>4.9249999999999998</v>
      </c>
      <c r="C123" s="168">
        <v>0</v>
      </c>
      <c r="D123" s="168">
        <v>0</v>
      </c>
      <c r="E123" s="168">
        <v>0</v>
      </c>
      <c r="F123" s="168">
        <v>0</v>
      </c>
      <c r="G123" s="168">
        <v>4.9249999999999998</v>
      </c>
      <c r="H123" s="168">
        <v>4.8</v>
      </c>
      <c r="I123" s="168">
        <v>0</v>
      </c>
      <c r="J123" s="168">
        <v>0</v>
      </c>
      <c r="K123" s="168">
        <v>0</v>
      </c>
      <c r="L123" s="168">
        <v>0</v>
      </c>
      <c r="M123" s="168">
        <v>4.8</v>
      </c>
      <c r="N123" s="425">
        <v>-2.5380710659898477E-2</v>
      </c>
      <c r="O123" s="696"/>
      <c r="P123" s="697"/>
    </row>
    <row r="124" spans="1:16" ht="16.149999999999999">
      <c r="A124" s="887"/>
      <c r="B124" s="515"/>
      <c r="C124" s="515"/>
      <c r="D124" s="515"/>
      <c r="E124" s="515"/>
      <c r="F124" s="515"/>
      <c r="G124" s="515"/>
      <c r="H124" s="515"/>
      <c r="I124" s="515"/>
      <c r="J124" s="515"/>
      <c r="K124" s="515"/>
      <c r="L124" s="515"/>
      <c r="M124" s="515"/>
      <c r="N124" s="884"/>
      <c r="O124" s="793"/>
      <c r="P124" s="793"/>
    </row>
    <row r="125" spans="1:16" ht="16.149999999999999">
      <c r="A125" s="889" t="s">
        <v>1548</v>
      </c>
      <c r="B125" s="532">
        <v>58.354000000000006</v>
      </c>
      <c r="C125" s="532">
        <v>6.5000000000000002E-2</v>
      </c>
      <c r="D125" s="532">
        <v>0</v>
      </c>
      <c r="E125" s="532">
        <v>0</v>
      </c>
      <c r="F125" s="532">
        <v>0</v>
      </c>
      <c r="G125" s="532">
        <v>58.419000000000004</v>
      </c>
      <c r="H125" s="532">
        <v>59.2</v>
      </c>
      <c r="I125" s="532">
        <v>6.5000000000000002E-2</v>
      </c>
      <c r="J125" s="532">
        <v>0</v>
      </c>
      <c r="K125" s="532">
        <v>0</v>
      </c>
      <c r="L125" s="532">
        <v>0</v>
      </c>
      <c r="M125" s="532">
        <v>59.265000000000001</v>
      </c>
      <c r="N125" s="320">
        <v>1.4481589893698908E-2</v>
      </c>
      <c r="O125" s="542"/>
      <c r="P125" s="543"/>
    </row>
    <row r="126" spans="1:16" ht="16.149999999999999">
      <c r="A126" s="155"/>
      <c r="B126" s="836"/>
      <c r="C126" s="836"/>
      <c r="D126" s="836"/>
      <c r="E126" s="836"/>
      <c r="F126" s="836"/>
      <c r="G126" s="837"/>
      <c r="H126" s="837"/>
      <c r="I126" s="837"/>
      <c r="J126" s="837"/>
      <c r="K126" s="837"/>
      <c r="L126" s="837"/>
      <c r="M126" s="837"/>
      <c r="N126" s="890"/>
      <c r="O126" s="891"/>
      <c r="P126" s="892"/>
    </row>
    <row r="127" spans="1:16" ht="16.149999999999999">
      <c r="A127" s="536" t="s">
        <v>1549</v>
      </c>
      <c r="B127" s="497"/>
      <c r="C127" s="497"/>
      <c r="D127" s="497"/>
      <c r="E127" s="497"/>
      <c r="F127" s="497"/>
      <c r="G127" s="497"/>
      <c r="H127" s="497"/>
      <c r="I127" s="497"/>
      <c r="J127" s="497"/>
      <c r="K127" s="497"/>
      <c r="L127" s="497"/>
      <c r="M127" s="497"/>
      <c r="N127" s="537"/>
      <c r="O127" s="538"/>
      <c r="P127" s="538"/>
    </row>
    <row r="128" spans="1:16" ht="16.149999999999999">
      <c r="A128" s="155"/>
      <c r="B128" s="836"/>
      <c r="C128" s="836"/>
      <c r="D128" s="836"/>
      <c r="E128" s="836"/>
      <c r="F128" s="836"/>
      <c r="G128" s="837"/>
      <c r="H128" s="837"/>
      <c r="I128" s="837"/>
      <c r="J128" s="837"/>
      <c r="K128" s="837"/>
      <c r="L128" s="837"/>
      <c r="M128" s="837"/>
      <c r="N128" s="890"/>
      <c r="O128" s="891"/>
      <c r="P128" s="892"/>
    </row>
    <row r="129" spans="1:16" ht="16.149999999999999">
      <c r="A129" s="592" t="s">
        <v>1550</v>
      </c>
      <c r="B129" s="208"/>
      <c r="C129" s="208"/>
      <c r="D129" s="208"/>
      <c r="E129" s="208"/>
      <c r="F129" s="208"/>
      <c r="G129" s="208"/>
      <c r="H129" s="208"/>
      <c r="I129" s="208"/>
      <c r="J129" s="208"/>
      <c r="K129" s="208"/>
      <c r="L129" s="208"/>
      <c r="M129" s="208"/>
      <c r="N129" s="429"/>
      <c r="O129" s="693"/>
      <c r="P129" s="693"/>
    </row>
    <row r="130" spans="1:16" ht="129.6">
      <c r="A130" s="778" t="s">
        <v>1551</v>
      </c>
      <c r="B130" s="313">
        <v>2</v>
      </c>
      <c r="C130" s="313">
        <v>0</v>
      </c>
      <c r="D130" s="313">
        <v>0</v>
      </c>
      <c r="E130" s="313">
        <v>0</v>
      </c>
      <c r="F130" s="313">
        <v>0</v>
      </c>
      <c r="G130" s="314">
        <v>2</v>
      </c>
      <c r="H130" s="313">
        <v>0</v>
      </c>
      <c r="I130" s="313">
        <v>0</v>
      </c>
      <c r="J130" s="313">
        <v>0</v>
      </c>
      <c r="K130" s="313">
        <v>0</v>
      </c>
      <c r="L130" s="313">
        <v>0</v>
      </c>
      <c r="M130" s="314">
        <v>0</v>
      </c>
      <c r="N130" s="315">
        <v>-1</v>
      </c>
      <c r="O130" s="78" t="s">
        <v>1552</v>
      </c>
      <c r="P130" s="333" t="s">
        <v>1553</v>
      </c>
    </row>
    <row r="131" spans="1:16" ht="31.15" customHeight="1">
      <c r="A131" s="781" t="s">
        <v>1554</v>
      </c>
      <c r="B131" s="506">
        <v>0</v>
      </c>
      <c r="C131" s="506">
        <v>0</v>
      </c>
      <c r="D131" s="506">
        <v>3.2</v>
      </c>
      <c r="E131" s="506">
        <v>0</v>
      </c>
      <c r="F131" s="506">
        <v>0</v>
      </c>
      <c r="G131" s="507">
        <v>3.2</v>
      </c>
      <c r="H131" s="313">
        <v>0</v>
      </c>
      <c r="I131" s="313">
        <v>0</v>
      </c>
      <c r="J131" s="313">
        <v>0</v>
      </c>
      <c r="K131" s="313">
        <v>0</v>
      </c>
      <c r="L131" s="313">
        <v>0</v>
      </c>
      <c r="M131" s="507">
        <v>0</v>
      </c>
      <c r="N131" s="315">
        <v>-1</v>
      </c>
      <c r="O131" s="234" t="s">
        <v>1555</v>
      </c>
      <c r="P131" s="233" t="s">
        <v>1553</v>
      </c>
    </row>
    <row r="132" spans="1:16" ht="16.149999999999999">
      <c r="A132" s="607" t="s">
        <v>1556</v>
      </c>
      <c r="B132" s="168">
        <v>2</v>
      </c>
      <c r="C132" s="168">
        <v>0</v>
      </c>
      <c r="D132" s="168">
        <v>3.2</v>
      </c>
      <c r="E132" s="168">
        <v>0</v>
      </c>
      <c r="F132" s="168">
        <v>0</v>
      </c>
      <c r="G132" s="168">
        <v>5.2</v>
      </c>
      <c r="H132" s="168">
        <v>0</v>
      </c>
      <c r="I132" s="168">
        <v>0</v>
      </c>
      <c r="J132" s="168">
        <v>0</v>
      </c>
      <c r="K132" s="168">
        <v>0</v>
      </c>
      <c r="L132" s="168">
        <v>0</v>
      </c>
      <c r="M132" s="168">
        <v>0</v>
      </c>
      <c r="N132" s="425">
        <v>-1</v>
      </c>
      <c r="O132" s="696"/>
      <c r="P132" s="697"/>
    </row>
    <row r="133" spans="1:16" ht="16.149999999999999">
      <c r="A133" s="856"/>
      <c r="B133" s="893"/>
      <c r="C133" s="893"/>
      <c r="D133" s="893"/>
      <c r="E133" s="893"/>
      <c r="F133" s="893"/>
      <c r="G133" s="893"/>
      <c r="H133" s="893"/>
      <c r="I133" s="893"/>
      <c r="J133" s="893"/>
      <c r="K133" s="893"/>
      <c r="L133" s="893"/>
      <c r="M133" s="893"/>
      <c r="N133" s="868"/>
      <c r="O133" s="793"/>
      <c r="P133" s="793"/>
    </row>
    <row r="134" spans="1:16" ht="16.149999999999999">
      <c r="A134" s="592" t="s">
        <v>1557</v>
      </c>
      <c r="B134" s="208"/>
      <c r="C134" s="208"/>
      <c r="D134" s="208"/>
      <c r="E134" s="208"/>
      <c r="F134" s="208"/>
      <c r="G134" s="208"/>
      <c r="H134" s="208"/>
      <c r="I134" s="208"/>
      <c r="J134" s="208"/>
      <c r="K134" s="208"/>
      <c r="L134" s="208"/>
      <c r="M134" s="208"/>
      <c r="N134" s="429"/>
      <c r="O134" s="693"/>
      <c r="P134" s="693"/>
    </row>
    <row r="135" spans="1:16" ht="48.6">
      <c r="A135" s="778" t="s">
        <v>1557</v>
      </c>
      <c r="B135" s="313">
        <v>0</v>
      </c>
      <c r="C135" s="313">
        <v>0</v>
      </c>
      <c r="D135" s="313">
        <v>1</v>
      </c>
      <c r="E135" s="313">
        <v>0</v>
      </c>
      <c r="F135" s="313">
        <v>0</v>
      </c>
      <c r="G135" s="314">
        <v>1</v>
      </c>
      <c r="H135" s="313">
        <v>0</v>
      </c>
      <c r="I135" s="313">
        <v>0</v>
      </c>
      <c r="J135" s="313">
        <v>0.5</v>
      </c>
      <c r="K135" s="313">
        <v>0</v>
      </c>
      <c r="L135" s="313">
        <v>0</v>
      </c>
      <c r="M135" s="314">
        <v>0.5</v>
      </c>
      <c r="N135" s="315">
        <v>-0.5</v>
      </c>
      <c r="O135" s="78" t="s">
        <v>1558</v>
      </c>
      <c r="P135" s="333" t="s">
        <v>1559</v>
      </c>
    </row>
    <row r="136" spans="1:16" ht="32.450000000000003">
      <c r="A136" s="607" t="s">
        <v>1560</v>
      </c>
      <c r="B136" s="168">
        <v>0</v>
      </c>
      <c r="C136" s="168">
        <v>0</v>
      </c>
      <c r="D136" s="168">
        <v>1</v>
      </c>
      <c r="E136" s="168">
        <v>0</v>
      </c>
      <c r="F136" s="168">
        <v>0</v>
      </c>
      <c r="G136" s="168">
        <v>1</v>
      </c>
      <c r="H136" s="168">
        <v>0</v>
      </c>
      <c r="I136" s="168">
        <v>0</v>
      </c>
      <c r="J136" s="168">
        <v>0.5</v>
      </c>
      <c r="K136" s="168">
        <v>0</v>
      </c>
      <c r="L136" s="168">
        <v>0</v>
      </c>
      <c r="M136" s="168">
        <v>0.5</v>
      </c>
      <c r="N136" s="425">
        <v>-0.5</v>
      </c>
      <c r="O136" s="696"/>
      <c r="P136" s="697"/>
    </row>
    <row r="137" spans="1:16" ht="16.149999999999999">
      <c r="A137" s="856"/>
      <c r="B137" s="893"/>
      <c r="C137" s="893"/>
      <c r="D137" s="893"/>
      <c r="E137" s="893"/>
      <c r="F137" s="893"/>
      <c r="G137" s="893"/>
      <c r="H137" s="893"/>
      <c r="I137" s="893"/>
      <c r="J137" s="893"/>
      <c r="K137" s="893"/>
      <c r="L137" s="893"/>
      <c r="M137" s="893"/>
      <c r="N137" s="793"/>
      <c r="O137" s="793"/>
      <c r="P137" s="793"/>
    </row>
    <row r="138" spans="1:16" ht="16.149999999999999">
      <c r="A138" s="592" t="s">
        <v>1561</v>
      </c>
      <c r="B138" s="208"/>
      <c r="C138" s="208"/>
      <c r="D138" s="208"/>
      <c r="E138" s="208"/>
      <c r="F138" s="208"/>
      <c r="G138" s="208"/>
      <c r="H138" s="208"/>
      <c r="I138" s="208"/>
      <c r="J138" s="208"/>
      <c r="K138" s="208"/>
      <c r="L138" s="208"/>
      <c r="M138" s="208"/>
      <c r="N138" s="429"/>
      <c r="O138" s="693"/>
      <c r="P138" s="693"/>
    </row>
    <row r="139" spans="1:16" ht="64.900000000000006">
      <c r="A139" s="778" t="s">
        <v>1561</v>
      </c>
      <c r="B139" s="313">
        <v>4.5</v>
      </c>
      <c r="C139" s="313">
        <v>0</v>
      </c>
      <c r="D139" s="313">
        <v>10</v>
      </c>
      <c r="E139" s="313">
        <v>0</v>
      </c>
      <c r="F139" s="313">
        <v>0</v>
      </c>
      <c r="G139" s="314">
        <v>14.5</v>
      </c>
      <c r="H139" s="313">
        <v>6.5</v>
      </c>
      <c r="I139" s="313">
        <v>0</v>
      </c>
      <c r="J139" s="313">
        <v>8</v>
      </c>
      <c r="K139" s="313">
        <v>0</v>
      </c>
      <c r="L139" s="313">
        <v>0</v>
      </c>
      <c r="M139" s="314">
        <v>14.5</v>
      </c>
      <c r="N139" s="315">
        <v>0</v>
      </c>
      <c r="O139" s="78" t="s">
        <v>1562</v>
      </c>
      <c r="P139" s="333" t="s">
        <v>1563</v>
      </c>
    </row>
    <row r="140" spans="1:16" ht="16.149999999999999">
      <c r="A140" s="607" t="s">
        <v>1564</v>
      </c>
      <c r="B140" s="168">
        <v>4.5</v>
      </c>
      <c r="C140" s="168">
        <v>0</v>
      </c>
      <c r="D140" s="168">
        <v>10</v>
      </c>
      <c r="E140" s="168">
        <v>0</v>
      </c>
      <c r="F140" s="168">
        <v>0</v>
      </c>
      <c r="G140" s="168">
        <v>14.5</v>
      </c>
      <c r="H140" s="168">
        <v>6.5</v>
      </c>
      <c r="I140" s="168">
        <v>0</v>
      </c>
      <c r="J140" s="168">
        <v>8</v>
      </c>
      <c r="K140" s="168">
        <v>0</v>
      </c>
      <c r="L140" s="168">
        <v>0</v>
      </c>
      <c r="M140" s="168">
        <v>14.5</v>
      </c>
      <c r="N140" s="425">
        <v>0</v>
      </c>
      <c r="O140" s="696"/>
      <c r="P140" s="697"/>
    </row>
    <row r="141" spans="1:16" ht="16.149999999999999">
      <c r="A141" s="155"/>
      <c r="B141" s="836"/>
      <c r="C141" s="836"/>
      <c r="D141" s="836"/>
      <c r="E141" s="836"/>
      <c r="F141" s="836"/>
      <c r="G141" s="837"/>
      <c r="H141" s="837"/>
      <c r="I141" s="837"/>
      <c r="J141" s="837"/>
      <c r="K141" s="837"/>
      <c r="L141" s="837"/>
      <c r="M141" s="837"/>
      <c r="N141" s="890"/>
      <c r="O141" s="891"/>
      <c r="P141" s="892"/>
    </row>
    <row r="142" spans="1:16" ht="16.149999999999999">
      <c r="A142" s="592" t="s">
        <v>1565</v>
      </c>
      <c r="B142" s="208"/>
      <c r="C142" s="208"/>
      <c r="D142" s="208"/>
      <c r="E142" s="208"/>
      <c r="F142" s="208"/>
      <c r="G142" s="208"/>
      <c r="H142" s="208"/>
      <c r="I142" s="208"/>
      <c r="J142" s="208"/>
      <c r="K142" s="208"/>
      <c r="L142" s="208"/>
      <c r="M142" s="208"/>
      <c r="N142" s="429"/>
      <c r="O142" s="693"/>
      <c r="P142" s="693"/>
    </row>
    <row r="143" spans="1:16" ht="64.900000000000006">
      <c r="A143" s="778" t="s">
        <v>1565</v>
      </c>
      <c r="B143" s="313">
        <v>-1.5</v>
      </c>
      <c r="C143" s="313">
        <v>0</v>
      </c>
      <c r="D143" s="313">
        <v>-2.1</v>
      </c>
      <c r="E143" s="313">
        <v>0</v>
      </c>
      <c r="F143" s="313">
        <v>0</v>
      </c>
      <c r="G143" s="314">
        <v>-3.6</v>
      </c>
      <c r="H143" s="313">
        <v>0</v>
      </c>
      <c r="I143" s="313">
        <v>0</v>
      </c>
      <c r="J143" s="313">
        <v>0</v>
      </c>
      <c r="K143" s="313">
        <v>0</v>
      </c>
      <c r="L143" s="313">
        <v>0</v>
      </c>
      <c r="M143" s="314">
        <v>0</v>
      </c>
      <c r="N143" s="315">
        <v>-1</v>
      </c>
      <c r="O143" s="78" t="s">
        <v>1566</v>
      </c>
      <c r="P143" s="333" t="s">
        <v>1567</v>
      </c>
    </row>
    <row r="144" spans="1:16" ht="16.149999999999999">
      <c r="A144" s="607" t="s">
        <v>1568</v>
      </c>
      <c r="B144" s="168">
        <v>-1.5</v>
      </c>
      <c r="C144" s="168">
        <v>0</v>
      </c>
      <c r="D144" s="168">
        <v>-2.1</v>
      </c>
      <c r="E144" s="168">
        <v>0</v>
      </c>
      <c r="F144" s="168">
        <v>0</v>
      </c>
      <c r="G144" s="168">
        <v>-3.6</v>
      </c>
      <c r="H144" s="168">
        <v>0</v>
      </c>
      <c r="I144" s="168">
        <v>0</v>
      </c>
      <c r="J144" s="168">
        <v>0</v>
      </c>
      <c r="K144" s="168">
        <v>0</v>
      </c>
      <c r="L144" s="168">
        <v>0</v>
      </c>
      <c r="M144" s="168">
        <v>0</v>
      </c>
      <c r="N144" s="425">
        <v>-1</v>
      </c>
      <c r="O144" s="696"/>
      <c r="P144" s="697"/>
    </row>
    <row r="145" spans="1:16" ht="16.149999999999999">
      <c r="A145" s="856"/>
      <c r="B145" s="894"/>
      <c r="C145" s="894"/>
      <c r="D145" s="894"/>
      <c r="E145" s="894"/>
      <c r="F145" s="894"/>
      <c r="G145" s="893"/>
      <c r="H145" s="893"/>
      <c r="I145" s="893"/>
      <c r="J145" s="893"/>
      <c r="K145" s="893"/>
      <c r="L145" s="893"/>
      <c r="M145" s="893"/>
      <c r="N145" s="895"/>
      <c r="O145" s="793"/>
      <c r="P145" s="793"/>
    </row>
    <row r="146" spans="1:16" ht="32.1" customHeight="1">
      <c r="A146" s="896" t="s">
        <v>1569</v>
      </c>
      <c r="B146" s="897">
        <v>5</v>
      </c>
      <c r="C146" s="897">
        <v>0</v>
      </c>
      <c r="D146" s="897">
        <v>12.1</v>
      </c>
      <c r="E146" s="897">
        <v>0</v>
      </c>
      <c r="F146" s="897">
        <v>0</v>
      </c>
      <c r="G146" s="897">
        <v>17.100000000000001</v>
      </c>
      <c r="H146" s="897">
        <v>6.5</v>
      </c>
      <c r="I146" s="897">
        <v>0</v>
      </c>
      <c r="J146" s="897">
        <v>8.5</v>
      </c>
      <c r="K146" s="897">
        <v>0</v>
      </c>
      <c r="L146" s="897">
        <v>0</v>
      </c>
      <c r="M146" s="897">
        <v>15</v>
      </c>
      <c r="N146" s="320">
        <v>-0.12280701754385973</v>
      </c>
      <c r="O146" s="898"/>
      <c r="P146" s="899"/>
    </row>
    <row r="148" spans="1:16" ht="16.149999999999999">
      <c r="A148" s="496" t="s">
        <v>1570</v>
      </c>
      <c r="B148" s="497"/>
      <c r="C148" s="497"/>
      <c r="D148" s="497"/>
      <c r="E148" s="497"/>
      <c r="F148" s="497"/>
      <c r="G148" s="497"/>
      <c r="H148" s="497"/>
      <c r="I148" s="497"/>
      <c r="J148" s="497"/>
      <c r="K148" s="497"/>
      <c r="L148" s="497"/>
      <c r="M148" s="497"/>
      <c r="N148" s="498"/>
      <c r="O148" s="499"/>
      <c r="P148" s="499"/>
    </row>
    <row r="149" spans="1:16" ht="210.6">
      <c r="A149" s="900" t="s">
        <v>1570</v>
      </c>
      <c r="B149" s="313">
        <v>69.096000000000004</v>
      </c>
      <c r="C149" s="313">
        <v>5.726</v>
      </c>
      <c r="D149" s="313">
        <v>8</v>
      </c>
      <c r="E149" s="313">
        <v>0</v>
      </c>
      <c r="F149" s="313">
        <v>0</v>
      </c>
      <c r="G149" s="314">
        <v>82.822000000000003</v>
      </c>
      <c r="H149" s="313">
        <v>64.55</v>
      </c>
      <c r="I149" s="313">
        <v>6.149</v>
      </c>
      <c r="J149" s="313">
        <v>7.3</v>
      </c>
      <c r="K149" s="313">
        <v>0</v>
      </c>
      <c r="L149" s="313">
        <v>0</v>
      </c>
      <c r="M149" s="314">
        <v>77.998999999999995</v>
      </c>
      <c r="N149" s="315">
        <v>-5.8233319649368613E-2</v>
      </c>
      <c r="O149" s="505" t="s">
        <v>1571</v>
      </c>
      <c r="P149" s="317" t="s">
        <v>1572</v>
      </c>
    </row>
    <row r="150" spans="1:16" ht="16.149999999999999">
      <c r="A150" s="901" t="s">
        <v>1573</v>
      </c>
      <c r="B150" s="897">
        <v>69.096000000000004</v>
      </c>
      <c r="C150" s="897">
        <v>5.726</v>
      </c>
      <c r="D150" s="897">
        <v>8</v>
      </c>
      <c r="E150" s="897">
        <v>0</v>
      </c>
      <c r="F150" s="897">
        <v>0</v>
      </c>
      <c r="G150" s="897">
        <v>82.822000000000003</v>
      </c>
      <c r="H150" s="897">
        <v>64.55</v>
      </c>
      <c r="I150" s="897">
        <v>6.149</v>
      </c>
      <c r="J150" s="897">
        <v>7.3</v>
      </c>
      <c r="K150" s="897">
        <v>0</v>
      </c>
      <c r="L150" s="897">
        <v>0</v>
      </c>
      <c r="M150" s="897">
        <v>77.998999999999995</v>
      </c>
      <c r="N150" s="320">
        <v>-5.8233319649368613E-2</v>
      </c>
      <c r="O150" s="533"/>
      <c r="P150" s="534"/>
    </row>
    <row r="151" spans="1:16" ht="16.149999999999999">
      <c r="A151" s="902"/>
      <c r="B151" s="903"/>
      <c r="C151" s="903"/>
      <c r="D151" s="903"/>
      <c r="E151" s="903"/>
      <c r="F151" s="903"/>
      <c r="G151" s="904"/>
      <c r="H151" s="904"/>
      <c r="I151" s="904"/>
      <c r="J151" s="904"/>
      <c r="K151" s="904"/>
      <c r="L151" s="904"/>
      <c r="M151" s="904"/>
      <c r="N151" s="905"/>
      <c r="O151" s="906"/>
      <c r="P151" s="524"/>
    </row>
    <row r="152" spans="1:16" ht="16.149999999999999">
      <c r="A152" s="907" t="s">
        <v>1574</v>
      </c>
      <c r="B152" s="213"/>
      <c r="C152" s="213"/>
      <c r="D152" s="213"/>
      <c r="E152" s="213"/>
      <c r="F152" s="213"/>
      <c r="G152" s="213"/>
      <c r="H152" s="213"/>
      <c r="I152" s="213"/>
      <c r="J152" s="213"/>
      <c r="K152" s="213"/>
      <c r="L152" s="213"/>
      <c r="M152" s="213"/>
      <c r="N152" s="322"/>
      <c r="O152" s="323"/>
      <c r="P152" s="323"/>
    </row>
    <row r="153" spans="1:16" ht="45" customHeight="1">
      <c r="A153" s="328" t="s">
        <v>1575</v>
      </c>
      <c r="B153" s="779">
        <v>2</v>
      </c>
      <c r="C153" s="779">
        <v>0</v>
      </c>
      <c r="D153" s="779">
        <v>1</v>
      </c>
      <c r="E153" s="779">
        <v>0</v>
      </c>
      <c r="F153" s="779">
        <v>0</v>
      </c>
      <c r="G153" s="780">
        <v>3</v>
      </c>
      <c r="H153" s="313">
        <v>0.9</v>
      </c>
      <c r="I153" s="313">
        <v>0</v>
      </c>
      <c r="J153" s="313">
        <v>1.3</v>
      </c>
      <c r="K153" s="313">
        <v>0</v>
      </c>
      <c r="L153" s="313">
        <v>0</v>
      </c>
      <c r="M153" s="780">
        <v>2.2000000000000002</v>
      </c>
      <c r="N153" s="315">
        <v>-0.26666666666666661</v>
      </c>
      <c r="O153" s="332" t="s">
        <v>1576</v>
      </c>
      <c r="P153" s="333" t="s">
        <v>1577</v>
      </c>
    </row>
    <row r="154" spans="1:16" ht="45" customHeight="1">
      <c r="A154" s="328" t="s">
        <v>1578</v>
      </c>
      <c r="B154" s="779">
        <v>0</v>
      </c>
      <c r="C154" s="779">
        <v>0</v>
      </c>
      <c r="D154" s="779">
        <v>0</v>
      </c>
      <c r="E154" s="779">
        <v>0</v>
      </c>
      <c r="F154" s="779">
        <v>0</v>
      </c>
      <c r="G154" s="780">
        <v>0</v>
      </c>
      <c r="H154" s="313">
        <v>0</v>
      </c>
      <c r="I154" s="313">
        <v>0</v>
      </c>
      <c r="J154" s="313">
        <v>0</v>
      </c>
      <c r="K154" s="313">
        <v>0</v>
      </c>
      <c r="L154" s="313">
        <v>0</v>
      </c>
      <c r="M154" s="780">
        <v>0</v>
      </c>
      <c r="N154" s="315" t="s">
        <v>204</v>
      </c>
      <c r="O154" s="332" t="s">
        <v>1579</v>
      </c>
      <c r="P154" s="333" t="s">
        <v>65</v>
      </c>
    </row>
    <row r="155" spans="1:16" ht="81">
      <c r="A155" s="328" t="s">
        <v>1580</v>
      </c>
      <c r="B155" s="779">
        <v>1.5</v>
      </c>
      <c r="C155" s="779">
        <v>0</v>
      </c>
      <c r="D155" s="779">
        <v>4</v>
      </c>
      <c r="E155" s="779">
        <v>0</v>
      </c>
      <c r="F155" s="779">
        <v>0</v>
      </c>
      <c r="G155" s="780">
        <v>5.5</v>
      </c>
      <c r="H155" s="313">
        <v>1.5</v>
      </c>
      <c r="I155" s="313">
        <v>0</v>
      </c>
      <c r="J155" s="313">
        <v>3</v>
      </c>
      <c r="K155" s="313">
        <v>0</v>
      </c>
      <c r="L155" s="313">
        <v>0</v>
      </c>
      <c r="M155" s="780">
        <v>4.5</v>
      </c>
      <c r="N155" s="315">
        <v>-0.18181818181818182</v>
      </c>
      <c r="O155" s="332" t="s">
        <v>1581</v>
      </c>
      <c r="P155" s="333" t="s">
        <v>1582</v>
      </c>
    </row>
    <row r="156" spans="1:16" ht="16.149999999999999">
      <c r="A156" s="908" t="s">
        <v>1583</v>
      </c>
      <c r="B156" s="319">
        <v>3.5</v>
      </c>
      <c r="C156" s="319">
        <v>0</v>
      </c>
      <c r="D156" s="319">
        <v>5</v>
      </c>
      <c r="E156" s="319">
        <v>0</v>
      </c>
      <c r="F156" s="319">
        <v>0</v>
      </c>
      <c r="G156" s="319">
        <v>8.5</v>
      </c>
      <c r="H156" s="319">
        <v>2.4</v>
      </c>
      <c r="I156" s="319">
        <v>0</v>
      </c>
      <c r="J156" s="319">
        <v>4.3</v>
      </c>
      <c r="K156" s="319">
        <v>0</v>
      </c>
      <c r="L156" s="319">
        <v>0</v>
      </c>
      <c r="M156" s="319">
        <v>6.7</v>
      </c>
      <c r="N156" s="320">
        <v>-0.21176470588235291</v>
      </c>
      <c r="O156" s="321"/>
      <c r="P156" s="344"/>
    </row>
    <row r="157" spans="1:16" ht="16.149999999999999">
      <c r="A157" s="902"/>
      <c r="B157" s="903"/>
      <c r="C157" s="903"/>
      <c r="D157" s="903"/>
      <c r="E157" s="903"/>
      <c r="F157" s="903"/>
      <c r="G157" s="904"/>
      <c r="H157" s="904"/>
      <c r="I157" s="904"/>
      <c r="J157" s="904"/>
      <c r="K157" s="904"/>
      <c r="L157" s="904"/>
      <c r="M157" s="904"/>
      <c r="N157" s="905"/>
      <c r="O157" s="906"/>
      <c r="P157" s="524"/>
    </row>
    <row r="158" spans="1:16" ht="16.149999999999999">
      <c r="A158" s="496" t="s">
        <v>1584</v>
      </c>
      <c r="B158" s="909"/>
      <c r="C158" s="909"/>
      <c r="D158" s="909"/>
      <c r="E158" s="909"/>
      <c r="F158" s="909"/>
      <c r="G158" s="909"/>
      <c r="H158" s="909"/>
      <c r="I158" s="909"/>
      <c r="J158" s="909"/>
      <c r="K158" s="909"/>
      <c r="L158" s="909"/>
      <c r="M158" s="909"/>
      <c r="N158" s="910"/>
      <c r="O158" s="238"/>
      <c r="P158" s="238"/>
    </row>
    <row r="159" spans="1:16" ht="113.45">
      <c r="A159" s="312" t="s">
        <v>1584</v>
      </c>
      <c r="B159" s="313">
        <v>6.2030000000000003</v>
      </c>
      <c r="C159" s="313">
        <v>0</v>
      </c>
      <c r="D159" s="313">
        <v>7.4</v>
      </c>
      <c r="E159" s="313">
        <v>0</v>
      </c>
      <c r="F159" s="313">
        <v>0</v>
      </c>
      <c r="G159" s="314">
        <v>13.603000000000002</v>
      </c>
      <c r="H159" s="313">
        <v>5</v>
      </c>
      <c r="I159" s="313">
        <v>0</v>
      </c>
      <c r="J159" s="313">
        <v>5</v>
      </c>
      <c r="K159" s="313">
        <v>0</v>
      </c>
      <c r="L159" s="313">
        <v>0</v>
      </c>
      <c r="M159" s="314">
        <v>10</v>
      </c>
      <c r="N159" s="315">
        <v>-0.2648680438138647</v>
      </c>
      <c r="O159" s="505" t="s">
        <v>1585</v>
      </c>
      <c r="P159" s="317" t="s">
        <v>1586</v>
      </c>
    </row>
    <row r="160" spans="1:16" ht="48.6">
      <c r="A160" s="518" t="s">
        <v>1587</v>
      </c>
      <c r="B160" s="313">
        <v>1.524</v>
      </c>
      <c r="C160" s="313">
        <v>0</v>
      </c>
      <c r="D160" s="313">
        <v>0</v>
      </c>
      <c r="E160" s="313">
        <v>0</v>
      </c>
      <c r="F160" s="313">
        <v>0</v>
      </c>
      <c r="G160" s="314">
        <v>1.524</v>
      </c>
      <c r="H160" s="313">
        <v>1.6</v>
      </c>
      <c r="I160" s="313">
        <v>0</v>
      </c>
      <c r="J160" s="313">
        <v>0</v>
      </c>
      <c r="K160" s="313">
        <v>0</v>
      </c>
      <c r="L160" s="313">
        <v>0</v>
      </c>
      <c r="M160" s="314">
        <v>1.6</v>
      </c>
      <c r="N160" s="315">
        <v>4.9868766404199516E-2</v>
      </c>
      <c r="O160" s="505" t="s">
        <v>1588</v>
      </c>
      <c r="P160" s="317" t="s">
        <v>95</v>
      </c>
    </row>
    <row r="161" spans="1:16" ht="16.149999999999999">
      <c r="A161" s="531" t="s">
        <v>1589</v>
      </c>
      <c r="B161" s="897">
        <v>7.7270000000000003</v>
      </c>
      <c r="C161" s="897">
        <v>0</v>
      </c>
      <c r="D161" s="897">
        <v>7.4</v>
      </c>
      <c r="E161" s="897">
        <v>0</v>
      </c>
      <c r="F161" s="897">
        <v>0</v>
      </c>
      <c r="G161" s="897">
        <v>15.127000000000002</v>
      </c>
      <c r="H161" s="897">
        <v>6.6</v>
      </c>
      <c r="I161" s="897">
        <v>0</v>
      </c>
      <c r="J161" s="897">
        <v>5</v>
      </c>
      <c r="K161" s="897">
        <v>0</v>
      </c>
      <c r="L161" s="897">
        <v>0</v>
      </c>
      <c r="M161" s="897">
        <v>11.6</v>
      </c>
      <c r="N161" s="320">
        <v>-0.2331592516692009</v>
      </c>
      <c r="O161" s="533"/>
      <c r="P161" s="534"/>
    </row>
    <row r="162" spans="1:16" ht="16.149999999999999">
      <c r="A162" s="902"/>
      <c r="B162" s="903"/>
      <c r="C162" s="903"/>
      <c r="D162" s="903"/>
      <c r="E162" s="903"/>
      <c r="F162" s="903"/>
      <c r="G162" s="904"/>
      <c r="H162" s="904"/>
      <c r="I162" s="904"/>
      <c r="J162" s="904"/>
      <c r="K162" s="904"/>
      <c r="L162" s="904"/>
      <c r="M162" s="904"/>
      <c r="N162" s="905"/>
      <c r="O162" s="906"/>
      <c r="P162" s="524"/>
    </row>
    <row r="163" spans="1:16" ht="16.149999999999999">
      <c r="A163" s="536" t="s">
        <v>1590</v>
      </c>
      <c r="B163" s="497"/>
      <c r="C163" s="497"/>
      <c r="D163" s="497"/>
      <c r="E163" s="497"/>
      <c r="F163" s="497"/>
      <c r="G163" s="497"/>
      <c r="H163" s="497"/>
      <c r="I163" s="497"/>
      <c r="J163" s="497"/>
      <c r="K163" s="497"/>
      <c r="L163" s="497"/>
      <c r="M163" s="497"/>
      <c r="N163" s="537"/>
      <c r="O163" s="538"/>
      <c r="P163" s="538"/>
    </row>
    <row r="164" spans="1:16" ht="97.15">
      <c r="A164" s="911" t="s">
        <v>1591</v>
      </c>
      <c r="B164" s="313">
        <v>19.867000000000001</v>
      </c>
      <c r="C164" s="313">
        <v>0</v>
      </c>
      <c r="D164" s="313">
        <v>1.2949999999999999</v>
      </c>
      <c r="E164" s="313">
        <v>0</v>
      </c>
      <c r="F164" s="313">
        <v>0</v>
      </c>
      <c r="G164" s="314">
        <v>21.161999999999999</v>
      </c>
      <c r="H164" s="313">
        <v>19.462</v>
      </c>
      <c r="I164" s="313">
        <v>0</v>
      </c>
      <c r="J164" s="313">
        <v>0.39</v>
      </c>
      <c r="K164" s="313">
        <v>0</v>
      </c>
      <c r="L164" s="313">
        <v>0</v>
      </c>
      <c r="M164" s="314">
        <v>19.852</v>
      </c>
      <c r="N164" s="315">
        <v>-6.1903411775824535E-2</v>
      </c>
      <c r="O164" s="505" t="s">
        <v>1592</v>
      </c>
      <c r="P164" s="317" t="s">
        <v>1593</v>
      </c>
    </row>
    <row r="165" spans="1:16" ht="32.450000000000003">
      <c r="A165" s="912" t="s">
        <v>780</v>
      </c>
      <c r="B165" s="313">
        <v>0</v>
      </c>
      <c r="C165" s="313">
        <v>0.91300000000000003</v>
      </c>
      <c r="D165" s="313">
        <v>0</v>
      </c>
      <c r="E165" s="313">
        <v>0</v>
      </c>
      <c r="F165" s="313">
        <v>0</v>
      </c>
      <c r="G165" s="314">
        <v>0.91300000000000003</v>
      </c>
      <c r="H165" s="313">
        <v>0</v>
      </c>
      <c r="I165" s="313">
        <v>0.60699999999999998</v>
      </c>
      <c r="J165" s="313">
        <v>0</v>
      </c>
      <c r="K165" s="313">
        <v>0</v>
      </c>
      <c r="L165" s="313">
        <v>0</v>
      </c>
      <c r="M165" s="314">
        <v>0.60699999999999998</v>
      </c>
      <c r="N165" s="315">
        <v>-0.33515881708652795</v>
      </c>
      <c r="O165" s="505" t="s">
        <v>1594</v>
      </c>
      <c r="P165" s="317" t="s">
        <v>1595</v>
      </c>
    </row>
    <row r="166" spans="1:16" ht="64.900000000000006">
      <c r="A166" s="912" t="s">
        <v>1596</v>
      </c>
      <c r="B166" s="313">
        <v>23.196000000000002</v>
      </c>
      <c r="C166" s="313">
        <v>0</v>
      </c>
      <c r="D166" s="313">
        <v>54</v>
      </c>
      <c r="E166" s="313">
        <v>0</v>
      </c>
      <c r="F166" s="313">
        <v>0</v>
      </c>
      <c r="G166" s="314">
        <v>77.195999999999998</v>
      </c>
      <c r="H166" s="313">
        <v>20.466999999999999</v>
      </c>
      <c r="I166" s="313">
        <v>0</v>
      </c>
      <c r="J166" s="313">
        <v>24.9</v>
      </c>
      <c r="K166" s="313">
        <v>0</v>
      </c>
      <c r="L166" s="313">
        <v>0</v>
      </c>
      <c r="M166" s="314">
        <v>45.366999999999997</v>
      </c>
      <c r="N166" s="315">
        <v>-0.41231410953935438</v>
      </c>
      <c r="O166" s="505" t="s">
        <v>1597</v>
      </c>
      <c r="P166" s="317" t="s">
        <v>1598</v>
      </c>
    </row>
    <row r="167" spans="1:16" ht="113.45">
      <c r="A167" s="912" t="s">
        <v>1599</v>
      </c>
      <c r="B167" s="313">
        <v>2.73</v>
      </c>
      <c r="C167" s="313">
        <v>0</v>
      </c>
      <c r="D167" s="313">
        <v>1.7270000000000001</v>
      </c>
      <c r="E167" s="313">
        <v>0</v>
      </c>
      <c r="F167" s="313">
        <v>0</v>
      </c>
      <c r="G167" s="314">
        <v>4.4569999999999999</v>
      </c>
      <c r="H167" s="313">
        <v>2.5710000000000002</v>
      </c>
      <c r="I167" s="313">
        <v>0</v>
      </c>
      <c r="J167" s="313">
        <v>1.7</v>
      </c>
      <c r="K167" s="313">
        <v>0</v>
      </c>
      <c r="L167" s="313">
        <v>0</v>
      </c>
      <c r="M167" s="314">
        <v>4.2709999999999999</v>
      </c>
      <c r="N167" s="315">
        <v>-4.1732106798294803E-2</v>
      </c>
      <c r="O167" s="505" t="s">
        <v>1600</v>
      </c>
      <c r="P167" s="317" t="s">
        <v>95</v>
      </c>
    </row>
    <row r="168" spans="1:16" ht="16.149999999999999">
      <c r="A168" s="912" t="s">
        <v>1601</v>
      </c>
      <c r="B168" s="313">
        <v>0</v>
      </c>
      <c r="C168" s="313">
        <v>0</v>
      </c>
      <c r="D168" s="313">
        <v>0</v>
      </c>
      <c r="E168" s="313">
        <v>0</v>
      </c>
      <c r="F168" s="313">
        <v>0</v>
      </c>
      <c r="G168" s="314">
        <v>0</v>
      </c>
      <c r="H168" s="313">
        <v>0</v>
      </c>
      <c r="I168" s="313">
        <v>0</v>
      </c>
      <c r="J168" s="313">
        <v>0</v>
      </c>
      <c r="K168" s="313">
        <v>0</v>
      </c>
      <c r="L168" s="313">
        <v>0</v>
      </c>
      <c r="M168" s="314">
        <v>0</v>
      </c>
      <c r="N168" s="315" t="s">
        <v>204</v>
      </c>
      <c r="O168" s="505" t="s">
        <v>1602</v>
      </c>
      <c r="P168" s="317" t="s">
        <v>238</v>
      </c>
    </row>
    <row r="169" spans="1:16" ht="16.149999999999999">
      <c r="A169" s="913" t="s">
        <v>1603</v>
      </c>
      <c r="B169" s="897">
        <v>45.792999999999999</v>
      </c>
      <c r="C169" s="897">
        <v>0.91300000000000003</v>
      </c>
      <c r="D169" s="897">
        <v>57.021999999999998</v>
      </c>
      <c r="E169" s="897">
        <v>0</v>
      </c>
      <c r="F169" s="897">
        <v>0</v>
      </c>
      <c r="G169" s="897">
        <v>103.72799999999999</v>
      </c>
      <c r="H169" s="897">
        <v>42.5</v>
      </c>
      <c r="I169" s="897">
        <v>0.60699999999999998</v>
      </c>
      <c r="J169" s="897">
        <v>26.99</v>
      </c>
      <c r="K169" s="897">
        <v>0</v>
      </c>
      <c r="L169" s="897">
        <v>0</v>
      </c>
      <c r="M169" s="897">
        <v>70.096999999999994</v>
      </c>
      <c r="N169" s="320">
        <v>-0.32422296776183868</v>
      </c>
      <c r="O169" s="914"/>
      <c r="P169" s="914"/>
    </row>
    <row r="170" spans="1:16" ht="16.149999999999999">
      <c r="A170" s="915"/>
      <c r="B170" s="916"/>
      <c r="C170" s="916"/>
      <c r="D170" s="916"/>
      <c r="E170" s="916"/>
      <c r="F170" s="916"/>
      <c r="G170" s="917"/>
      <c r="H170" s="916"/>
      <c r="I170" s="916"/>
      <c r="J170" s="916"/>
      <c r="K170" s="916"/>
      <c r="L170" s="916"/>
      <c r="M170" s="917"/>
      <c r="N170" s="918"/>
      <c r="O170" s="919"/>
      <c r="P170" s="919"/>
    </row>
    <row r="171" spans="1:16" ht="16.149999999999999">
      <c r="A171" s="536" t="s">
        <v>1604</v>
      </c>
      <c r="B171" s="497"/>
      <c r="C171" s="497"/>
      <c r="D171" s="497"/>
      <c r="E171" s="497"/>
      <c r="F171" s="497"/>
      <c r="G171" s="497"/>
      <c r="H171" s="497"/>
      <c r="I171" s="497"/>
      <c r="J171" s="497"/>
      <c r="K171" s="497"/>
      <c r="L171" s="497"/>
      <c r="M171" s="497"/>
      <c r="N171" s="537"/>
      <c r="O171" s="538"/>
      <c r="P171" s="538"/>
    </row>
    <row r="172" spans="1:16" ht="32.450000000000003">
      <c r="A172" s="911" t="s">
        <v>1103</v>
      </c>
      <c r="B172" s="313">
        <v>12.169</v>
      </c>
      <c r="C172" s="313">
        <v>0</v>
      </c>
      <c r="D172" s="313">
        <v>0</v>
      </c>
      <c r="E172" s="313">
        <v>0</v>
      </c>
      <c r="F172" s="313">
        <v>0</v>
      </c>
      <c r="G172" s="314">
        <v>12.169</v>
      </c>
      <c r="H172" s="313">
        <v>15.648999999999999</v>
      </c>
      <c r="I172" s="313">
        <v>0</v>
      </c>
      <c r="J172" s="313">
        <v>0</v>
      </c>
      <c r="K172" s="313">
        <v>0</v>
      </c>
      <c r="L172" s="313">
        <v>0</v>
      </c>
      <c r="M172" s="314">
        <v>15.648999999999999</v>
      </c>
      <c r="N172" s="315">
        <v>0.28597255320897352</v>
      </c>
      <c r="O172" s="505" t="s">
        <v>1605</v>
      </c>
      <c r="P172" s="317" t="s">
        <v>204</v>
      </c>
    </row>
    <row r="173" spans="1:16" ht="97.15">
      <c r="A173" s="912" t="s">
        <v>1105</v>
      </c>
      <c r="B173" s="313">
        <v>0</v>
      </c>
      <c r="C173" s="313">
        <v>0</v>
      </c>
      <c r="D173" s="313">
        <v>11.6</v>
      </c>
      <c r="E173" s="313">
        <v>0</v>
      </c>
      <c r="F173" s="313">
        <v>0</v>
      </c>
      <c r="G173" s="314">
        <v>11.6</v>
      </c>
      <c r="H173" s="313">
        <v>0</v>
      </c>
      <c r="I173" s="313">
        <v>0</v>
      </c>
      <c r="J173" s="313">
        <v>12.2</v>
      </c>
      <c r="K173" s="313">
        <v>0</v>
      </c>
      <c r="L173" s="313">
        <v>0</v>
      </c>
      <c r="M173" s="314">
        <v>12.2</v>
      </c>
      <c r="N173" s="315">
        <v>5.1724137931034454E-2</v>
      </c>
      <c r="O173" s="505" t="s">
        <v>1606</v>
      </c>
      <c r="P173" s="317" t="s">
        <v>204</v>
      </c>
    </row>
    <row r="174" spans="1:16" ht="32.450000000000003">
      <c r="A174" s="833" t="s">
        <v>1607</v>
      </c>
      <c r="B174" s="897">
        <v>12.169</v>
      </c>
      <c r="C174" s="897">
        <v>0</v>
      </c>
      <c r="D174" s="897">
        <v>11.6</v>
      </c>
      <c r="E174" s="897">
        <v>0</v>
      </c>
      <c r="F174" s="897">
        <v>0</v>
      </c>
      <c r="G174" s="897">
        <v>23.768999999999998</v>
      </c>
      <c r="H174" s="897">
        <v>15.648999999999999</v>
      </c>
      <c r="I174" s="897">
        <v>0</v>
      </c>
      <c r="J174" s="897">
        <v>12.2</v>
      </c>
      <c r="K174" s="897">
        <v>0</v>
      </c>
      <c r="L174" s="897">
        <v>0</v>
      </c>
      <c r="M174" s="897">
        <v>27.848999999999997</v>
      </c>
      <c r="N174" s="320">
        <v>0.17165215196264036</v>
      </c>
      <c r="O174" s="542"/>
      <c r="P174" s="543"/>
    </row>
    <row r="175" spans="1:16" ht="16.149999999999999">
      <c r="A175" s="902"/>
      <c r="B175" s="903"/>
      <c r="C175" s="903"/>
      <c r="D175" s="903"/>
      <c r="E175" s="903"/>
      <c r="F175" s="903"/>
      <c r="G175" s="904"/>
      <c r="H175" s="904"/>
      <c r="I175" s="904"/>
      <c r="J175" s="904"/>
      <c r="K175" s="904"/>
      <c r="L175" s="904"/>
      <c r="M175" s="904"/>
      <c r="N175" s="905"/>
      <c r="O175" s="906"/>
      <c r="P175" s="524"/>
    </row>
    <row r="176" spans="1:16" ht="32.65" customHeight="1">
      <c r="A176" s="536" t="s">
        <v>1608</v>
      </c>
      <c r="B176" s="497"/>
      <c r="C176" s="497"/>
      <c r="D176" s="497"/>
      <c r="E176" s="497"/>
      <c r="F176" s="497"/>
      <c r="G176" s="497"/>
      <c r="H176" s="497"/>
      <c r="I176" s="497"/>
      <c r="J176" s="497"/>
      <c r="K176" s="497"/>
      <c r="L176" s="497"/>
      <c r="M176" s="497"/>
      <c r="N176" s="537"/>
      <c r="O176" s="538"/>
      <c r="P176" s="538"/>
    </row>
    <row r="177" spans="1:16" ht="34.9" customHeight="1">
      <c r="A177" s="525" t="s">
        <v>1609</v>
      </c>
      <c r="B177" s="526"/>
      <c r="C177" s="526"/>
      <c r="D177" s="526"/>
      <c r="E177" s="526"/>
      <c r="F177" s="526"/>
      <c r="G177" s="526"/>
      <c r="H177" s="526"/>
      <c r="I177" s="526"/>
      <c r="J177" s="526"/>
      <c r="K177" s="526"/>
      <c r="L177" s="526"/>
      <c r="M177" s="526"/>
      <c r="N177" s="526"/>
      <c r="O177" s="526"/>
      <c r="P177" s="526"/>
    </row>
    <row r="178" spans="1:16" ht="120" customHeight="1">
      <c r="A178" s="312" t="s">
        <v>1610</v>
      </c>
      <c r="B178" s="313">
        <v>2.7530000000000001</v>
      </c>
      <c r="C178" s="313">
        <v>0</v>
      </c>
      <c r="D178" s="313">
        <v>3</v>
      </c>
      <c r="E178" s="313">
        <v>0</v>
      </c>
      <c r="F178" s="313">
        <v>0</v>
      </c>
      <c r="G178" s="314">
        <v>5.7530000000000001</v>
      </c>
      <c r="H178" s="313">
        <v>1.5</v>
      </c>
      <c r="I178" s="313">
        <v>0</v>
      </c>
      <c r="J178" s="313">
        <v>3</v>
      </c>
      <c r="K178" s="313">
        <v>0</v>
      </c>
      <c r="L178" s="313">
        <v>0</v>
      </c>
      <c r="M178" s="314">
        <v>4.5</v>
      </c>
      <c r="N178" s="315">
        <v>-0.21779940900399794</v>
      </c>
      <c r="O178" s="527" t="s">
        <v>1611</v>
      </c>
      <c r="P178" s="317" t="s">
        <v>1612</v>
      </c>
    </row>
    <row r="179" spans="1:16" ht="97.15">
      <c r="A179" s="518" t="s">
        <v>1613</v>
      </c>
      <c r="B179" s="506">
        <v>6.15</v>
      </c>
      <c r="C179" s="506">
        <v>0</v>
      </c>
      <c r="D179" s="506">
        <v>20.399999999999999</v>
      </c>
      <c r="E179" s="506">
        <v>0</v>
      </c>
      <c r="F179" s="506">
        <v>0</v>
      </c>
      <c r="G179" s="507">
        <v>26.549999999999997</v>
      </c>
      <c r="H179" s="506">
        <v>6.5</v>
      </c>
      <c r="I179" s="506">
        <v>0</v>
      </c>
      <c r="J179" s="506">
        <v>20.399999999999999</v>
      </c>
      <c r="K179" s="506">
        <v>0</v>
      </c>
      <c r="L179" s="506">
        <v>0</v>
      </c>
      <c r="M179" s="507">
        <v>26.9</v>
      </c>
      <c r="N179" s="315">
        <v>1.3182674199623406E-2</v>
      </c>
      <c r="O179" s="521" t="s">
        <v>1614</v>
      </c>
      <c r="P179" s="522" t="s">
        <v>1615</v>
      </c>
    </row>
    <row r="180" spans="1:16" ht="32.450000000000003">
      <c r="A180" s="511" t="s">
        <v>1616</v>
      </c>
      <c r="B180" s="168">
        <v>8.9030000000000005</v>
      </c>
      <c r="C180" s="168">
        <v>0</v>
      </c>
      <c r="D180" s="168">
        <v>23.4</v>
      </c>
      <c r="E180" s="168">
        <v>0</v>
      </c>
      <c r="F180" s="168">
        <v>0</v>
      </c>
      <c r="G180" s="168">
        <v>32.302999999999997</v>
      </c>
      <c r="H180" s="168">
        <v>8</v>
      </c>
      <c r="I180" s="168">
        <v>0</v>
      </c>
      <c r="J180" s="168">
        <v>23.4</v>
      </c>
      <c r="K180" s="168">
        <v>0</v>
      </c>
      <c r="L180" s="168">
        <v>0</v>
      </c>
      <c r="M180" s="168">
        <v>31.4</v>
      </c>
      <c r="N180" s="337">
        <v>-2.7954059994427724E-2</v>
      </c>
      <c r="O180" s="512"/>
      <c r="P180" s="513"/>
    </row>
    <row r="181" spans="1:16" ht="32.450000000000003">
      <c r="A181" s="908" t="s">
        <v>1617</v>
      </c>
      <c r="B181" s="319">
        <v>8.9030000000000005</v>
      </c>
      <c r="C181" s="319">
        <v>0</v>
      </c>
      <c r="D181" s="319">
        <v>23.4</v>
      </c>
      <c r="E181" s="319">
        <v>0</v>
      </c>
      <c r="F181" s="319">
        <v>0</v>
      </c>
      <c r="G181" s="319">
        <v>32.302999999999997</v>
      </c>
      <c r="H181" s="319">
        <v>8</v>
      </c>
      <c r="I181" s="319">
        <v>0</v>
      </c>
      <c r="J181" s="319">
        <v>23.4</v>
      </c>
      <c r="K181" s="319">
        <v>0</v>
      </c>
      <c r="L181" s="319">
        <v>0</v>
      </c>
      <c r="M181" s="319">
        <v>31.4</v>
      </c>
      <c r="N181" s="320">
        <v>-2.7954059994427724E-2</v>
      </c>
      <c r="O181" s="321"/>
      <c r="P181" s="344"/>
    </row>
    <row r="182" spans="1:16" ht="16.149999999999999">
      <c r="A182" s="902"/>
      <c r="B182" s="903"/>
      <c r="C182" s="903"/>
      <c r="D182" s="903"/>
      <c r="E182" s="903"/>
      <c r="F182" s="903"/>
      <c r="G182" s="904"/>
      <c r="H182" s="904"/>
      <c r="I182" s="904"/>
      <c r="J182" s="904"/>
      <c r="K182" s="904"/>
      <c r="L182" s="904"/>
      <c r="M182" s="904"/>
      <c r="N182" s="905"/>
      <c r="O182" s="906"/>
      <c r="P182" s="524"/>
    </row>
    <row r="183" spans="1:16" ht="32.450000000000003">
      <c r="A183" s="920" t="s">
        <v>1618</v>
      </c>
      <c r="B183" s="851"/>
      <c r="C183" s="851"/>
      <c r="D183" s="851"/>
      <c r="E183" s="851"/>
      <c r="F183" s="851"/>
      <c r="G183" s="851"/>
      <c r="H183" s="851"/>
      <c r="I183" s="851"/>
      <c r="J183" s="851"/>
      <c r="K183" s="851"/>
      <c r="L183" s="851"/>
      <c r="M183" s="851"/>
      <c r="N183" s="498"/>
      <c r="O183" s="537"/>
      <c r="P183" s="537"/>
    </row>
    <row r="184" spans="1:16" ht="16.149999999999999">
      <c r="A184" s="921"/>
      <c r="B184" s="853"/>
      <c r="C184" s="853"/>
      <c r="D184" s="853"/>
      <c r="E184" s="853"/>
      <c r="F184" s="853"/>
      <c r="G184" s="922"/>
      <c r="H184" s="853"/>
      <c r="I184" s="853"/>
      <c r="J184" s="853"/>
      <c r="K184" s="853"/>
      <c r="L184" s="853"/>
      <c r="M184" s="922"/>
      <c r="N184" s="905"/>
      <c r="O184" s="544"/>
      <c r="P184" s="544"/>
    </row>
    <row r="185" spans="1:16" ht="16.149999999999999">
      <c r="A185" s="209" t="s">
        <v>1619</v>
      </c>
      <c r="B185" s="208"/>
      <c r="C185" s="208"/>
      <c r="D185" s="208"/>
      <c r="E185" s="208"/>
      <c r="F185" s="208"/>
      <c r="G185" s="208"/>
      <c r="H185" s="208"/>
      <c r="I185" s="208"/>
      <c r="J185" s="208"/>
      <c r="K185" s="208"/>
      <c r="L185" s="208"/>
      <c r="M185" s="208"/>
      <c r="N185" s="504"/>
      <c r="O185" s="224"/>
      <c r="P185" s="224"/>
    </row>
    <row r="186" spans="1:16" ht="32.450000000000003">
      <c r="A186" s="312" t="s">
        <v>1620</v>
      </c>
      <c r="B186" s="313">
        <v>3.8479999999999999</v>
      </c>
      <c r="C186" s="313">
        <v>0</v>
      </c>
      <c r="D186" s="313">
        <v>0</v>
      </c>
      <c r="E186" s="313">
        <v>0</v>
      </c>
      <c r="F186" s="313">
        <v>0</v>
      </c>
      <c r="G186" s="314">
        <v>3.8479999999999999</v>
      </c>
      <c r="H186" s="313">
        <v>3.6859999999999999</v>
      </c>
      <c r="I186" s="313">
        <v>0</v>
      </c>
      <c r="J186" s="313">
        <v>0</v>
      </c>
      <c r="K186" s="313">
        <v>0</v>
      </c>
      <c r="L186" s="313">
        <v>0</v>
      </c>
      <c r="M186" s="314">
        <v>3.6859999999999999</v>
      </c>
      <c r="N186" s="315">
        <v>-4.2099792099792081E-2</v>
      </c>
      <c r="O186" s="505" t="s">
        <v>1621</v>
      </c>
      <c r="P186" s="317" t="s">
        <v>1622</v>
      </c>
    </row>
    <row r="187" spans="1:16" ht="32.450000000000003">
      <c r="A187" s="511" t="s">
        <v>1623</v>
      </c>
      <c r="B187" s="168">
        <v>3.8479999999999999</v>
      </c>
      <c r="C187" s="168">
        <v>0</v>
      </c>
      <c r="D187" s="168">
        <v>0</v>
      </c>
      <c r="E187" s="168">
        <v>0</v>
      </c>
      <c r="F187" s="168">
        <v>0</v>
      </c>
      <c r="G187" s="168">
        <v>3.8479999999999999</v>
      </c>
      <c r="H187" s="168">
        <v>3.6859999999999999</v>
      </c>
      <c r="I187" s="168">
        <v>0</v>
      </c>
      <c r="J187" s="168">
        <v>0</v>
      </c>
      <c r="K187" s="168">
        <v>0</v>
      </c>
      <c r="L187" s="168">
        <v>0</v>
      </c>
      <c r="M187" s="168">
        <v>3.6859999999999999</v>
      </c>
      <c r="N187" s="337">
        <v>-4.2099792099792081E-2</v>
      </c>
      <c r="O187" s="168"/>
      <c r="P187" s="525"/>
    </row>
    <row r="188" spans="1:16" ht="16.149999999999999">
      <c r="A188" s="514"/>
      <c r="B188" s="893"/>
      <c r="C188" s="893"/>
      <c r="D188" s="893"/>
      <c r="E188" s="893"/>
      <c r="F188" s="893"/>
      <c r="G188" s="893"/>
      <c r="H188" s="893"/>
      <c r="I188" s="893"/>
      <c r="J188" s="893"/>
      <c r="K188" s="893"/>
      <c r="L188" s="893"/>
      <c r="M188" s="893"/>
      <c r="N188" s="516"/>
      <c r="O188" s="524"/>
      <c r="P188" s="524"/>
    </row>
    <row r="189" spans="1:16" ht="16.149999999999999">
      <c r="A189" s="209" t="s">
        <v>1624</v>
      </c>
      <c r="B189" s="208"/>
      <c r="C189" s="208"/>
      <c r="D189" s="208"/>
      <c r="E189" s="208"/>
      <c r="F189" s="208"/>
      <c r="G189" s="208"/>
      <c r="H189" s="208"/>
      <c r="I189" s="208"/>
      <c r="J189" s="208"/>
      <c r="K189" s="208"/>
      <c r="L189" s="208"/>
      <c r="M189" s="208"/>
      <c r="N189" s="504"/>
      <c r="O189" s="208"/>
      <c r="P189" s="208"/>
    </row>
    <row r="190" spans="1:16" ht="178.15">
      <c r="A190" s="312" t="s">
        <v>1625</v>
      </c>
      <c r="B190" s="313">
        <v>16.321000000000002</v>
      </c>
      <c r="C190" s="313">
        <v>0</v>
      </c>
      <c r="D190" s="313">
        <v>0</v>
      </c>
      <c r="E190" s="313">
        <v>0</v>
      </c>
      <c r="F190" s="313">
        <v>0</v>
      </c>
      <c r="G190" s="314">
        <v>16.321000000000002</v>
      </c>
      <c r="H190" s="313">
        <v>15.834999999999999</v>
      </c>
      <c r="I190" s="313">
        <v>0</v>
      </c>
      <c r="J190" s="313">
        <v>0</v>
      </c>
      <c r="K190" s="313">
        <v>0</v>
      </c>
      <c r="L190" s="313">
        <v>0</v>
      </c>
      <c r="M190" s="314">
        <v>15.834999999999999</v>
      </c>
      <c r="N190" s="315">
        <v>-2.9777587157649801E-2</v>
      </c>
      <c r="O190" s="505" t="s">
        <v>1626</v>
      </c>
      <c r="P190" s="317" t="s">
        <v>1615</v>
      </c>
    </row>
    <row r="191" spans="1:16" ht="162">
      <c r="A191" s="518" t="s">
        <v>1627</v>
      </c>
      <c r="B191" s="506">
        <v>0</v>
      </c>
      <c r="C191" s="506">
        <v>0</v>
      </c>
      <c r="D191" s="506">
        <v>31.8</v>
      </c>
      <c r="E191" s="506">
        <v>0</v>
      </c>
      <c r="F191" s="506">
        <v>0</v>
      </c>
      <c r="G191" s="507">
        <v>31.8</v>
      </c>
      <c r="H191" s="506">
        <v>0</v>
      </c>
      <c r="I191" s="506">
        <v>0</v>
      </c>
      <c r="J191" s="506">
        <v>31.8</v>
      </c>
      <c r="K191" s="506">
        <v>0</v>
      </c>
      <c r="L191" s="506">
        <v>0</v>
      </c>
      <c r="M191" s="507">
        <v>31.8</v>
      </c>
      <c r="N191" s="315">
        <v>0</v>
      </c>
      <c r="O191" s="505" t="s">
        <v>1628</v>
      </c>
      <c r="P191" s="317" t="s">
        <v>1629</v>
      </c>
    </row>
    <row r="192" spans="1:16" ht="79.5" customHeight="1">
      <c r="A192" s="518" t="s">
        <v>1630</v>
      </c>
      <c r="B192" s="506">
        <v>0</v>
      </c>
      <c r="C192" s="506">
        <v>0.4</v>
      </c>
      <c r="D192" s="506">
        <v>0</v>
      </c>
      <c r="E192" s="506">
        <v>0</v>
      </c>
      <c r="F192" s="506">
        <v>0</v>
      </c>
      <c r="G192" s="507">
        <v>0.4</v>
      </c>
      <c r="H192" s="506">
        <v>0</v>
      </c>
      <c r="I192" s="506">
        <v>0.2</v>
      </c>
      <c r="J192" s="506">
        <v>0</v>
      </c>
      <c r="K192" s="506">
        <v>0</v>
      </c>
      <c r="L192" s="506">
        <v>0</v>
      </c>
      <c r="M192" s="507">
        <v>0.2</v>
      </c>
      <c r="N192" s="315">
        <v>-0.5</v>
      </c>
      <c r="O192" s="505" t="s">
        <v>1312</v>
      </c>
      <c r="P192" s="317" t="s">
        <v>1631</v>
      </c>
    </row>
    <row r="193" spans="1:17" ht="79.5" customHeight="1">
      <c r="A193" s="518" t="s">
        <v>1632</v>
      </c>
      <c r="B193" s="506">
        <v>-0.125</v>
      </c>
      <c r="C193" s="506">
        <v>0</v>
      </c>
      <c r="D193" s="506">
        <v>0</v>
      </c>
      <c r="E193" s="506">
        <v>0</v>
      </c>
      <c r="F193" s="506">
        <v>0</v>
      </c>
      <c r="G193" s="507">
        <v>-0.125</v>
      </c>
      <c r="H193" s="506">
        <v>-0.13</v>
      </c>
      <c r="I193" s="506">
        <v>0</v>
      </c>
      <c r="J193" s="506">
        <v>0</v>
      </c>
      <c r="K193" s="506">
        <v>0</v>
      </c>
      <c r="L193" s="506">
        <v>0</v>
      </c>
      <c r="M193" s="507">
        <v>-0.13</v>
      </c>
      <c r="N193" s="315">
        <v>4.0000000000000036E-2</v>
      </c>
      <c r="O193" s="505" t="s">
        <v>1633</v>
      </c>
      <c r="P193" s="317" t="s">
        <v>1615</v>
      </c>
    </row>
    <row r="194" spans="1:17" ht="16.149999999999999" customHeight="1">
      <c r="A194" s="511" t="s">
        <v>1634</v>
      </c>
      <c r="B194" s="168">
        <v>16.196000000000002</v>
      </c>
      <c r="C194" s="168">
        <v>0.4</v>
      </c>
      <c r="D194" s="168">
        <v>31.8</v>
      </c>
      <c r="E194" s="168">
        <v>0</v>
      </c>
      <c r="F194" s="168">
        <v>0</v>
      </c>
      <c r="G194" s="168">
        <v>48.396000000000001</v>
      </c>
      <c r="H194" s="168">
        <v>15.704999999999998</v>
      </c>
      <c r="I194" s="168">
        <v>0.2</v>
      </c>
      <c r="J194" s="168">
        <v>31.8</v>
      </c>
      <c r="K194" s="168">
        <v>0</v>
      </c>
      <c r="L194" s="168">
        <v>0</v>
      </c>
      <c r="M194" s="168">
        <v>47.704999999999998</v>
      </c>
      <c r="N194" s="337">
        <v>-1.4278039507397358E-2</v>
      </c>
      <c r="O194" s="512"/>
      <c r="P194" s="513"/>
    </row>
    <row r="195" spans="1:17" ht="16.149999999999999">
      <c r="A195" s="514"/>
      <c r="B195" s="514"/>
      <c r="C195" s="514"/>
      <c r="D195" s="514"/>
      <c r="E195" s="514"/>
      <c r="F195" s="514"/>
      <c r="G195" s="514"/>
      <c r="H195" s="514"/>
      <c r="I195" s="514"/>
      <c r="J195" s="514"/>
      <c r="K195" s="514"/>
      <c r="L195" s="514"/>
      <c r="M195" s="514"/>
      <c r="N195" s="516"/>
      <c r="O195" s="923"/>
      <c r="P195" s="923"/>
    </row>
    <row r="196" spans="1:17" s="925" customFormat="1" ht="32.450000000000003">
      <c r="A196" s="525" t="s">
        <v>1635</v>
      </c>
      <c r="B196" s="526"/>
      <c r="C196" s="526"/>
      <c r="D196" s="526"/>
      <c r="E196" s="526"/>
      <c r="F196" s="526"/>
      <c r="G196" s="526"/>
      <c r="H196" s="526"/>
      <c r="I196" s="526"/>
      <c r="J196" s="526"/>
      <c r="K196" s="526"/>
      <c r="L196" s="526"/>
      <c r="M196" s="526"/>
      <c r="N196" s="526"/>
      <c r="O196" s="526"/>
      <c r="P196" s="526"/>
      <c r="Q196" s="924"/>
    </row>
    <row r="197" spans="1:17" ht="82.5" customHeight="1">
      <c r="A197" s="312" t="s">
        <v>1636</v>
      </c>
      <c r="B197" s="313">
        <v>10.510999999999999</v>
      </c>
      <c r="C197" s="313">
        <v>0</v>
      </c>
      <c r="D197" s="313">
        <v>0</v>
      </c>
      <c r="E197" s="313">
        <v>0</v>
      </c>
      <c r="F197" s="313">
        <v>0</v>
      </c>
      <c r="G197" s="314">
        <v>10.510999999999999</v>
      </c>
      <c r="H197" s="506">
        <v>11.4</v>
      </c>
      <c r="I197" s="313">
        <v>0</v>
      </c>
      <c r="J197" s="313">
        <v>0</v>
      </c>
      <c r="K197" s="313">
        <v>0</v>
      </c>
      <c r="L197" s="313">
        <v>0</v>
      </c>
      <c r="M197" s="314">
        <v>11.4</v>
      </c>
      <c r="N197" s="315">
        <v>8.4578061078869865E-2</v>
      </c>
      <c r="O197" s="505" t="s">
        <v>1637</v>
      </c>
      <c r="P197" s="317" t="s">
        <v>1638</v>
      </c>
    </row>
    <row r="198" spans="1:17" s="925" customFormat="1" ht="82.5" customHeight="1">
      <c r="A198" s="312" t="s">
        <v>1639</v>
      </c>
      <c r="B198" s="313">
        <v>4.7839999999999998</v>
      </c>
      <c r="C198" s="313">
        <v>0</v>
      </c>
      <c r="D198" s="313">
        <v>0</v>
      </c>
      <c r="E198" s="313">
        <v>0</v>
      </c>
      <c r="F198" s="313">
        <v>0</v>
      </c>
      <c r="G198" s="314">
        <v>4.7839999999999998</v>
      </c>
      <c r="H198" s="506">
        <v>4.3499999999999996</v>
      </c>
      <c r="I198" s="313">
        <v>0</v>
      </c>
      <c r="J198" s="313">
        <v>0</v>
      </c>
      <c r="K198" s="313">
        <v>0</v>
      </c>
      <c r="L198" s="313">
        <v>0</v>
      </c>
      <c r="M198" s="314">
        <v>4.3499999999999996</v>
      </c>
      <c r="N198" s="315">
        <v>-9.0719063545150538E-2</v>
      </c>
      <c r="O198" s="505" t="s">
        <v>1640</v>
      </c>
      <c r="P198" s="317" t="s">
        <v>95</v>
      </c>
      <c r="Q198" s="924"/>
    </row>
    <row r="199" spans="1:17" s="925" customFormat="1" ht="82.5" customHeight="1">
      <c r="A199" s="518" t="s">
        <v>1641</v>
      </c>
      <c r="B199" s="313">
        <v>-4.2080000000000002</v>
      </c>
      <c r="C199" s="313">
        <v>0</v>
      </c>
      <c r="D199" s="313">
        <v>0</v>
      </c>
      <c r="E199" s="313">
        <v>0</v>
      </c>
      <c r="F199" s="313">
        <v>0</v>
      </c>
      <c r="G199" s="314">
        <v>-4.2080000000000002</v>
      </c>
      <c r="H199" s="506">
        <v>-4.2830000000000004</v>
      </c>
      <c r="I199" s="313">
        <v>0</v>
      </c>
      <c r="J199" s="313">
        <v>0</v>
      </c>
      <c r="K199" s="313">
        <v>0</v>
      </c>
      <c r="L199" s="313">
        <v>0</v>
      </c>
      <c r="M199" s="314">
        <v>-4.2830000000000004</v>
      </c>
      <c r="N199" s="315">
        <v>1.7823193916349851E-2</v>
      </c>
      <c r="O199" s="505" t="s">
        <v>1642</v>
      </c>
      <c r="P199" s="317" t="s">
        <v>1615</v>
      </c>
      <c r="Q199" s="924"/>
    </row>
    <row r="200" spans="1:17" s="925" customFormat="1" ht="82.5" customHeight="1">
      <c r="A200" s="518" t="s">
        <v>1643</v>
      </c>
      <c r="B200" s="313">
        <v>0</v>
      </c>
      <c r="C200" s="313">
        <v>0</v>
      </c>
      <c r="D200" s="313">
        <v>19.3</v>
      </c>
      <c r="E200" s="313">
        <v>0</v>
      </c>
      <c r="F200" s="313">
        <v>0</v>
      </c>
      <c r="G200" s="314">
        <v>19.3</v>
      </c>
      <c r="H200" s="506">
        <v>0</v>
      </c>
      <c r="I200" s="313">
        <v>0</v>
      </c>
      <c r="J200" s="313">
        <v>17</v>
      </c>
      <c r="K200" s="313">
        <v>0</v>
      </c>
      <c r="L200" s="313">
        <v>0</v>
      </c>
      <c r="M200" s="314">
        <v>17</v>
      </c>
      <c r="N200" s="315">
        <v>-0.11917098445595858</v>
      </c>
      <c r="O200" s="505" t="s">
        <v>1644</v>
      </c>
      <c r="P200" s="317" t="s">
        <v>1645</v>
      </c>
      <c r="Q200" s="924"/>
    </row>
    <row r="201" spans="1:17" s="925" customFormat="1" ht="82.5" customHeight="1">
      <c r="A201" s="518" t="s">
        <v>1646</v>
      </c>
      <c r="B201" s="313">
        <v>0</v>
      </c>
      <c r="C201" s="313">
        <v>3.4</v>
      </c>
      <c r="D201" s="313">
        <v>0</v>
      </c>
      <c r="E201" s="313">
        <v>0</v>
      </c>
      <c r="F201" s="313">
        <v>0</v>
      </c>
      <c r="G201" s="314">
        <v>3.4</v>
      </c>
      <c r="H201" s="506">
        <v>0</v>
      </c>
      <c r="I201" s="313">
        <v>3.5</v>
      </c>
      <c r="J201" s="313">
        <v>0</v>
      </c>
      <c r="K201" s="313">
        <v>0</v>
      </c>
      <c r="L201" s="313">
        <v>0</v>
      </c>
      <c r="M201" s="507">
        <v>3.5</v>
      </c>
      <c r="N201" s="315">
        <v>2.941176470588238E-2</v>
      </c>
      <c r="O201" s="505" t="s">
        <v>1312</v>
      </c>
      <c r="P201" s="317" t="s">
        <v>1631</v>
      </c>
      <c r="Q201" s="924"/>
    </row>
    <row r="202" spans="1:17" ht="32.450000000000003">
      <c r="A202" s="511" t="s">
        <v>1647</v>
      </c>
      <c r="B202" s="168">
        <v>11.086999999999998</v>
      </c>
      <c r="C202" s="168">
        <v>3.4</v>
      </c>
      <c r="D202" s="168">
        <v>19.3</v>
      </c>
      <c r="E202" s="168">
        <v>0</v>
      </c>
      <c r="F202" s="168">
        <v>0</v>
      </c>
      <c r="G202" s="168">
        <v>33.786999999999999</v>
      </c>
      <c r="H202" s="168">
        <v>11.466999999999999</v>
      </c>
      <c r="I202" s="168">
        <v>3.5</v>
      </c>
      <c r="J202" s="168">
        <v>17</v>
      </c>
      <c r="K202" s="168">
        <v>0</v>
      </c>
      <c r="L202" s="168">
        <v>0</v>
      </c>
      <c r="M202" s="168">
        <v>31.966999999999999</v>
      </c>
      <c r="N202" s="337">
        <v>-5.3866871873797621E-2</v>
      </c>
      <c r="O202" s="512"/>
      <c r="P202" s="513"/>
    </row>
    <row r="203" spans="1:17" ht="16.149999999999999">
      <c r="A203" s="514"/>
      <c r="B203" s="514"/>
      <c r="C203" s="514"/>
      <c r="D203" s="514"/>
      <c r="E203" s="514"/>
      <c r="F203" s="514"/>
      <c r="G203" s="514"/>
      <c r="H203" s="514"/>
      <c r="I203" s="514"/>
      <c r="J203" s="514"/>
      <c r="K203" s="514"/>
      <c r="L203" s="514"/>
      <c r="M203" s="514"/>
      <c r="N203" s="516"/>
      <c r="O203" s="517"/>
      <c r="P203" s="517"/>
    </row>
    <row r="204" spans="1:17" ht="32.450000000000003">
      <c r="A204" s="805" t="s">
        <v>1648</v>
      </c>
      <c r="B204" s="806"/>
      <c r="C204" s="806"/>
      <c r="D204" s="806"/>
      <c r="E204" s="806"/>
      <c r="F204" s="806"/>
      <c r="G204" s="806"/>
      <c r="H204" s="806"/>
      <c r="I204" s="806"/>
      <c r="J204" s="806"/>
      <c r="K204" s="806"/>
      <c r="L204" s="806"/>
      <c r="M204" s="806"/>
      <c r="N204" s="806"/>
      <c r="O204" s="806"/>
      <c r="P204" s="806"/>
    </row>
    <row r="205" spans="1:17" ht="84" customHeight="1">
      <c r="A205" s="312" t="s">
        <v>1649</v>
      </c>
      <c r="B205" s="313">
        <v>0.3</v>
      </c>
      <c r="C205" s="313">
        <v>0</v>
      </c>
      <c r="D205" s="313">
        <v>0</v>
      </c>
      <c r="E205" s="313">
        <v>0</v>
      </c>
      <c r="F205" s="313">
        <v>0</v>
      </c>
      <c r="G205" s="314">
        <v>0.3</v>
      </c>
      <c r="H205" s="313">
        <v>0</v>
      </c>
      <c r="I205" s="313">
        <v>0</v>
      </c>
      <c r="J205" s="313">
        <v>0</v>
      </c>
      <c r="K205" s="313">
        <v>0</v>
      </c>
      <c r="L205" s="313">
        <v>0</v>
      </c>
      <c r="M205" s="314">
        <v>0</v>
      </c>
      <c r="N205" s="315">
        <v>-1</v>
      </c>
      <c r="O205" s="505" t="s">
        <v>1650</v>
      </c>
      <c r="P205" s="317" t="s">
        <v>1651</v>
      </c>
    </row>
    <row r="206" spans="1:17" ht="84" customHeight="1">
      <c r="A206" s="518" t="s">
        <v>1652</v>
      </c>
      <c r="B206" s="506">
        <v>3.972</v>
      </c>
      <c r="C206" s="506">
        <v>0</v>
      </c>
      <c r="D206" s="506">
        <v>0</v>
      </c>
      <c r="E206" s="506">
        <v>0</v>
      </c>
      <c r="F206" s="506">
        <v>0</v>
      </c>
      <c r="G206" s="507">
        <v>3.972</v>
      </c>
      <c r="H206" s="506">
        <v>3.6370000000000005</v>
      </c>
      <c r="I206" s="506">
        <v>0</v>
      </c>
      <c r="J206" s="506">
        <v>0</v>
      </c>
      <c r="K206" s="506">
        <v>0</v>
      </c>
      <c r="L206" s="506">
        <v>0</v>
      </c>
      <c r="M206" s="507">
        <v>3.6370000000000005</v>
      </c>
      <c r="N206" s="315">
        <v>-8.4340382678751144E-2</v>
      </c>
      <c r="O206" s="505" t="s">
        <v>1653</v>
      </c>
      <c r="P206" s="317" t="s">
        <v>1654</v>
      </c>
    </row>
    <row r="207" spans="1:17" ht="32.450000000000003">
      <c r="A207" s="511" t="s">
        <v>1655</v>
      </c>
      <c r="B207" s="168">
        <v>4.2720000000000002</v>
      </c>
      <c r="C207" s="168">
        <v>0</v>
      </c>
      <c r="D207" s="168">
        <v>0</v>
      </c>
      <c r="E207" s="168">
        <v>0</v>
      </c>
      <c r="F207" s="168">
        <v>0</v>
      </c>
      <c r="G207" s="168">
        <v>4.2720000000000002</v>
      </c>
      <c r="H207" s="168">
        <v>3.6370000000000005</v>
      </c>
      <c r="I207" s="168">
        <v>0</v>
      </c>
      <c r="J207" s="168">
        <v>0</v>
      </c>
      <c r="K207" s="168">
        <v>0</v>
      </c>
      <c r="L207" s="168">
        <v>0</v>
      </c>
      <c r="M207" s="168">
        <v>3.6370000000000005</v>
      </c>
      <c r="N207" s="337">
        <v>-0.14864232209737821</v>
      </c>
      <c r="O207" s="512"/>
      <c r="P207" s="513"/>
    </row>
    <row r="208" spans="1:17" ht="16.149999999999999">
      <c r="A208" s="514"/>
      <c r="B208" s="514"/>
      <c r="C208" s="514"/>
      <c r="D208" s="514"/>
      <c r="E208" s="514"/>
      <c r="F208" s="514"/>
      <c r="G208" s="514"/>
      <c r="H208" s="514"/>
      <c r="I208" s="514"/>
      <c r="J208" s="514"/>
      <c r="K208" s="514"/>
      <c r="L208" s="514"/>
      <c r="M208" s="514"/>
      <c r="N208" s="516"/>
      <c r="O208" s="517"/>
      <c r="P208" s="517"/>
    </row>
    <row r="209" spans="1:17" ht="32.450000000000003">
      <c r="A209" s="908" t="s">
        <v>1656</v>
      </c>
      <c r="B209" s="319">
        <v>35.402999999999999</v>
      </c>
      <c r="C209" s="319">
        <v>3.8</v>
      </c>
      <c r="D209" s="319">
        <v>51.1</v>
      </c>
      <c r="E209" s="319">
        <v>0</v>
      </c>
      <c r="F209" s="319">
        <v>0</v>
      </c>
      <c r="G209" s="319">
        <v>90.302999999999997</v>
      </c>
      <c r="H209" s="319">
        <v>34.494999999999997</v>
      </c>
      <c r="I209" s="319">
        <v>3.7</v>
      </c>
      <c r="J209" s="319">
        <v>48.8</v>
      </c>
      <c r="K209" s="319">
        <v>0</v>
      </c>
      <c r="L209" s="319">
        <v>0</v>
      </c>
      <c r="M209" s="319">
        <v>86.995000000000005</v>
      </c>
      <c r="N209" s="320">
        <v>-3.6632227057794238E-2</v>
      </c>
      <c r="O209" s="321"/>
      <c r="P209" s="344"/>
    </row>
    <row r="210" spans="1:17" ht="16.149999999999999">
      <c r="A210" s="926"/>
      <c r="B210" s="927"/>
      <c r="C210" s="927"/>
      <c r="D210" s="927"/>
      <c r="E210" s="927"/>
      <c r="F210" s="927"/>
      <c r="G210" s="927"/>
      <c r="H210" s="927"/>
      <c r="I210" s="927"/>
      <c r="J210" s="927"/>
      <c r="K210" s="927"/>
      <c r="L210" s="927"/>
      <c r="M210" s="927"/>
      <c r="N210" s="461"/>
      <c r="O210" s="928"/>
      <c r="P210" s="928"/>
    </row>
    <row r="211" spans="1:17" ht="16.149999999999999">
      <c r="A211" s="170" t="s">
        <v>372</v>
      </c>
      <c r="B211" s="169"/>
      <c r="C211" s="169"/>
      <c r="D211" s="169"/>
      <c r="E211" s="169"/>
      <c r="F211" s="169"/>
      <c r="G211" s="168"/>
      <c r="H211" s="929"/>
      <c r="I211" s="929"/>
      <c r="J211" s="929"/>
      <c r="K211" s="929"/>
      <c r="L211" s="929"/>
      <c r="M211" s="168"/>
      <c r="N211" s="461"/>
      <c r="O211" s="928"/>
      <c r="P211" s="928"/>
    </row>
    <row r="212" spans="1:17" s="161" customFormat="1" ht="18.600000000000001">
      <c r="A212" s="930"/>
      <c r="B212" s="931"/>
      <c r="C212" s="931"/>
      <c r="D212" s="931"/>
      <c r="E212" s="931"/>
      <c r="F212" s="931"/>
      <c r="G212" s="931"/>
      <c r="H212" s="931"/>
      <c r="I212" s="931"/>
      <c r="J212" s="931"/>
      <c r="K212" s="931"/>
      <c r="L212" s="931"/>
      <c r="M212" s="931"/>
      <c r="N212" s="932"/>
      <c r="O212" s="933"/>
      <c r="P212" s="933"/>
      <c r="Q212" s="162"/>
    </row>
    <row r="213" spans="1:17" ht="32.450000000000003">
      <c r="A213" s="833" t="s">
        <v>1657</v>
      </c>
      <c r="B213" s="541">
        <v>939.73500000000001</v>
      </c>
      <c r="C213" s="541">
        <v>15.513999999999999</v>
      </c>
      <c r="D213" s="541">
        <v>215.72200000000001</v>
      </c>
      <c r="E213" s="541">
        <v>0</v>
      </c>
      <c r="F213" s="541">
        <v>0</v>
      </c>
      <c r="G213" s="541">
        <v>1170.971</v>
      </c>
      <c r="H213" s="541">
        <v>915.59400000000005</v>
      </c>
      <c r="I213" s="541">
        <v>26.714000000000002</v>
      </c>
      <c r="J213" s="541">
        <v>150.25</v>
      </c>
      <c r="K213" s="541">
        <v>0</v>
      </c>
      <c r="L213" s="541">
        <v>0</v>
      </c>
      <c r="M213" s="541">
        <v>1092.558</v>
      </c>
      <c r="N213" s="320">
        <v>-6.6964083653651557E-2</v>
      </c>
      <c r="O213" s="934"/>
      <c r="P213" s="934"/>
    </row>
    <row r="214" spans="1:17" ht="15">
      <c r="A214" s="665"/>
      <c r="B214" s="666"/>
      <c r="C214" s="666"/>
      <c r="D214" s="666"/>
      <c r="E214" s="666"/>
      <c r="F214" s="666"/>
      <c r="G214" s="850"/>
      <c r="H214" s="850"/>
      <c r="I214" s="850"/>
      <c r="J214" s="850"/>
      <c r="K214" s="850"/>
      <c r="L214" s="850"/>
      <c r="M214" s="850"/>
      <c r="N214" s="935"/>
      <c r="O214" s="666"/>
      <c r="P214" s="666"/>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5858-D654-4580-A323-73CB280DC7B6}">
  <sheetPr>
    <tabColor theme="8" tint="-0.499984740745262"/>
  </sheetPr>
  <dimension ref="A1:P98"/>
  <sheetViews>
    <sheetView showGridLines="0" zoomScale="50" zoomScaleNormal="50" workbookViewId="0">
      <pane xSplit="1" ySplit="4" topLeftCell="B83" activePane="bottomRight" state="frozen"/>
      <selection pane="bottomRight" activeCell="D84" sqref="D84"/>
      <selection pane="bottomLeft" activeCell="L17" sqref="L17"/>
      <selection pane="topRight" activeCell="L17" sqref="L17"/>
    </sheetView>
  </sheetViews>
  <sheetFormatPr defaultColWidth="9.28515625" defaultRowHeight="14.45" outlineLevelCol="1"/>
  <cols>
    <col min="1" max="1" width="40.7109375" style="3" customWidth="1"/>
    <col min="2" max="14" width="17.7109375" customWidth="1" outlineLevel="1"/>
    <col min="15" max="16" width="75.7109375" customWidth="1" outlineLevel="1"/>
    <col min="17" max="84" width="15.7109375" customWidth="1"/>
  </cols>
  <sheetData>
    <row r="1" spans="1:16" ht="15" thickBot="1"/>
    <row r="2" spans="1:16" ht="22.15">
      <c r="A2" s="574"/>
      <c r="B2" s="576"/>
      <c r="C2" s="577"/>
      <c r="D2" s="577"/>
      <c r="E2" s="577"/>
      <c r="F2" s="577"/>
      <c r="G2" s="575"/>
      <c r="H2" s="576"/>
      <c r="I2" s="577"/>
      <c r="J2" s="577"/>
      <c r="K2" s="577"/>
      <c r="L2" s="577"/>
      <c r="M2" s="575"/>
      <c r="N2" s="578"/>
      <c r="O2" s="579"/>
      <c r="P2" s="580"/>
    </row>
    <row r="3" spans="1:16" ht="100.15" customHeight="1">
      <c r="A3" s="10" t="s">
        <v>1658</v>
      </c>
      <c r="B3" s="11" t="s">
        <v>11</v>
      </c>
      <c r="C3" s="11" t="s">
        <v>12</v>
      </c>
      <c r="D3" s="11" t="s">
        <v>13</v>
      </c>
      <c r="E3" s="11" t="s">
        <v>14</v>
      </c>
      <c r="F3" s="11" t="s">
        <v>15</v>
      </c>
      <c r="G3" s="11" t="s">
        <v>16</v>
      </c>
      <c r="H3" s="11" t="s">
        <v>17</v>
      </c>
      <c r="I3" s="11" t="s">
        <v>18</v>
      </c>
      <c r="J3" s="11" t="s">
        <v>19</v>
      </c>
      <c r="K3" s="11" t="s">
        <v>20</v>
      </c>
      <c r="L3" s="11" t="s">
        <v>21</v>
      </c>
      <c r="M3" s="11" t="s">
        <v>22</v>
      </c>
      <c r="N3" s="12" t="s">
        <v>23</v>
      </c>
      <c r="O3" s="13" t="s">
        <v>24</v>
      </c>
      <c r="P3" s="276" t="s">
        <v>25</v>
      </c>
    </row>
    <row r="4" spans="1:16" ht="22.9" thickBot="1">
      <c r="A4" s="273"/>
      <c r="B4" s="272"/>
      <c r="C4" s="272"/>
      <c r="D4" s="272"/>
      <c r="E4" s="272"/>
      <c r="F4" s="272"/>
      <c r="G4" s="272"/>
      <c r="H4" s="272"/>
      <c r="I4" s="272"/>
      <c r="J4" s="272"/>
      <c r="K4" s="272"/>
      <c r="L4" s="272"/>
      <c r="M4" s="855"/>
      <c r="N4" s="581"/>
      <c r="O4" s="270"/>
      <c r="P4" s="270"/>
    </row>
    <row r="5" spans="1:16" ht="16.149999999999999">
      <c r="A5" s="936"/>
      <c r="B5" s="937"/>
      <c r="C5" s="937"/>
      <c r="D5" s="937"/>
      <c r="E5" s="937"/>
      <c r="F5" s="937"/>
      <c r="G5" s="937"/>
      <c r="H5" s="937"/>
      <c r="I5" s="937"/>
      <c r="J5" s="937"/>
      <c r="K5" s="937"/>
      <c r="L5" s="937"/>
      <c r="M5" s="937"/>
      <c r="N5" s="937"/>
      <c r="O5" s="937"/>
      <c r="P5" s="937"/>
    </row>
    <row r="6" spans="1:16" ht="16.149999999999999">
      <c r="A6" s="938" t="s">
        <v>1659</v>
      </c>
      <c r="B6" s="939"/>
      <c r="C6" s="939"/>
      <c r="D6" s="939"/>
      <c r="E6" s="939"/>
      <c r="F6" s="939"/>
      <c r="G6" s="939"/>
      <c r="H6" s="939"/>
      <c r="I6" s="939"/>
      <c r="J6" s="939"/>
      <c r="K6" s="939"/>
      <c r="L6" s="939"/>
      <c r="M6" s="939"/>
      <c r="N6" s="939"/>
      <c r="O6" s="939"/>
      <c r="P6" s="939"/>
    </row>
    <row r="7" spans="1:16" ht="15">
      <c r="A7" s="940"/>
      <c r="B7" s="941"/>
      <c r="C7" s="941"/>
      <c r="D7" s="941"/>
      <c r="E7" s="941"/>
      <c r="F7" s="941"/>
      <c r="G7" s="941"/>
      <c r="H7" s="941"/>
      <c r="I7" s="941"/>
      <c r="J7" s="941"/>
      <c r="K7" s="941"/>
      <c r="L7" s="941"/>
      <c r="M7" s="941"/>
      <c r="N7" s="941"/>
      <c r="O7" s="941"/>
      <c r="P7" s="941"/>
    </row>
    <row r="8" spans="1:16" ht="16.149999999999999">
      <c r="A8" s="805" t="s">
        <v>1660</v>
      </c>
      <c r="B8" s="870"/>
      <c r="C8" s="870"/>
      <c r="D8" s="870"/>
      <c r="E8" s="870"/>
      <c r="F8" s="870"/>
      <c r="G8" s="870"/>
      <c r="H8" s="870"/>
      <c r="I8" s="870"/>
      <c r="J8" s="870"/>
      <c r="K8" s="870"/>
      <c r="L8" s="870"/>
      <c r="M8" s="870"/>
      <c r="N8" s="870"/>
      <c r="O8" s="870"/>
      <c r="P8" s="870"/>
    </row>
    <row r="9" spans="1:16" ht="16.149999999999999">
      <c r="A9" s="942" t="s">
        <v>1660</v>
      </c>
      <c r="B9" s="259">
        <v>0.4</v>
      </c>
      <c r="C9" s="150">
        <v>0</v>
      </c>
      <c r="D9" s="150">
        <v>0</v>
      </c>
      <c r="E9" s="150">
        <v>0</v>
      </c>
      <c r="F9" s="259">
        <v>0</v>
      </c>
      <c r="G9" s="783">
        <v>0.4</v>
      </c>
      <c r="H9" s="259">
        <v>0.4</v>
      </c>
      <c r="I9" s="259">
        <v>0</v>
      </c>
      <c r="J9" s="259">
        <v>0</v>
      </c>
      <c r="K9" s="259">
        <v>0</v>
      </c>
      <c r="L9" s="259">
        <v>0</v>
      </c>
      <c r="M9" s="258">
        <v>0.4</v>
      </c>
      <c r="N9" s="257">
        <v>0</v>
      </c>
      <c r="O9" s="943" t="s">
        <v>1661</v>
      </c>
      <c r="P9" s="944" t="s">
        <v>65</v>
      </c>
    </row>
    <row r="10" spans="1:16" ht="16.149999999999999">
      <c r="A10" s="945" t="s">
        <v>1662</v>
      </c>
      <c r="B10" s="202">
        <v>0.4</v>
      </c>
      <c r="C10" s="202">
        <v>0</v>
      </c>
      <c r="D10" s="202">
        <v>0</v>
      </c>
      <c r="E10" s="202">
        <v>0</v>
      </c>
      <c r="F10" s="202">
        <v>0</v>
      </c>
      <c r="G10" s="202">
        <v>0.4</v>
      </c>
      <c r="H10" s="202">
        <v>0.4</v>
      </c>
      <c r="I10" s="202">
        <v>0</v>
      </c>
      <c r="J10" s="202">
        <v>0</v>
      </c>
      <c r="K10" s="202">
        <v>0</v>
      </c>
      <c r="L10" s="202">
        <v>0</v>
      </c>
      <c r="M10" s="202">
        <v>0.4</v>
      </c>
      <c r="N10" s="946">
        <v>0</v>
      </c>
      <c r="O10" s="947"/>
      <c r="P10" s="948"/>
    </row>
    <row r="11" spans="1:16" ht="16.149999999999999">
      <c r="A11" s="488"/>
      <c r="B11" s="794"/>
      <c r="C11" s="794"/>
      <c r="D11" s="794"/>
      <c r="E11" s="794"/>
      <c r="F11" s="794"/>
      <c r="G11" s="794"/>
      <c r="H11" s="794"/>
      <c r="I11" s="794"/>
      <c r="J11" s="794"/>
      <c r="K11" s="794"/>
      <c r="L11" s="794"/>
      <c r="M11" s="794"/>
      <c r="N11" s="949"/>
      <c r="O11" s="950"/>
      <c r="P11" s="950"/>
    </row>
    <row r="12" spans="1:16" ht="16.149999999999999">
      <c r="A12" s="805" t="s">
        <v>1663</v>
      </c>
      <c r="B12" s="870"/>
      <c r="C12" s="870"/>
      <c r="D12" s="870"/>
      <c r="E12" s="870"/>
      <c r="F12" s="870"/>
      <c r="G12" s="870"/>
      <c r="H12" s="870"/>
      <c r="I12" s="870"/>
      <c r="J12" s="870"/>
      <c r="K12" s="870"/>
      <c r="L12" s="870"/>
      <c r="M12" s="870"/>
      <c r="N12" s="870"/>
      <c r="O12" s="870"/>
      <c r="P12" s="870"/>
    </row>
    <row r="13" spans="1:16" ht="64.900000000000006">
      <c r="A13" s="189" t="s">
        <v>1664</v>
      </c>
      <c r="B13" s="181">
        <v>1.49</v>
      </c>
      <c r="C13" s="181">
        <v>0</v>
      </c>
      <c r="D13" s="181">
        <v>0</v>
      </c>
      <c r="E13" s="181">
        <v>0</v>
      </c>
      <c r="F13" s="181">
        <v>0</v>
      </c>
      <c r="G13" s="180">
        <v>1.49</v>
      </c>
      <c r="H13" s="259">
        <v>1.49</v>
      </c>
      <c r="I13" s="259">
        <v>0</v>
      </c>
      <c r="J13" s="259">
        <v>0</v>
      </c>
      <c r="K13" s="259">
        <v>0</v>
      </c>
      <c r="L13" s="259">
        <v>0</v>
      </c>
      <c r="M13" s="258">
        <v>1.49</v>
      </c>
      <c r="N13" s="257">
        <v>0</v>
      </c>
      <c r="O13" s="189" t="s">
        <v>1665</v>
      </c>
      <c r="P13" s="188" t="s">
        <v>65</v>
      </c>
    </row>
    <row r="14" spans="1:16" ht="16.149999999999999">
      <c r="A14" s="945" t="s">
        <v>1666</v>
      </c>
      <c r="B14" s="202">
        <v>1.49</v>
      </c>
      <c r="C14" s="202">
        <v>0</v>
      </c>
      <c r="D14" s="202">
        <v>0</v>
      </c>
      <c r="E14" s="202">
        <v>0</v>
      </c>
      <c r="F14" s="202">
        <v>0</v>
      </c>
      <c r="G14" s="202">
        <v>1.49</v>
      </c>
      <c r="H14" s="202">
        <v>1.49</v>
      </c>
      <c r="I14" s="202">
        <v>0</v>
      </c>
      <c r="J14" s="202">
        <v>0</v>
      </c>
      <c r="K14" s="202">
        <v>0</v>
      </c>
      <c r="L14" s="202">
        <v>0</v>
      </c>
      <c r="M14" s="202">
        <v>1.49</v>
      </c>
      <c r="N14" s="946">
        <v>0</v>
      </c>
      <c r="O14" s="947"/>
      <c r="P14" s="948"/>
    </row>
    <row r="15" spans="1:16" ht="16.149999999999999">
      <c r="A15" s="488"/>
      <c r="B15" s="794"/>
      <c r="C15" s="794"/>
      <c r="D15" s="794"/>
      <c r="E15" s="794"/>
      <c r="F15" s="794"/>
      <c r="G15" s="794"/>
      <c r="H15" s="794"/>
      <c r="I15" s="794"/>
      <c r="J15" s="794"/>
      <c r="K15" s="794"/>
      <c r="L15" s="794"/>
      <c r="M15" s="794"/>
      <c r="N15" s="949"/>
      <c r="O15" s="950"/>
      <c r="P15" s="950"/>
    </row>
    <row r="16" spans="1:16" ht="32.450000000000003">
      <c r="A16" s="805" t="s">
        <v>1667</v>
      </c>
      <c r="B16" s="870"/>
      <c r="C16" s="870"/>
      <c r="D16" s="870"/>
      <c r="E16" s="870"/>
      <c r="F16" s="870"/>
      <c r="G16" s="870"/>
      <c r="H16" s="870"/>
      <c r="I16" s="870"/>
      <c r="J16" s="870"/>
      <c r="K16" s="870"/>
      <c r="L16" s="870"/>
      <c r="M16" s="870"/>
      <c r="N16" s="870"/>
      <c r="O16" s="870"/>
      <c r="P16" s="870"/>
    </row>
    <row r="17" spans="1:16" ht="48.6">
      <c r="A17" s="612" t="s">
        <v>1668</v>
      </c>
      <c r="B17" s="150">
        <v>32.332999999999998</v>
      </c>
      <c r="C17" s="150">
        <v>0</v>
      </c>
      <c r="D17" s="150">
        <v>0</v>
      </c>
      <c r="E17" s="150">
        <v>0</v>
      </c>
      <c r="F17" s="150">
        <v>0</v>
      </c>
      <c r="G17" s="260">
        <v>32.332999999999998</v>
      </c>
      <c r="H17" s="259">
        <v>32.027999999999999</v>
      </c>
      <c r="I17" s="259">
        <v>0</v>
      </c>
      <c r="J17" s="259">
        <v>0</v>
      </c>
      <c r="K17" s="259">
        <v>0</v>
      </c>
      <c r="L17" s="259">
        <v>0</v>
      </c>
      <c r="M17" s="258">
        <v>32.027999999999999</v>
      </c>
      <c r="N17" s="257">
        <v>-9.4330869390406007E-3</v>
      </c>
      <c r="O17" s="256" t="s">
        <v>1669</v>
      </c>
      <c r="P17" s="255" t="s">
        <v>1670</v>
      </c>
    </row>
    <row r="18" spans="1:16" ht="32.450000000000003">
      <c r="A18" s="612" t="s">
        <v>1671</v>
      </c>
      <c r="B18" s="150">
        <v>0</v>
      </c>
      <c r="C18" s="150">
        <v>0</v>
      </c>
      <c r="D18" s="150">
        <v>0</v>
      </c>
      <c r="E18" s="150">
        <v>0</v>
      </c>
      <c r="F18" s="150">
        <v>0</v>
      </c>
      <c r="G18" s="260">
        <v>0</v>
      </c>
      <c r="H18" s="259">
        <v>0</v>
      </c>
      <c r="I18" s="259">
        <v>0</v>
      </c>
      <c r="J18" s="259">
        <v>0</v>
      </c>
      <c r="K18" s="259">
        <v>0</v>
      </c>
      <c r="L18" s="259">
        <v>0</v>
      </c>
      <c r="M18" s="258">
        <v>0</v>
      </c>
      <c r="N18" s="257" t="s">
        <v>204</v>
      </c>
      <c r="O18" s="256" t="s">
        <v>1672</v>
      </c>
      <c r="P18" s="255" t="s">
        <v>1673</v>
      </c>
    </row>
    <row r="19" spans="1:16" ht="32.450000000000003">
      <c r="A19" s="612" t="s">
        <v>1674</v>
      </c>
      <c r="B19" s="150">
        <v>0</v>
      </c>
      <c r="C19" s="150">
        <v>0</v>
      </c>
      <c r="D19" s="150">
        <v>0</v>
      </c>
      <c r="E19" s="150">
        <v>0</v>
      </c>
      <c r="F19" s="150">
        <v>0</v>
      </c>
      <c r="G19" s="260">
        <v>0</v>
      </c>
      <c r="H19" s="259">
        <v>0</v>
      </c>
      <c r="I19" s="259">
        <v>0</v>
      </c>
      <c r="J19" s="259">
        <v>0</v>
      </c>
      <c r="K19" s="259">
        <v>0</v>
      </c>
      <c r="L19" s="259">
        <v>0</v>
      </c>
      <c r="M19" s="258">
        <v>0</v>
      </c>
      <c r="N19" s="257" t="s">
        <v>204</v>
      </c>
      <c r="O19" s="256" t="s">
        <v>1672</v>
      </c>
      <c r="P19" s="255" t="s">
        <v>1673</v>
      </c>
    </row>
    <row r="20" spans="1:16" ht="32.450000000000003">
      <c r="A20" s="612" t="s">
        <v>1675</v>
      </c>
      <c r="B20" s="150">
        <v>0</v>
      </c>
      <c r="C20" s="150">
        <v>0.86499999999999999</v>
      </c>
      <c r="D20" s="150">
        <v>0</v>
      </c>
      <c r="E20" s="150">
        <v>0</v>
      </c>
      <c r="F20" s="150">
        <v>0</v>
      </c>
      <c r="G20" s="260">
        <v>0.86499999999999999</v>
      </c>
      <c r="H20" s="259">
        <v>0</v>
      </c>
      <c r="I20" s="259">
        <v>0.57400000000000007</v>
      </c>
      <c r="J20" s="259">
        <v>0</v>
      </c>
      <c r="K20" s="259">
        <v>0</v>
      </c>
      <c r="L20" s="259">
        <v>0</v>
      </c>
      <c r="M20" s="258">
        <v>0.57400000000000007</v>
      </c>
      <c r="N20" s="257">
        <v>-0.33641618497109821</v>
      </c>
      <c r="O20" s="256" t="s">
        <v>1676</v>
      </c>
      <c r="P20" s="255" t="s">
        <v>238</v>
      </c>
    </row>
    <row r="21" spans="1:16" ht="64.900000000000006">
      <c r="A21" s="612" t="s">
        <v>1677</v>
      </c>
      <c r="B21" s="150">
        <v>31.349</v>
      </c>
      <c r="C21" s="150">
        <v>0</v>
      </c>
      <c r="D21" s="150">
        <v>0</v>
      </c>
      <c r="E21" s="150">
        <v>0</v>
      </c>
      <c r="F21" s="150">
        <v>0</v>
      </c>
      <c r="G21" s="260">
        <v>31.349</v>
      </c>
      <c r="H21" s="259">
        <v>43.01</v>
      </c>
      <c r="I21" s="259">
        <v>0</v>
      </c>
      <c r="J21" s="259">
        <v>0</v>
      </c>
      <c r="K21" s="259">
        <v>0</v>
      </c>
      <c r="L21" s="259">
        <v>0</v>
      </c>
      <c r="M21" s="258">
        <v>43.01</v>
      </c>
      <c r="N21" s="257">
        <v>0.37197358767424793</v>
      </c>
      <c r="O21" s="256" t="s">
        <v>1678</v>
      </c>
      <c r="P21" s="255" t="s">
        <v>1679</v>
      </c>
    </row>
    <row r="22" spans="1:16" ht="32.450000000000003">
      <c r="A22" s="945" t="s">
        <v>1680</v>
      </c>
      <c r="B22" s="202">
        <v>63.682000000000002</v>
      </c>
      <c r="C22" s="202">
        <v>0.86499999999999999</v>
      </c>
      <c r="D22" s="202">
        <v>0</v>
      </c>
      <c r="E22" s="202">
        <v>0</v>
      </c>
      <c r="F22" s="202">
        <v>0</v>
      </c>
      <c r="G22" s="202">
        <v>64.546999999999997</v>
      </c>
      <c r="H22" s="202">
        <v>75.037999999999997</v>
      </c>
      <c r="I22" s="202">
        <v>0.57400000000000007</v>
      </c>
      <c r="J22" s="202">
        <v>0</v>
      </c>
      <c r="K22" s="202">
        <v>0</v>
      </c>
      <c r="L22" s="202">
        <v>0</v>
      </c>
      <c r="M22" s="202">
        <v>75.611999999999995</v>
      </c>
      <c r="N22" s="946">
        <v>0.17142547291121196</v>
      </c>
      <c r="O22" s="947"/>
      <c r="P22" s="948"/>
    </row>
    <row r="23" spans="1:16" ht="16.149999999999999">
      <c r="A23" s="797"/>
      <c r="B23" s="951"/>
      <c r="C23" s="951"/>
      <c r="D23" s="951"/>
      <c r="E23" s="951"/>
      <c r="F23" s="951"/>
      <c r="G23" s="951"/>
      <c r="H23" s="951"/>
      <c r="I23" s="951"/>
      <c r="J23" s="951"/>
      <c r="K23" s="951"/>
      <c r="L23" s="951"/>
      <c r="M23" s="951"/>
      <c r="N23" s="952"/>
      <c r="O23" s="941"/>
      <c r="P23" s="941"/>
    </row>
    <row r="24" spans="1:16" ht="16.149999999999999">
      <c r="A24" s="805" t="s">
        <v>1681</v>
      </c>
      <c r="B24" s="870"/>
      <c r="C24" s="870"/>
      <c r="D24" s="870"/>
      <c r="E24" s="870"/>
      <c r="F24" s="870"/>
      <c r="G24" s="870"/>
      <c r="H24" s="870"/>
      <c r="I24" s="870"/>
      <c r="J24" s="870"/>
      <c r="K24" s="870"/>
      <c r="L24" s="870"/>
      <c r="M24" s="870"/>
      <c r="N24" s="870"/>
      <c r="O24" s="870"/>
      <c r="P24" s="870"/>
    </row>
    <row r="25" spans="1:16" ht="48.6">
      <c r="A25" s="612" t="s">
        <v>1682</v>
      </c>
      <c r="B25" s="150">
        <v>26.087</v>
      </c>
      <c r="C25" s="150">
        <v>0</v>
      </c>
      <c r="D25" s="150">
        <v>0</v>
      </c>
      <c r="E25" s="150">
        <v>0</v>
      </c>
      <c r="F25" s="150">
        <v>0</v>
      </c>
      <c r="G25" s="260">
        <v>26.087</v>
      </c>
      <c r="H25" s="259">
        <v>26.97</v>
      </c>
      <c r="I25" s="259">
        <v>0</v>
      </c>
      <c r="J25" s="259">
        <v>0</v>
      </c>
      <c r="K25" s="259">
        <v>0</v>
      </c>
      <c r="L25" s="259">
        <v>0</v>
      </c>
      <c r="M25" s="258">
        <v>26.97</v>
      </c>
      <c r="N25" s="257">
        <v>3.3848276919538435E-2</v>
      </c>
      <c r="O25" s="256" t="s">
        <v>1683</v>
      </c>
      <c r="P25" s="255" t="s">
        <v>1684</v>
      </c>
    </row>
    <row r="26" spans="1:16" ht="32.450000000000003">
      <c r="A26" s="612" t="s">
        <v>1685</v>
      </c>
      <c r="B26" s="150">
        <v>0</v>
      </c>
      <c r="C26" s="150">
        <v>0</v>
      </c>
      <c r="D26" s="150">
        <v>1.1499999999999999</v>
      </c>
      <c r="E26" s="150">
        <v>0</v>
      </c>
      <c r="F26" s="150">
        <v>0</v>
      </c>
      <c r="G26" s="260">
        <v>1.1499999999999999</v>
      </c>
      <c r="H26" s="259">
        <v>0</v>
      </c>
      <c r="I26" s="259">
        <v>0</v>
      </c>
      <c r="J26" s="259">
        <v>2.7</v>
      </c>
      <c r="K26" s="259">
        <v>0</v>
      </c>
      <c r="L26" s="259">
        <v>0</v>
      </c>
      <c r="M26" s="258">
        <v>2.7</v>
      </c>
      <c r="N26" s="257">
        <v>1.3478260869565222</v>
      </c>
      <c r="O26" s="256" t="s">
        <v>1686</v>
      </c>
      <c r="P26" s="255" t="s">
        <v>1687</v>
      </c>
    </row>
    <row r="27" spans="1:16" ht="16.149999999999999">
      <c r="A27" s="612" t="s">
        <v>1688</v>
      </c>
      <c r="B27" s="150">
        <v>0</v>
      </c>
      <c r="C27" s="150">
        <v>3.6160000000000001</v>
      </c>
      <c r="D27" s="150">
        <v>0</v>
      </c>
      <c r="E27" s="150">
        <v>0</v>
      </c>
      <c r="F27" s="150">
        <v>0</v>
      </c>
      <c r="G27" s="260">
        <v>3.6160000000000001</v>
      </c>
      <c r="H27" s="259">
        <v>0</v>
      </c>
      <c r="I27" s="259">
        <v>3.919</v>
      </c>
      <c r="J27" s="259">
        <v>0</v>
      </c>
      <c r="K27" s="259">
        <v>0</v>
      </c>
      <c r="L27" s="259">
        <v>0</v>
      </c>
      <c r="M27" s="258">
        <v>3.919</v>
      </c>
      <c r="N27" s="257">
        <v>8.3794247787610604E-2</v>
      </c>
      <c r="O27" s="256" t="s">
        <v>1689</v>
      </c>
      <c r="P27" s="255" t="s">
        <v>238</v>
      </c>
    </row>
    <row r="28" spans="1:16" ht="48.6">
      <c r="A28" s="612" t="s">
        <v>1690</v>
      </c>
      <c r="B28" s="150">
        <v>18.073</v>
      </c>
      <c r="C28" s="150">
        <v>0</v>
      </c>
      <c r="D28" s="150">
        <v>0</v>
      </c>
      <c r="E28" s="150">
        <v>0</v>
      </c>
      <c r="F28" s="150">
        <v>0</v>
      </c>
      <c r="G28" s="260">
        <v>18.073</v>
      </c>
      <c r="H28" s="259">
        <v>19.45</v>
      </c>
      <c r="I28" s="259">
        <v>0</v>
      </c>
      <c r="J28" s="259">
        <v>0</v>
      </c>
      <c r="K28" s="259">
        <v>0</v>
      </c>
      <c r="L28" s="259">
        <v>0</v>
      </c>
      <c r="M28" s="258">
        <v>19.45</v>
      </c>
      <c r="N28" s="257">
        <v>7.6191003153875891E-2</v>
      </c>
      <c r="O28" s="256" t="s">
        <v>1691</v>
      </c>
      <c r="P28" s="255" t="s">
        <v>1684</v>
      </c>
    </row>
    <row r="29" spans="1:16" ht="32.450000000000003">
      <c r="A29" s="612" t="s">
        <v>1692</v>
      </c>
      <c r="B29" s="150">
        <v>0</v>
      </c>
      <c r="C29" s="150">
        <v>0</v>
      </c>
      <c r="D29" s="150">
        <v>2.75</v>
      </c>
      <c r="E29" s="150">
        <v>0</v>
      </c>
      <c r="F29" s="150">
        <v>0</v>
      </c>
      <c r="G29" s="260">
        <v>2.75</v>
      </c>
      <c r="H29" s="259">
        <v>0</v>
      </c>
      <c r="I29" s="259">
        <v>0</v>
      </c>
      <c r="J29" s="259">
        <v>4.1500000000000004</v>
      </c>
      <c r="K29" s="259">
        <v>0</v>
      </c>
      <c r="L29" s="259">
        <v>0</v>
      </c>
      <c r="M29" s="258">
        <v>4.1500000000000004</v>
      </c>
      <c r="N29" s="257">
        <v>0.50909090909090926</v>
      </c>
      <c r="O29" s="256" t="s">
        <v>1686</v>
      </c>
      <c r="P29" s="255" t="s">
        <v>1693</v>
      </c>
    </row>
    <row r="30" spans="1:16" ht="16.149999999999999">
      <c r="A30" s="612" t="s">
        <v>1694</v>
      </c>
      <c r="B30" s="150">
        <v>0</v>
      </c>
      <c r="C30" s="150">
        <v>2.5</v>
      </c>
      <c r="D30" s="150">
        <v>0</v>
      </c>
      <c r="E30" s="150">
        <v>0</v>
      </c>
      <c r="F30" s="150">
        <v>0</v>
      </c>
      <c r="G30" s="260">
        <v>2.5</v>
      </c>
      <c r="H30" s="259">
        <v>0</v>
      </c>
      <c r="I30" s="259">
        <v>2.5</v>
      </c>
      <c r="J30" s="259">
        <v>0</v>
      </c>
      <c r="K30" s="259">
        <v>0</v>
      </c>
      <c r="L30" s="259">
        <v>0</v>
      </c>
      <c r="M30" s="258">
        <v>2.5</v>
      </c>
      <c r="N30" s="257">
        <v>0</v>
      </c>
      <c r="O30" s="256" t="s">
        <v>1695</v>
      </c>
      <c r="P30" s="255" t="s">
        <v>47</v>
      </c>
    </row>
    <row r="31" spans="1:16" ht="48.6">
      <c r="A31" s="612" t="s">
        <v>1696</v>
      </c>
      <c r="B31" s="150">
        <v>16.088000000000001</v>
      </c>
      <c r="C31" s="150">
        <v>0</v>
      </c>
      <c r="D31" s="150">
        <v>0</v>
      </c>
      <c r="E31" s="150">
        <v>0</v>
      </c>
      <c r="F31" s="150">
        <v>0</v>
      </c>
      <c r="G31" s="260">
        <v>16.088000000000001</v>
      </c>
      <c r="H31" s="259">
        <v>16.77</v>
      </c>
      <c r="I31" s="259">
        <v>0</v>
      </c>
      <c r="J31" s="259">
        <v>0</v>
      </c>
      <c r="K31" s="259">
        <v>0</v>
      </c>
      <c r="L31" s="259">
        <v>0</v>
      </c>
      <c r="M31" s="258">
        <v>16.77</v>
      </c>
      <c r="N31" s="257">
        <v>4.2391844853306722E-2</v>
      </c>
      <c r="O31" s="256" t="s">
        <v>1697</v>
      </c>
      <c r="P31" s="255" t="s">
        <v>1684</v>
      </c>
    </row>
    <row r="32" spans="1:16" ht="48.6">
      <c r="A32" s="612" t="s">
        <v>1698</v>
      </c>
      <c r="B32" s="150">
        <v>0</v>
      </c>
      <c r="C32" s="150">
        <v>0</v>
      </c>
      <c r="D32" s="150">
        <v>2.8</v>
      </c>
      <c r="E32" s="150">
        <v>0</v>
      </c>
      <c r="F32" s="150">
        <v>0</v>
      </c>
      <c r="G32" s="260">
        <v>2.8</v>
      </c>
      <c r="H32" s="259">
        <v>0</v>
      </c>
      <c r="I32" s="259">
        <v>0</v>
      </c>
      <c r="J32" s="259">
        <v>5.4</v>
      </c>
      <c r="K32" s="259">
        <v>0</v>
      </c>
      <c r="L32" s="259">
        <v>0</v>
      </c>
      <c r="M32" s="258">
        <v>5.4</v>
      </c>
      <c r="N32" s="257">
        <v>0.92857142857142883</v>
      </c>
      <c r="O32" s="256" t="s">
        <v>1699</v>
      </c>
      <c r="P32" s="255" t="s">
        <v>1700</v>
      </c>
    </row>
    <row r="33" spans="1:16" ht="16.149999999999999">
      <c r="A33" s="612" t="s">
        <v>1701</v>
      </c>
      <c r="B33" s="150">
        <v>0</v>
      </c>
      <c r="C33" s="150">
        <v>4.0999999999999996</v>
      </c>
      <c r="D33" s="150">
        <v>0</v>
      </c>
      <c r="E33" s="150">
        <v>0</v>
      </c>
      <c r="F33" s="150">
        <v>0</v>
      </c>
      <c r="G33" s="260">
        <v>4.0999999999999996</v>
      </c>
      <c r="H33" s="259">
        <v>0</v>
      </c>
      <c r="I33" s="259">
        <v>4.3</v>
      </c>
      <c r="J33" s="259">
        <v>0</v>
      </c>
      <c r="K33" s="259">
        <v>0</v>
      </c>
      <c r="L33" s="259">
        <v>0</v>
      </c>
      <c r="M33" s="258">
        <v>4.3</v>
      </c>
      <c r="N33" s="257">
        <v>4.8780487804878099E-2</v>
      </c>
      <c r="O33" s="256" t="s">
        <v>1702</v>
      </c>
      <c r="P33" s="255" t="s">
        <v>238</v>
      </c>
    </row>
    <row r="34" spans="1:16" ht="48.6">
      <c r="A34" s="612" t="s">
        <v>1703</v>
      </c>
      <c r="B34" s="150">
        <v>3.645</v>
      </c>
      <c r="C34" s="150">
        <v>0</v>
      </c>
      <c r="D34" s="150">
        <v>1</v>
      </c>
      <c r="E34" s="150">
        <v>0</v>
      </c>
      <c r="F34" s="150">
        <v>0</v>
      </c>
      <c r="G34" s="260">
        <v>4.6449999999999996</v>
      </c>
      <c r="H34" s="259">
        <v>3.645</v>
      </c>
      <c r="I34" s="259">
        <v>0</v>
      </c>
      <c r="J34" s="259">
        <v>0.3</v>
      </c>
      <c r="K34" s="259">
        <v>0</v>
      </c>
      <c r="L34" s="259">
        <v>0</v>
      </c>
      <c r="M34" s="258">
        <v>3.9449999999999998</v>
      </c>
      <c r="N34" s="257">
        <v>-0.15069967707212051</v>
      </c>
      <c r="O34" s="256" t="s">
        <v>1704</v>
      </c>
      <c r="P34" s="255" t="s">
        <v>1705</v>
      </c>
    </row>
    <row r="35" spans="1:16" ht="32.450000000000003">
      <c r="A35" s="612" t="s">
        <v>1706</v>
      </c>
      <c r="B35" s="150">
        <v>0.66500000000000004</v>
      </c>
      <c r="C35" s="150">
        <v>0</v>
      </c>
      <c r="D35" s="150">
        <v>0</v>
      </c>
      <c r="E35" s="150">
        <v>0</v>
      </c>
      <c r="F35" s="150">
        <v>0</v>
      </c>
      <c r="G35" s="260">
        <v>0.66500000000000004</v>
      </c>
      <c r="H35" s="259">
        <v>0.66500000000000004</v>
      </c>
      <c r="I35" s="259">
        <v>0</v>
      </c>
      <c r="J35" s="259">
        <v>0</v>
      </c>
      <c r="K35" s="259">
        <v>0</v>
      </c>
      <c r="L35" s="259">
        <v>0</v>
      </c>
      <c r="M35" s="258">
        <v>0.66500000000000004</v>
      </c>
      <c r="N35" s="257">
        <v>0</v>
      </c>
      <c r="O35" s="256" t="s">
        <v>1707</v>
      </c>
      <c r="P35" s="255" t="s">
        <v>47</v>
      </c>
    </row>
    <row r="36" spans="1:16" ht="32.450000000000003">
      <c r="A36" s="612" t="s">
        <v>1708</v>
      </c>
      <c r="B36" s="150">
        <v>0</v>
      </c>
      <c r="C36" s="150">
        <v>0</v>
      </c>
      <c r="D36" s="150">
        <v>5.4</v>
      </c>
      <c r="E36" s="150">
        <v>0</v>
      </c>
      <c r="F36" s="150">
        <v>0</v>
      </c>
      <c r="G36" s="260">
        <v>5.4</v>
      </c>
      <c r="H36" s="259">
        <v>0</v>
      </c>
      <c r="I36" s="259">
        <v>0</v>
      </c>
      <c r="J36" s="259">
        <v>1.1000000000000001</v>
      </c>
      <c r="K36" s="259">
        <v>0</v>
      </c>
      <c r="L36" s="259">
        <v>0</v>
      </c>
      <c r="M36" s="258">
        <v>1.1000000000000001</v>
      </c>
      <c r="N36" s="257">
        <v>-0.79629629629629639</v>
      </c>
      <c r="O36" s="256" t="s">
        <v>1709</v>
      </c>
      <c r="P36" s="255" t="s">
        <v>1710</v>
      </c>
    </row>
    <row r="37" spans="1:16" ht="16.149999999999999">
      <c r="A37" s="945" t="s">
        <v>1711</v>
      </c>
      <c r="B37" s="202">
        <v>64.558000000000007</v>
      </c>
      <c r="C37" s="202">
        <v>10.215999999999999</v>
      </c>
      <c r="D37" s="202">
        <v>13.1</v>
      </c>
      <c r="E37" s="202">
        <v>0</v>
      </c>
      <c r="F37" s="202">
        <v>0</v>
      </c>
      <c r="G37" s="202">
        <v>87.874000000000009</v>
      </c>
      <c r="H37" s="202">
        <v>67.5</v>
      </c>
      <c r="I37" s="202">
        <v>10.719000000000001</v>
      </c>
      <c r="J37" s="202">
        <v>13.65</v>
      </c>
      <c r="K37" s="202">
        <v>0</v>
      </c>
      <c r="L37" s="202">
        <v>0</v>
      </c>
      <c r="M37" s="202">
        <v>91.869</v>
      </c>
      <c r="N37" s="946">
        <v>4.5462821767530665E-2</v>
      </c>
      <c r="O37" s="947"/>
      <c r="P37" s="948"/>
    </row>
    <row r="38" spans="1:16" s="925" customFormat="1" ht="32.450000000000003">
      <c r="A38" s="805" t="s">
        <v>1712</v>
      </c>
      <c r="B38" s="806"/>
      <c r="C38" s="806"/>
      <c r="D38" s="806"/>
      <c r="E38" s="806"/>
      <c r="F38" s="806"/>
      <c r="G38" s="806"/>
      <c r="H38" s="806"/>
      <c r="I38" s="806"/>
      <c r="J38" s="806"/>
      <c r="K38" s="806"/>
      <c r="L38" s="806"/>
      <c r="M38" s="806"/>
      <c r="N38" s="806"/>
      <c r="O38" s="806"/>
      <c r="P38" s="806"/>
    </row>
    <row r="39" spans="1:16" s="925" customFormat="1" ht="32.450000000000003">
      <c r="A39" s="612" t="s">
        <v>1712</v>
      </c>
      <c r="B39" s="150">
        <v>3.5449999999999999</v>
      </c>
      <c r="C39" s="150">
        <v>0</v>
      </c>
      <c r="D39" s="150">
        <v>0</v>
      </c>
      <c r="E39" s="150">
        <v>0</v>
      </c>
      <c r="F39" s="150">
        <v>0</v>
      </c>
      <c r="G39" s="260">
        <v>3.5449999999999999</v>
      </c>
      <c r="H39" s="259">
        <v>3.6205250000000002</v>
      </c>
      <c r="I39" s="259">
        <v>0</v>
      </c>
      <c r="J39" s="259">
        <v>0</v>
      </c>
      <c r="K39" s="259">
        <v>0</v>
      </c>
      <c r="L39" s="259">
        <v>0</v>
      </c>
      <c r="M39" s="258">
        <v>3.6205250000000002</v>
      </c>
      <c r="N39" s="257">
        <v>2.1304654442877373E-2</v>
      </c>
      <c r="O39" s="256" t="s">
        <v>1713</v>
      </c>
      <c r="P39" s="255" t="s">
        <v>1714</v>
      </c>
    </row>
    <row r="40" spans="1:16" s="925" customFormat="1" ht="32.450000000000003">
      <c r="A40" s="945" t="s">
        <v>1715</v>
      </c>
      <c r="B40" s="202">
        <v>3.5449999999999999</v>
      </c>
      <c r="C40" s="202">
        <v>0</v>
      </c>
      <c r="D40" s="202">
        <v>0</v>
      </c>
      <c r="E40" s="202">
        <v>0</v>
      </c>
      <c r="F40" s="202">
        <v>0</v>
      </c>
      <c r="G40" s="202">
        <v>3.5449999999999999</v>
      </c>
      <c r="H40" s="202">
        <v>3.6205250000000002</v>
      </c>
      <c r="I40" s="202">
        <v>0</v>
      </c>
      <c r="J40" s="202">
        <v>0</v>
      </c>
      <c r="K40" s="202">
        <v>0</v>
      </c>
      <c r="L40" s="202">
        <v>0</v>
      </c>
      <c r="M40" s="202">
        <v>3.6205250000000002</v>
      </c>
      <c r="N40" s="946">
        <v>2.1304654442877373E-2</v>
      </c>
      <c r="O40" s="953"/>
      <c r="P40" s="954"/>
    </row>
    <row r="41" spans="1:16" ht="16.149999999999999">
      <c r="A41" s="797"/>
      <c r="B41" s="951"/>
      <c r="C41" s="951"/>
      <c r="D41" s="951"/>
      <c r="E41" s="951"/>
      <c r="F41" s="951"/>
      <c r="G41" s="951"/>
      <c r="H41" s="951"/>
      <c r="I41" s="951"/>
      <c r="J41" s="951"/>
      <c r="K41" s="951"/>
      <c r="L41" s="951"/>
      <c r="M41" s="951"/>
      <c r="N41" s="952"/>
      <c r="O41" s="941"/>
      <c r="P41" s="941"/>
    </row>
    <row r="42" spans="1:16" ht="32.450000000000003">
      <c r="A42" s="805" t="s">
        <v>1716</v>
      </c>
      <c r="B42" s="806"/>
      <c r="C42" s="806"/>
      <c r="D42" s="806"/>
      <c r="E42" s="806"/>
      <c r="F42" s="806"/>
      <c r="G42" s="806"/>
      <c r="H42" s="806"/>
      <c r="I42" s="806"/>
      <c r="J42" s="806"/>
      <c r="K42" s="806"/>
      <c r="L42" s="806"/>
      <c r="M42" s="806"/>
      <c r="N42" s="806"/>
      <c r="O42" s="806"/>
      <c r="P42" s="806"/>
    </row>
    <row r="43" spans="1:16" ht="32.450000000000003">
      <c r="A43" s="612" t="s">
        <v>1717</v>
      </c>
      <c r="B43" s="150">
        <v>22.931999999999999</v>
      </c>
      <c r="C43" s="150">
        <v>0</v>
      </c>
      <c r="D43" s="150">
        <v>0</v>
      </c>
      <c r="E43" s="150">
        <v>0</v>
      </c>
      <c r="F43" s="150">
        <v>0</v>
      </c>
      <c r="G43" s="260">
        <v>22.931999999999999</v>
      </c>
      <c r="H43" s="259">
        <v>23.596</v>
      </c>
      <c r="I43" s="259">
        <v>0</v>
      </c>
      <c r="J43" s="259">
        <v>0</v>
      </c>
      <c r="K43" s="259">
        <v>0</v>
      </c>
      <c r="L43" s="259">
        <v>0</v>
      </c>
      <c r="M43" s="258">
        <v>23.596</v>
      </c>
      <c r="N43" s="257">
        <v>2.8955171812314735E-2</v>
      </c>
      <c r="O43" s="256" t="s">
        <v>1718</v>
      </c>
      <c r="P43" s="255" t="s">
        <v>1719</v>
      </c>
    </row>
    <row r="44" spans="1:16" ht="32.450000000000003">
      <c r="A44" s="945" t="s">
        <v>1720</v>
      </c>
      <c r="B44" s="202">
        <v>22.931999999999999</v>
      </c>
      <c r="C44" s="202">
        <v>0</v>
      </c>
      <c r="D44" s="202">
        <v>0</v>
      </c>
      <c r="E44" s="202">
        <v>0</v>
      </c>
      <c r="F44" s="202">
        <v>0</v>
      </c>
      <c r="G44" s="202">
        <v>22.931999999999999</v>
      </c>
      <c r="H44" s="202">
        <v>23.596</v>
      </c>
      <c r="I44" s="202">
        <v>0</v>
      </c>
      <c r="J44" s="202">
        <v>0</v>
      </c>
      <c r="K44" s="202">
        <v>0</v>
      </c>
      <c r="L44" s="202">
        <v>0</v>
      </c>
      <c r="M44" s="202">
        <v>23.596</v>
      </c>
      <c r="N44" s="946">
        <v>2.8955171812314735E-2</v>
      </c>
      <c r="O44" s="947"/>
      <c r="P44" s="948"/>
    </row>
    <row r="45" spans="1:16" ht="16.149999999999999">
      <c r="A45" s="797"/>
      <c r="B45" s="951"/>
      <c r="C45" s="951"/>
      <c r="D45" s="951"/>
      <c r="E45" s="951"/>
      <c r="F45" s="951"/>
      <c r="G45" s="951"/>
      <c r="H45" s="951"/>
      <c r="I45" s="951"/>
      <c r="J45" s="951"/>
      <c r="K45" s="951"/>
      <c r="L45" s="951"/>
      <c r="M45" s="951"/>
      <c r="N45" s="952"/>
      <c r="O45" s="941"/>
      <c r="P45" s="941"/>
    </row>
    <row r="46" spans="1:16" ht="16.149999999999999">
      <c r="A46" s="728" t="s">
        <v>1721</v>
      </c>
      <c r="B46" s="701">
        <v>156.607</v>
      </c>
      <c r="C46" s="701">
        <v>11.081</v>
      </c>
      <c r="D46" s="701">
        <v>13.1</v>
      </c>
      <c r="E46" s="701">
        <v>0</v>
      </c>
      <c r="F46" s="701">
        <v>0</v>
      </c>
      <c r="G46" s="701">
        <v>180.78800000000001</v>
      </c>
      <c r="H46" s="701">
        <v>171.64452500000002</v>
      </c>
      <c r="I46" s="701">
        <v>11.293000000000001</v>
      </c>
      <c r="J46" s="701">
        <v>13.65</v>
      </c>
      <c r="K46" s="701">
        <v>0</v>
      </c>
      <c r="L46" s="701">
        <v>0</v>
      </c>
      <c r="M46" s="701">
        <v>196.587525</v>
      </c>
      <c r="N46" s="382">
        <v>8.7392553709316922E-2</v>
      </c>
      <c r="O46" s="955"/>
      <c r="P46" s="956"/>
    </row>
    <row r="47" spans="1:16" ht="16.149999999999999">
      <c r="A47" s="797"/>
      <c r="B47" s="951"/>
      <c r="C47" s="951"/>
      <c r="D47" s="951"/>
      <c r="E47" s="951"/>
      <c r="F47" s="951"/>
      <c r="G47" s="951"/>
      <c r="H47" s="951"/>
      <c r="I47" s="951"/>
      <c r="J47" s="951"/>
      <c r="K47" s="951"/>
      <c r="L47" s="951"/>
      <c r="M47" s="951"/>
      <c r="N47" s="957"/>
      <c r="O47" s="941"/>
      <c r="P47" s="941"/>
    </row>
    <row r="48" spans="1:16" ht="16.149999999999999">
      <c r="A48" s="958" t="s">
        <v>1722</v>
      </c>
      <c r="B48" s="959"/>
      <c r="C48" s="959"/>
      <c r="D48" s="959"/>
      <c r="E48" s="959"/>
      <c r="F48" s="959"/>
      <c r="G48" s="959"/>
      <c r="H48" s="959"/>
      <c r="I48" s="959"/>
      <c r="J48" s="959"/>
      <c r="K48" s="959"/>
      <c r="L48" s="959"/>
      <c r="M48" s="959"/>
      <c r="N48" s="959"/>
      <c r="O48" s="959"/>
      <c r="P48" s="959"/>
    </row>
    <row r="49" spans="1:16" ht="145.9">
      <c r="A49" s="612" t="s">
        <v>1723</v>
      </c>
      <c r="B49" s="150">
        <v>110.53</v>
      </c>
      <c r="C49" s="150">
        <v>0</v>
      </c>
      <c r="D49" s="150">
        <v>0</v>
      </c>
      <c r="E49" s="150">
        <v>0</v>
      </c>
      <c r="F49" s="150">
        <v>0</v>
      </c>
      <c r="G49" s="260">
        <v>110.53</v>
      </c>
      <c r="H49" s="259">
        <v>124.72199999999999</v>
      </c>
      <c r="I49" s="259">
        <v>0</v>
      </c>
      <c r="J49" s="259">
        <v>0</v>
      </c>
      <c r="K49" s="259">
        <v>0</v>
      </c>
      <c r="L49" s="259">
        <v>0</v>
      </c>
      <c r="M49" s="258">
        <v>124.72199999999999</v>
      </c>
      <c r="N49" s="257">
        <v>0.12839952953949146</v>
      </c>
      <c r="O49" s="256" t="s">
        <v>1724</v>
      </c>
      <c r="P49" s="255" t="s">
        <v>1725</v>
      </c>
    </row>
    <row r="50" spans="1:16" ht="16.149999999999999">
      <c r="A50" s="612" t="s">
        <v>1726</v>
      </c>
      <c r="B50" s="150">
        <v>0</v>
      </c>
      <c r="C50" s="150">
        <v>4</v>
      </c>
      <c r="D50" s="150">
        <v>0</v>
      </c>
      <c r="E50" s="150">
        <v>0</v>
      </c>
      <c r="F50" s="150">
        <v>0</v>
      </c>
      <c r="G50" s="260">
        <v>4</v>
      </c>
      <c r="H50" s="259">
        <v>0</v>
      </c>
      <c r="I50" s="259">
        <v>5</v>
      </c>
      <c r="J50" s="259">
        <v>0</v>
      </c>
      <c r="K50" s="259">
        <v>0</v>
      </c>
      <c r="L50" s="259">
        <v>0</v>
      </c>
      <c r="M50" s="258">
        <v>5</v>
      </c>
      <c r="N50" s="257">
        <v>0.25</v>
      </c>
      <c r="O50" s="256" t="s">
        <v>1727</v>
      </c>
      <c r="P50" s="255" t="s">
        <v>238</v>
      </c>
    </row>
    <row r="51" spans="1:16" ht="16.149999999999999">
      <c r="A51" s="85" t="s">
        <v>1728</v>
      </c>
      <c r="B51" s="960">
        <v>110.53</v>
      </c>
      <c r="C51" s="960">
        <v>4</v>
      </c>
      <c r="D51" s="960">
        <v>0</v>
      </c>
      <c r="E51" s="960">
        <v>0</v>
      </c>
      <c r="F51" s="960">
        <v>0</v>
      </c>
      <c r="G51" s="260">
        <v>114.53</v>
      </c>
      <c r="H51" s="960">
        <v>124.72199999999999</v>
      </c>
      <c r="I51" s="960">
        <v>5</v>
      </c>
      <c r="J51" s="960">
        <v>0</v>
      </c>
      <c r="K51" s="960">
        <v>0</v>
      </c>
      <c r="L51" s="960">
        <v>0</v>
      </c>
      <c r="M51" s="260">
        <v>129.72199999999998</v>
      </c>
      <c r="N51" s="257">
        <v>0.1326464681742773</v>
      </c>
      <c r="O51" s="961" t="s">
        <v>238</v>
      </c>
      <c r="P51" s="962" t="s">
        <v>238</v>
      </c>
    </row>
    <row r="52" spans="1:16" ht="48.6">
      <c r="A52" s="612" t="s">
        <v>1729</v>
      </c>
      <c r="B52" s="150">
        <v>0</v>
      </c>
      <c r="C52" s="150">
        <v>0</v>
      </c>
      <c r="D52" s="150">
        <v>9</v>
      </c>
      <c r="E52" s="150">
        <v>0</v>
      </c>
      <c r="F52" s="150">
        <v>0</v>
      </c>
      <c r="G52" s="260">
        <v>9</v>
      </c>
      <c r="H52" s="259">
        <v>0</v>
      </c>
      <c r="I52" s="259">
        <v>0</v>
      </c>
      <c r="J52" s="259">
        <v>8</v>
      </c>
      <c r="K52" s="259">
        <v>0</v>
      </c>
      <c r="L52" s="259">
        <v>0</v>
      </c>
      <c r="M52" s="258">
        <v>8</v>
      </c>
      <c r="N52" s="257">
        <v>-0.1111111111111111</v>
      </c>
      <c r="O52" s="256" t="s">
        <v>1730</v>
      </c>
      <c r="P52" s="255" t="s">
        <v>1731</v>
      </c>
    </row>
    <row r="53" spans="1:16" ht="16.149999999999999">
      <c r="A53" s="85" t="s">
        <v>1732</v>
      </c>
      <c r="B53" s="150">
        <v>-50.8</v>
      </c>
      <c r="C53" s="150">
        <v>0</v>
      </c>
      <c r="D53" s="150">
        <v>0</v>
      </c>
      <c r="E53" s="150">
        <v>0</v>
      </c>
      <c r="F53" s="150">
        <v>0</v>
      </c>
      <c r="G53" s="260">
        <v>-50.8</v>
      </c>
      <c r="H53" s="259">
        <v>-63.5</v>
      </c>
      <c r="I53" s="259">
        <v>0</v>
      </c>
      <c r="J53" s="259">
        <v>0</v>
      </c>
      <c r="K53" s="259">
        <v>0</v>
      </c>
      <c r="L53" s="259">
        <v>0</v>
      </c>
      <c r="M53" s="258">
        <v>-63.5</v>
      </c>
      <c r="N53" s="257">
        <v>0.25000000000000006</v>
      </c>
      <c r="O53" s="256" t="s">
        <v>1733</v>
      </c>
      <c r="P53" s="255" t="s">
        <v>1734</v>
      </c>
    </row>
    <row r="54" spans="1:16" ht="32.450000000000003">
      <c r="A54" s="728" t="s">
        <v>1735</v>
      </c>
      <c r="B54" s="701">
        <v>59.730000000000004</v>
      </c>
      <c r="C54" s="701">
        <v>4</v>
      </c>
      <c r="D54" s="701">
        <v>9</v>
      </c>
      <c r="E54" s="701">
        <v>0</v>
      </c>
      <c r="F54" s="701">
        <v>0</v>
      </c>
      <c r="G54" s="701">
        <v>72.73</v>
      </c>
      <c r="H54" s="701">
        <v>61.221999999999994</v>
      </c>
      <c r="I54" s="701">
        <v>5</v>
      </c>
      <c r="J54" s="701">
        <v>8</v>
      </c>
      <c r="K54" s="701">
        <v>0</v>
      </c>
      <c r="L54" s="701">
        <v>0</v>
      </c>
      <c r="M54" s="701">
        <v>74.22199999999998</v>
      </c>
      <c r="N54" s="382">
        <v>2.0514230716347805E-2</v>
      </c>
      <c r="O54" s="955"/>
      <c r="P54" s="956"/>
    </row>
    <row r="56" spans="1:16" ht="16.149999999999999">
      <c r="A56" s="958" t="s">
        <v>1736</v>
      </c>
      <c r="B56" s="959"/>
      <c r="C56" s="959"/>
      <c r="D56" s="959"/>
      <c r="E56" s="959"/>
      <c r="F56" s="959"/>
      <c r="G56" s="959"/>
      <c r="H56" s="959"/>
      <c r="I56" s="959"/>
      <c r="J56" s="959"/>
      <c r="K56" s="959"/>
      <c r="L56" s="959"/>
      <c r="M56" s="959"/>
      <c r="N56" s="959"/>
      <c r="O56" s="959"/>
      <c r="P56" s="959"/>
    </row>
    <row r="57" spans="1:16" ht="16.149999999999999">
      <c r="A57" s="85" t="s">
        <v>1737</v>
      </c>
      <c r="B57" s="963"/>
      <c r="C57" s="963"/>
      <c r="D57" s="963"/>
      <c r="E57" s="963"/>
      <c r="F57" s="963"/>
      <c r="G57" s="963"/>
      <c r="H57" s="963"/>
      <c r="I57" s="963"/>
      <c r="J57" s="963"/>
      <c r="K57" s="963"/>
      <c r="L57" s="963"/>
      <c r="M57" s="963"/>
      <c r="N57" s="964"/>
      <c r="O57" s="965" t="s">
        <v>238</v>
      </c>
      <c r="P57" s="966" t="s">
        <v>238</v>
      </c>
    </row>
    <row r="58" spans="1:16" ht="48.6">
      <c r="A58" s="612" t="s">
        <v>1738</v>
      </c>
      <c r="B58" s="150">
        <v>32.1</v>
      </c>
      <c r="C58" s="150">
        <v>0</v>
      </c>
      <c r="D58" s="150">
        <v>0</v>
      </c>
      <c r="E58" s="150">
        <v>0</v>
      </c>
      <c r="F58" s="150">
        <v>0</v>
      </c>
      <c r="G58" s="260">
        <v>32.1</v>
      </c>
      <c r="H58" s="259">
        <v>34.344999999999999</v>
      </c>
      <c r="I58" s="259">
        <v>0</v>
      </c>
      <c r="J58" s="259">
        <v>0</v>
      </c>
      <c r="K58" s="259">
        <v>0</v>
      </c>
      <c r="L58" s="259">
        <v>0</v>
      </c>
      <c r="M58" s="258">
        <v>34.344999999999999</v>
      </c>
      <c r="N58" s="257">
        <v>6.9937694704049758E-2</v>
      </c>
      <c r="O58" s="256" t="s">
        <v>1739</v>
      </c>
      <c r="P58" s="255" t="s">
        <v>1740</v>
      </c>
    </row>
    <row r="59" spans="1:16" ht="16.149999999999999">
      <c r="A59" s="612" t="s">
        <v>1741</v>
      </c>
      <c r="B59" s="150">
        <v>0</v>
      </c>
      <c r="C59" s="150">
        <v>2.7</v>
      </c>
      <c r="D59" s="150">
        <v>0</v>
      </c>
      <c r="E59" s="150">
        <v>0</v>
      </c>
      <c r="F59" s="150">
        <v>0</v>
      </c>
      <c r="G59" s="260">
        <v>2.7</v>
      </c>
      <c r="H59" s="259">
        <v>0</v>
      </c>
      <c r="I59" s="259">
        <v>2.5</v>
      </c>
      <c r="J59" s="259">
        <v>0</v>
      </c>
      <c r="K59" s="259">
        <v>0</v>
      </c>
      <c r="L59" s="259">
        <v>0</v>
      </c>
      <c r="M59" s="258">
        <v>2.5</v>
      </c>
      <c r="N59" s="257">
        <v>-7.4074074074074139E-2</v>
      </c>
      <c r="O59" s="256" t="s">
        <v>1742</v>
      </c>
      <c r="P59" s="255" t="s">
        <v>238</v>
      </c>
    </row>
    <row r="60" spans="1:16" ht="16.149999999999999">
      <c r="A60" s="85" t="s">
        <v>1728</v>
      </c>
      <c r="B60" s="710">
        <v>32.1</v>
      </c>
      <c r="C60" s="710">
        <v>2.7</v>
      </c>
      <c r="D60" s="710">
        <v>0</v>
      </c>
      <c r="E60" s="710">
        <v>0</v>
      </c>
      <c r="F60" s="710">
        <v>0</v>
      </c>
      <c r="G60" s="710">
        <v>34.800000000000004</v>
      </c>
      <c r="H60" s="710">
        <v>34.344999999999999</v>
      </c>
      <c r="I60" s="710">
        <v>2.5</v>
      </c>
      <c r="J60" s="710">
        <v>0</v>
      </c>
      <c r="K60" s="710">
        <v>0</v>
      </c>
      <c r="L60" s="710">
        <v>0</v>
      </c>
      <c r="M60" s="710">
        <v>36.844999999999999</v>
      </c>
      <c r="N60" s="257">
        <v>5.8764367816091789E-2</v>
      </c>
      <c r="O60" s="961" t="s">
        <v>238</v>
      </c>
      <c r="P60" s="962" t="s">
        <v>238</v>
      </c>
    </row>
    <row r="61" spans="1:16" ht="32.450000000000003">
      <c r="A61" s="85" t="s">
        <v>1055</v>
      </c>
      <c r="B61" s="150">
        <v>0</v>
      </c>
      <c r="C61" s="150">
        <v>0</v>
      </c>
      <c r="D61" s="150">
        <v>4</v>
      </c>
      <c r="E61" s="150">
        <v>0</v>
      </c>
      <c r="F61" s="150">
        <v>0</v>
      </c>
      <c r="G61" s="260">
        <v>4</v>
      </c>
      <c r="H61" s="259">
        <v>0</v>
      </c>
      <c r="I61" s="259">
        <v>0</v>
      </c>
      <c r="J61" s="259">
        <v>3.5</v>
      </c>
      <c r="K61" s="259">
        <v>0</v>
      </c>
      <c r="L61" s="259">
        <v>0</v>
      </c>
      <c r="M61" s="258">
        <v>3.5</v>
      </c>
      <c r="N61" s="257">
        <v>-0.125</v>
      </c>
      <c r="O61" s="256" t="s">
        <v>1743</v>
      </c>
      <c r="P61" s="255" t="s">
        <v>1744</v>
      </c>
    </row>
    <row r="62" spans="1:16" ht="32.450000000000003">
      <c r="A62" s="85" t="s">
        <v>1732</v>
      </c>
      <c r="B62" s="150">
        <v>-5.8</v>
      </c>
      <c r="C62" s="150">
        <v>0</v>
      </c>
      <c r="D62" s="150">
        <v>0</v>
      </c>
      <c r="E62" s="150">
        <v>0</v>
      </c>
      <c r="F62" s="150">
        <v>0</v>
      </c>
      <c r="G62" s="260">
        <v>-5.8</v>
      </c>
      <c r="H62" s="259">
        <v>-5.8</v>
      </c>
      <c r="I62" s="259">
        <v>0</v>
      </c>
      <c r="J62" s="259">
        <v>0</v>
      </c>
      <c r="K62" s="259">
        <v>0</v>
      </c>
      <c r="L62" s="259">
        <v>0</v>
      </c>
      <c r="M62" s="258">
        <v>-5.8</v>
      </c>
      <c r="N62" s="257">
        <v>0</v>
      </c>
      <c r="O62" s="256" t="s">
        <v>1745</v>
      </c>
      <c r="P62" s="255" t="s">
        <v>47</v>
      </c>
    </row>
    <row r="63" spans="1:16" ht="32.450000000000003">
      <c r="A63" s="653" t="s">
        <v>1746</v>
      </c>
      <c r="B63" s="701">
        <v>26.3</v>
      </c>
      <c r="C63" s="701">
        <v>2.7</v>
      </c>
      <c r="D63" s="701">
        <v>4</v>
      </c>
      <c r="E63" s="701">
        <v>0</v>
      </c>
      <c r="F63" s="701">
        <v>0</v>
      </c>
      <c r="G63" s="701">
        <v>33.000000000000007</v>
      </c>
      <c r="H63" s="701">
        <v>28.544999999999998</v>
      </c>
      <c r="I63" s="701">
        <v>2.5</v>
      </c>
      <c r="J63" s="701">
        <v>3.5</v>
      </c>
      <c r="K63" s="701">
        <v>0</v>
      </c>
      <c r="L63" s="701">
        <v>0</v>
      </c>
      <c r="M63" s="701">
        <v>34.545000000000002</v>
      </c>
      <c r="N63" s="382">
        <v>4.6818181818181648E-2</v>
      </c>
      <c r="O63" s="941"/>
      <c r="P63" s="941"/>
    </row>
    <row r="64" spans="1:16" ht="16.149999999999999">
      <c r="A64" s="967"/>
      <c r="B64" s="968"/>
      <c r="C64" s="968"/>
      <c r="D64" s="968"/>
      <c r="E64" s="968"/>
      <c r="F64" s="968"/>
      <c r="G64" s="951"/>
      <c r="H64" s="968"/>
      <c r="I64" s="968"/>
      <c r="J64" s="968"/>
      <c r="K64" s="968"/>
      <c r="L64" s="968"/>
      <c r="M64" s="951"/>
      <c r="N64" s="957"/>
      <c r="O64" s="941"/>
      <c r="P64" s="941"/>
    </row>
    <row r="65" spans="1:16" ht="16.149999999999999">
      <c r="A65" s="860" t="s">
        <v>1747</v>
      </c>
      <c r="B65" s="861"/>
      <c r="C65" s="861"/>
      <c r="D65" s="861"/>
      <c r="E65" s="861"/>
      <c r="F65" s="861"/>
      <c r="G65" s="861"/>
      <c r="H65" s="861"/>
      <c r="I65" s="861"/>
      <c r="J65" s="861"/>
      <c r="K65" s="861"/>
      <c r="L65" s="861"/>
      <c r="M65" s="861"/>
      <c r="N65" s="861"/>
      <c r="O65" s="861"/>
      <c r="P65" s="861"/>
    </row>
    <row r="66" spans="1:16" ht="16.149999999999999">
      <c r="A66" s="155"/>
      <c r="B66" s="157"/>
      <c r="C66" s="157"/>
      <c r="D66" s="157"/>
      <c r="E66" s="157"/>
      <c r="F66" s="157"/>
      <c r="G66" s="157"/>
      <c r="H66" s="157"/>
      <c r="I66" s="157"/>
      <c r="J66" s="157"/>
      <c r="K66" s="157"/>
      <c r="L66" s="157"/>
      <c r="M66" s="157"/>
      <c r="N66" s="772"/>
      <c r="O66" s="772"/>
      <c r="P66" s="772"/>
    </row>
    <row r="67" spans="1:16" ht="32.450000000000003">
      <c r="A67" s="805" t="s">
        <v>1748</v>
      </c>
      <c r="B67" s="870"/>
      <c r="C67" s="870"/>
      <c r="D67" s="870"/>
      <c r="E67" s="870"/>
      <c r="F67" s="870"/>
      <c r="G67" s="870"/>
      <c r="H67" s="870"/>
      <c r="I67" s="870"/>
      <c r="J67" s="870"/>
      <c r="K67" s="870"/>
      <c r="L67" s="870"/>
      <c r="M67" s="870"/>
      <c r="N67" s="870"/>
      <c r="O67" s="870"/>
      <c r="P67" s="870"/>
    </row>
    <row r="68" spans="1:16" ht="32.450000000000003">
      <c r="A68" s="261" t="s">
        <v>1749</v>
      </c>
      <c r="B68" s="150">
        <v>5.2729999999999997</v>
      </c>
      <c r="C68" s="150">
        <v>0</v>
      </c>
      <c r="D68" s="150">
        <v>0</v>
      </c>
      <c r="E68" s="150">
        <v>0</v>
      </c>
      <c r="F68" s="150">
        <v>0</v>
      </c>
      <c r="G68" s="260">
        <v>5.2729999999999997</v>
      </c>
      <c r="H68" s="259">
        <v>5.2669999999999995</v>
      </c>
      <c r="I68" s="259">
        <v>0</v>
      </c>
      <c r="J68" s="259">
        <v>0</v>
      </c>
      <c r="K68" s="259">
        <v>0</v>
      </c>
      <c r="L68" s="259">
        <v>0</v>
      </c>
      <c r="M68" s="258">
        <v>5.2669999999999995</v>
      </c>
      <c r="N68" s="257">
        <v>-1.137872179025266E-3</v>
      </c>
      <c r="O68" s="256" t="s">
        <v>1750</v>
      </c>
      <c r="P68" s="255" t="s">
        <v>1751</v>
      </c>
    </row>
    <row r="69" spans="1:16" ht="32.450000000000003">
      <c r="A69" s="261" t="s">
        <v>1752</v>
      </c>
      <c r="B69" s="150">
        <v>0.17699999999999999</v>
      </c>
      <c r="C69" s="150">
        <v>0</v>
      </c>
      <c r="D69" s="150">
        <v>0</v>
      </c>
      <c r="E69" s="150">
        <v>0</v>
      </c>
      <c r="F69" s="150">
        <v>0</v>
      </c>
      <c r="G69" s="260">
        <v>0.17699999999999999</v>
      </c>
      <c r="H69" s="259">
        <v>0</v>
      </c>
      <c r="I69" s="259">
        <v>0</v>
      </c>
      <c r="J69" s="259">
        <v>0</v>
      </c>
      <c r="K69" s="259">
        <v>0</v>
      </c>
      <c r="L69" s="259">
        <v>0</v>
      </c>
      <c r="M69" s="258">
        <v>0</v>
      </c>
      <c r="N69" s="257">
        <v>-1</v>
      </c>
      <c r="O69" s="256" t="s">
        <v>1753</v>
      </c>
      <c r="P69" s="255" t="s">
        <v>1754</v>
      </c>
    </row>
    <row r="70" spans="1:16" ht="48.6">
      <c r="A70" s="261" t="s">
        <v>1755</v>
      </c>
      <c r="B70" s="150">
        <v>0.38</v>
      </c>
      <c r="C70" s="150">
        <v>0</v>
      </c>
      <c r="D70" s="150">
        <v>0</v>
      </c>
      <c r="E70" s="150">
        <v>0</v>
      </c>
      <c r="F70" s="150">
        <v>0</v>
      </c>
      <c r="G70" s="260">
        <v>0.38</v>
      </c>
      <c r="H70" s="259">
        <v>0.38299999999999995</v>
      </c>
      <c r="I70" s="259">
        <v>0</v>
      </c>
      <c r="J70" s="259">
        <v>0</v>
      </c>
      <c r="K70" s="259">
        <v>0</v>
      </c>
      <c r="L70" s="259">
        <v>0</v>
      </c>
      <c r="M70" s="258">
        <v>0.38299999999999995</v>
      </c>
      <c r="N70" s="257">
        <v>7.8947368421051246E-3</v>
      </c>
      <c r="O70" s="256" t="s">
        <v>1756</v>
      </c>
      <c r="P70" s="255" t="s">
        <v>1751</v>
      </c>
    </row>
    <row r="71" spans="1:16" ht="48.6">
      <c r="A71" s="261" t="s">
        <v>1757</v>
      </c>
      <c r="B71" s="150">
        <v>0.61</v>
      </c>
      <c r="C71" s="150">
        <v>0</v>
      </c>
      <c r="D71" s="150">
        <v>0</v>
      </c>
      <c r="E71" s="150">
        <v>0</v>
      </c>
      <c r="F71" s="150">
        <v>0</v>
      </c>
      <c r="G71" s="260">
        <v>0.61</v>
      </c>
      <c r="H71" s="259">
        <v>0.627</v>
      </c>
      <c r="I71" s="259">
        <v>0</v>
      </c>
      <c r="J71" s="259">
        <v>0</v>
      </c>
      <c r="K71" s="259">
        <v>0</v>
      </c>
      <c r="L71" s="259">
        <v>0</v>
      </c>
      <c r="M71" s="258">
        <v>0.627</v>
      </c>
      <c r="N71" s="257">
        <v>2.7868852459016418E-2</v>
      </c>
      <c r="O71" s="256" t="s">
        <v>1758</v>
      </c>
      <c r="P71" s="255" t="s">
        <v>1751</v>
      </c>
    </row>
    <row r="72" spans="1:16" ht="48.6">
      <c r="A72" s="261" t="s">
        <v>1759</v>
      </c>
      <c r="B72" s="150">
        <v>0.46</v>
      </c>
      <c r="C72" s="150">
        <v>0</v>
      </c>
      <c r="D72" s="150">
        <v>0</v>
      </c>
      <c r="E72" s="150">
        <v>0</v>
      </c>
      <c r="F72" s="150">
        <v>0</v>
      </c>
      <c r="G72" s="260">
        <v>0.46</v>
      </c>
      <c r="H72" s="259">
        <v>0.48399999999999999</v>
      </c>
      <c r="I72" s="259">
        <v>0</v>
      </c>
      <c r="J72" s="259">
        <v>0</v>
      </c>
      <c r="K72" s="259">
        <v>0</v>
      </c>
      <c r="L72" s="259">
        <v>0</v>
      </c>
      <c r="M72" s="258">
        <v>0.48399999999999999</v>
      </c>
      <c r="N72" s="257">
        <v>5.2173913043478182E-2</v>
      </c>
      <c r="O72" s="256" t="s">
        <v>1760</v>
      </c>
      <c r="P72" s="255" t="s">
        <v>1751</v>
      </c>
    </row>
    <row r="73" spans="1:16" ht="81">
      <c r="A73" s="261" t="s">
        <v>1761</v>
      </c>
      <c r="B73" s="150">
        <v>11.5</v>
      </c>
      <c r="C73" s="150">
        <v>0</v>
      </c>
      <c r="D73" s="150">
        <v>0</v>
      </c>
      <c r="E73" s="150">
        <v>0</v>
      </c>
      <c r="F73" s="150">
        <v>0</v>
      </c>
      <c r="G73" s="260">
        <v>11.5</v>
      </c>
      <c r="H73" s="259">
        <v>11.5</v>
      </c>
      <c r="I73" s="259">
        <v>0</v>
      </c>
      <c r="J73" s="259">
        <v>0</v>
      </c>
      <c r="K73" s="259">
        <v>0</v>
      </c>
      <c r="L73" s="259">
        <v>0</v>
      </c>
      <c r="M73" s="258">
        <v>11.5</v>
      </c>
      <c r="N73" s="257">
        <v>0</v>
      </c>
      <c r="O73" s="256" t="s">
        <v>1762</v>
      </c>
      <c r="P73" s="255" t="s">
        <v>1763</v>
      </c>
    </row>
    <row r="74" spans="1:16" ht="32.450000000000003">
      <c r="A74" s="261" t="s">
        <v>1764</v>
      </c>
      <c r="B74" s="150">
        <v>0.67600000000000005</v>
      </c>
      <c r="C74" s="150">
        <v>0</v>
      </c>
      <c r="D74" s="150">
        <v>0</v>
      </c>
      <c r="E74" s="150">
        <v>0</v>
      </c>
      <c r="F74" s="150">
        <v>0</v>
      </c>
      <c r="G74" s="260">
        <v>0.67600000000000005</v>
      </c>
      <c r="H74" s="259">
        <v>0.26500000000000001</v>
      </c>
      <c r="I74" s="259">
        <v>0</v>
      </c>
      <c r="J74" s="259">
        <v>0</v>
      </c>
      <c r="K74" s="259">
        <v>0</v>
      </c>
      <c r="L74" s="259">
        <v>0</v>
      </c>
      <c r="M74" s="258">
        <v>0.26500000000000001</v>
      </c>
      <c r="N74" s="257">
        <v>-0.60798816568047342</v>
      </c>
      <c r="O74" s="256" t="s">
        <v>1765</v>
      </c>
      <c r="P74" s="255" t="s">
        <v>1766</v>
      </c>
    </row>
    <row r="75" spans="1:16" ht="32.450000000000003">
      <c r="A75" s="261" t="s">
        <v>1767</v>
      </c>
      <c r="B75" s="150">
        <v>1</v>
      </c>
      <c r="C75" s="150">
        <v>0</v>
      </c>
      <c r="D75" s="150">
        <v>0</v>
      </c>
      <c r="E75" s="150">
        <v>0</v>
      </c>
      <c r="F75" s="150">
        <v>0</v>
      </c>
      <c r="G75" s="260">
        <v>1</v>
      </c>
      <c r="H75" s="259">
        <v>0</v>
      </c>
      <c r="I75" s="259">
        <v>0</v>
      </c>
      <c r="J75" s="259">
        <v>0</v>
      </c>
      <c r="K75" s="259">
        <v>0</v>
      </c>
      <c r="L75" s="259">
        <v>0</v>
      </c>
      <c r="M75" s="258">
        <v>0</v>
      </c>
      <c r="N75" s="257">
        <v>-1</v>
      </c>
      <c r="O75" s="256" t="s">
        <v>1753</v>
      </c>
      <c r="P75" s="969" t="s">
        <v>1754</v>
      </c>
    </row>
    <row r="76" spans="1:16" ht="129.6">
      <c r="A76" s="970" t="s">
        <v>1768</v>
      </c>
      <c r="B76" s="150">
        <v>1.1759999999999999</v>
      </c>
      <c r="C76" s="150">
        <v>0</v>
      </c>
      <c r="D76" s="150">
        <v>0</v>
      </c>
      <c r="E76" s="150">
        <v>0</v>
      </c>
      <c r="F76" s="150">
        <v>0</v>
      </c>
      <c r="G76" s="260">
        <v>1.1759999999999999</v>
      </c>
      <c r="H76" s="259">
        <v>1.2370000000000001</v>
      </c>
      <c r="I76" s="259">
        <v>0</v>
      </c>
      <c r="J76" s="259">
        <v>0</v>
      </c>
      <c r="K76" s="259">
        <v>0</v>
      </c>
      <c r="L76" s="259">
        <v>0</v>
      </c>
      <c r="M76" s="258">
        <v>1.2370000000000001</v>
      </c>
      <c r="N76" s="257">
        <v>5.1870748299319869E-2</v>
      </c>
      <c r="O76" s="255" t="s">
        <v>1769</v>
      </c>
      <c r="P76" s="255" t="s">
        <v>1770</v>
      </c>
    </row>
    <row r="77" spans="1:16" ht="32.450000000000003">
      <c r="A77" s="261" t="s">
        <v>1771</v>
      </c>
      <c r="B77" s="150">
        <v>0.245</v>
      </c>
      <c r="C77" s="150">
        <v>0</v>
      </c>
      <c r="D77" s="150">
        <v>0</v>
      </c>
      <c r="E77" s="150">
        <v>0</v>
      </c>
      <c r="F77" s="150">
        <v>0</v>
      </c>
      <c r="G77" s="260">
        <v>0.245</v>
      </c>
      <c r="H77" s="259">
        <v>0.19</v>
      </c>
      <c r="I77" s="259">
        <v>0</v>
      </c>
      <c r="J77" s="259">
        <v>0</v>
      </c>
      <c r="K77" s="259">
        <v>0</v>
      </c>
      <c r="L77" s="259">
        <v>0</v>
      </c>
      <c r="M77" s="258">
        <v>0.19</v>
      </c>
      <c r="N77" s="257">
        <v>-0.22448979591836732</v>
      </c>
      <c r="O77" s="256" t="s">
        <v>1772</v>
      </c>
      <c r="P77" s="971" t="s">
        <v>1751</v>
      </c>
    </row>
    <row r="78" spans="1:16" ht="48.6">
      <c r="A78" s="261" t="s">
        <v>1773</v>
      </c>
      <c r="B78" s="150">
        <v>0.51500000000000001</v>
      </c>
      <c r="C78" s="150">
        <v>0</v>
      </c>
      <c r="D78" s="150">
        <v>0</v>
      </c>
      <c r="E78" s="150">
        <v>0</v>
      </c>
      <c r="F78" s="150">
        <v>0</v>
      </c>
      <c r="G78" s="260">
        <v>0.51500000000000001</v>
      </c>
      <c r="H78" s="259">
        <v>0.499</v>
      </c>
      <c r="I78" s="259">
        <v>0</v>
      </c>
      <c r="J78" s="259">
        <v>0</v>
      </c>
      <c r="K78" s="259">
        <v>0</v>
      </c>
      <c r="L78" s="259">
        <v>0</v>
      </c>
      <c r="M78" s="258">
        <v>0.499</v>
      </c>
      <c r="N78" s="257">
        <v>-3.106796116504857E-2</v>
      </c>
      <c r="O78" s="256" t="s">
        <v>1774</v>
      </c>
      <c r="P78" s="255" t="s">
        <v>1751</v>
      </c>
    </row>
    <row r="79" spans="1:16" ht="48.6">
      <c r="A79" s="970" t="s">
        <v>1775</v>
      </c>
      <c r="B79" s="150">
        <v>0.53</v>
      </c>
      <c r="C79" s="150">
        <v>0</v>
      </c>
      <c r="D79" s="150">
        <v>0</v>
      </c>
      <c r="E79" s="150">
        <v>0</v>
      </c>
      <c r="F79" s="150">
        <v>0</v>
      </c>
      <c r="G79" s="260">
        <v>0.53</v>
      </c>
      <c r="H79" s="259">
        <v>0.54700000000000004</v>
      </c>
      <c r="I79" s="259">
        <v>0</v>
      </c>
      <c r="J79" s="259">
        <v>0</v>
      </c>
      <c r="L79" s="259">
        <v>0</v>
      </c>
      <c r="M79" s="258">
        <v>0.54700000000000004</v>
      </c>
      <c r="N79" s="257">
        <v>3.2075471698113235E-2</v>
      </c>
      <c r="O79" s="256" t="s">
        <v>1776</v>
      </c>
      <c r="P79" s="255" t="s">
        <v>1751</v>
      </c>
    </row>
    <row r="80" spans="1:16" ht="48.6">
      <c r="A80" s="261" t="s">
        <v>1777</v>
      </c>
      <c r="B80" s="150">
        <v>1.8280000000000001</v>
      </c>
      <c r="C80" s="150">
        <v>0</v>
      </c>
      <c r="D80" s="150">
        <v>0</v>
      </c>
      <c r="E80" s="150">
        <v>0</v>
      </c>
      <c r="F80" s="150">
        <v>0</v>
      </c>
      <c r="G80" s="260">
        <v>1.8280000000000001</v>
      </c>
      <c r="H80" s="259">
        <v>1.8930000000000002</v>
      </c>
      <c r="I80" s="259">
        <v>0</v>
      </c>
      <c r="J80" s="259">
        <v>0</v>
      </c>
      <c r="K80" s="259">
        <v>0</v>
      </c>
      <c r="L80" s="259">
        <v>0</v>
      </c>
      <c r="M80" s="258">
        <v>1.8930000000000002</v>
      </c>
      <c r="N80" s="257">
        <v>3.5557986870897243E-2</v>
      </c>
      <c r="O80" s="256" t="s">
        <v>1778</v>
      </c>
      <c r="P80" s="255" t="s">
        <v>1751</v>
      </c>
    </row>
    <row r="81" spans="1:16" ht="48.6">
      <c r="A81" s="261" t="s">
        <v>1779</v>
      </c>
      <c r="B81" s="150">
        <v>1.367</v>
      </c>
      <c r="C81" s="150">
        <v>0.375</v>
      </c>
      <c r="D81" s="150">
        <v>0</v>
      </c>
      <c r="E81" s="150">
        <v>0</v>
      </c>
      <c r="F81" s="150">
        <v>6.2E-2</v>
      </c>
      <c r="G81" s="260">
        <v>1.804</v>
      </c>
      <c r="H81" s="259">
        <v>2.0369330000000003</v>
      </c>
      <c r="I81" s="259">
        <v>0.435</v>
      </c>
      <c r="J81" s="259">
        <v>0</v>
      </c>
      <c r="K81" s="259">
        <v>0</v>
      </c>
      <c r="L81" s="259">
        <v>0</v>
      </c>
      <c r="M81" s="258">
        <v>2.4719330000000004</v>
      </c>
      <c r="N81" s="257">
        <v>0.37025110864745031</v>
      </c>
      <c r="O81" s="256" t="s">
        <v>1780</v>
      </c>
      <c r="P81" s="255" t="s">
        <v>1781</v>
      </c>
    </row>
    <row r="82" spans="1:16" ht="48.6">
      <c r="A82" s="261" t="s">
        <v>1782</v>
      </c>
      <c r="B82" s="150">
        <v>0.42199999999999999</v>
      </c>
      <c r="C82" s="150">
        <v>0</v>
      </c>
      <c r="D82" s="150">
        <v>0</v>
      </c>
      <c r="E82" s="150">
        <v>0</v>
      </c>
      <c r="F82" s="150">
        <v>0</v>
      </c>
      <c r="G82" s="260">
        <v>0.42199999999999999</v>
      </c>
      <c r="H82" s="259">
        <v>0.45999999999999996</v>
      </c>
      <c r="I82" s="259">
        <v>0</v>
      </c>
      <c r="J82" s="259">
        <v>0</v>
      </c>
      <c r="K82" s="259">
        <v>0</v>
      </c>
      <c r="L82" s="259">
        <v>0</v>
      </c>
      <c r="M82" s="258">
        <v>0.45999999999999996</v>
      </c>
      <c r="N82" s="257">
        <v>9.0047393364928868E-2</v>
      </c>
      <c r="O82" s="256" t="s">
        <v>1783</v>
      </c>
      <c r="P82" s="255" t="s">
        <v>1751</v>
      </c>
    </row>
    <row r="83" spans="1:16" ht="48.6">
      <c r="A83" s="261" t="s">
        <v>1784</v>
      </c>
      <c r="B83" s="150">
        <v>0.45500000000000002</v>
      </c>
      <c r="C83" s="150">
        <v>0</v>
      </c>
      <c r="D83" s="150">
        <v>0</v>
      </c>
      <c r="E83" s="150">
        <v>0</v>
      </c>
      <c r="F83" s="150">
        <v>0</v>
      </c>
      <c r="G83" s="260">
        <v>0.45500000000000002</v>
      </c>
      <c r="H83" s="259">
        <v>0.45899999999999996</v>
      </c>
      <c r="I83" s="259">
        <v>0</v>
      </c>
      <c r="J83" s="259">
        <v>0</v>
      </c>
      <c r="K83" s="259">
        <v>0</v>
      </c>
      <c r="L83" s="259">
        <v>0</v>
      </c>
      <c r="M83" s="258">
        <v>0.45899999999999996</v>
      </c>
      <c r="N83" s="257">
        <v>8.7912087912086767E-3</v>
      </c>
      <c r="O83" s="256" t="s">
        <v>1785</v>
      </c>
      <c r="P83" s="255" t="s">
        <v>1751</v>
      </c>
    </row>
    <row r="84" spans="1:16" ht="32.450000000000003">
      <c r="A84" s="945" t="s">
        <v>1786</v>
      </c>
      <c r="B84" s="202">
        <v>26.613999999999997</v>
      </c>
      <c r="C84" s="202">
        <v>0.375</v>
      </c>
      <c r="D84" s="202">
        <v>0</v>
      </c>
      <c r="E84" s="202">
        <v>0</v>
      </c>
      <c r="F84" s="202">
        <v>6.2E-2</v>
      </c>
      <c r="G84" s="202">
        <v>27.050999999999995</v>
      </c>
      <c r="H84" s="202">
        <v>25.847933000000001</v>
      </c>
      <c r="I84" s="202">
        <v>0.435</v>
      </c>
      <c r="J84" s="202">
        <v>0</v>
      </c>
      <c r="K84" s="202">
        <v>0</v>
      </c>
      <c r="L84" s="202">
        <v>0</v>
      </c>
      <c r="M84" s="202">
        <v>26.282933</v>
      </c>
      <c r="N84" s="946">
        <v>-2.8393294148090463E-2</v>
      </c>
      <c r="O84" s="947"/>
      <c r="P84" s="948"/>
    </row>
    <row r="85" spans="1:16" ht="15">
      <c r="A85" s="940"/>
      <c r="B85" s="941"/>
      <c r="C85" s="941"/>
      <c r="D85" s="941"/>
      <c r="E85" s="941"/>
      <c r="F85" s="941"/>
      <c r="G85" s="941"/>
      <c r="H85" s="941"/>
      <c r="I85" s="941"/>
      <c r="J85" s="941"/>
      <c r="K85" s="941"/>
      <c r="L85" s="941"/>
      <c r="M85" s="941"/>
      <c r="N85" s="941"/>
      <c r="O85" s="941"/>
      <c r="P85" s="941"/>
    </row>
    <row r="86" spans="1:16" ht="16.149999999999999">
      <c r="A86" s="805" t="s">
        <v>1787</v>
      </c>
      <c r="B86" s="870"/>
      <c r="C86" s="870"/>
      <c r="D86" s="870"/>
      <c r="E86" s="870"/>
      <c r="F86" s="870"/>
      <c r="G86" s="870"/>
      <c r="H86" s="870"/>
      <c r="I86" s="870"/>
      <c r="J86" s="870"/>
      <c r="K86" s="870"/>
      <c r="L86" s="870"/>
      <c r="M86" s="870"/>
      <c r="N86" s="870"/>
      <c r="O86" s="870"/>
      <c r="P86" s="870"/>
    </row>
    <row r="87" spans="1:16" ht="48.6">
      <c r="A87" s="635" t="s">
        <v>1787</v>
      </c>
      <c r="B87" s="150">
        <v>0.1</v>
      </c>
      <c r="C87" s="150">
        <v>0</v>
      </c>
      <c r="D87" s="150">
        <v>0</v>
      </c>
      <c r="E87" s="150">
        <v>0</v>
      </c>
      <c r="F87" s="150">
        <v>0</v>
      </c>
      <c r="G87" s="260">
        <v>0.1</v>
      </c>
      <c r="H87" s="259">
        <v>0.1</v>
      </c>
      <c r="I87" s="259">
        <v>0</v>
      </c>
      <c r="J87" s="259">
        <v>0</v>
      </c>
      <c r="K87" s="259">
        <v>0</v>
      </c>
      <c r="L87" s="259">
        <v>0</v>
      </c>
      <c r="M87" s="258">
        <v>0.1</v>
      </c>
      <c r="N87" s="257">
        <v>0</v>
      </c>
      <c r="O87" s="256" t="s">
        <v>1788</v>
      </c>
      <c r="P87" s="255" t="s">
        <v>1789</v>
      </c>
    </row>
    <row r="88" spans="1:16" ht="16.149999999999999">
      <c r="A88" s="945" t="s">
        <v>1790</v>
      </c>
      <c r="B88" s="202">
        <v>0.1</v>
      </c>
      <c r="C88" s="202">
        <v>0</v>
      </c>
      <c r="D88" s="202">
        <v>0</v>
      </c>
      <c r="E88" s="202">
        <v>0</v>
      </c>
      <c r="F88" s="202">
        <v>0</v>
      </c>
      <c r="G88" s="202">
        <v>0.1</v>
      </c>
      <c r="H88" s="202">
        <v>0.1</v>
      </c>
      <c r="I88" s="202">
        <v>0</v>
      </c>
      <c r="J88" s="202">
        <v>0</v>
      </c>
      <c r="K88" s="202">
        <v>0</v>
      </c>
      <c r="L88" s="202">
        <v>0</v>
      </c>
      <c r="M88" s="202">
        <v>0.1</v>
      </c>
      <c r="N88" s="946">
        <v>0</v>
      </c>
      <c r="O88" s="947"/>
      <c r="P88" s="948"/>
    </row>
    <row r="89" spans="1:16" ht="16.149999999999999">
      <c r="A89" s="111"/>
      <c r="B89" s="972"/>
      <c r="C89" s="972"/>
      <c r="D89" s="972"/>
      <c r="E89" s="972"/>
      <c r="F89" s="972"/>
      <c r="G89" s="972"/>
      <c r="H89" s="972"/>
      <c r="I89" s="972"/>
      <c r="J89" s="972"/>
      <c r="K89" s="972"/>
      <c r="L89" s="972"/>
      <c r="M89" s="972"/>
      <c r="N89" s="973"/>
      <c r="O89" s="941"/>
      <c r="P89" s="941"/>
    </row>
    <row r="90" spans="1:16" ht="16.149999999999999">
      <c r="A90" s="653" t="s">
        <v>1791</v>
      </c>
      <c r="B90" s="701">
        <v>26.713999999999999</v>
      </c>
      <c r="C90" s="701">
        <v>0.375</v>
      </c>
      <c r="D90" s="701">
        <v>0</v>
      </c>
      <c r="E90" s="701">
        <v>0</v>
      </c>
      <c r="F90" s="701">
        <v>6.2E-2</v>
      </c>
      <c r="G90" s="701">
        <v>27.150999999999996</v>
      </c>
      <c r="H90" s="701">
        <v>25.947933000000003</v>
      </c>
      <c r="I90" s="701">
        <v>0.435</v>
      </c>
      <c r="J90" s="701">
        <v>0</v>
      </c>
      <c r="K90" s="701">
        <v>0</v>
      </c>
      <c r="L90" s="701">
        <v>0</v>
      </c>
      <c r="M90" s="701">
        <v>26.382933000000001</v>
      </c>
      <c r="N90" s="702">
        <v>-2.8288718647563445E-2</v>
      </c>
      <c r="O90" s="955"/>
      <c r="P90" s="956"/>
    </row>
    <row r="91" spans="1:16" s="161" customFormat="1" ht="18.600000000000001">
      <c r="A91" s="974"/>
      <c r="B91" s="830"/>
      <c r="C91" s="830"/>
      <c r="D91" s="830"/>
      <c r="E91" s="830"/>
      <c r="F91" s="830"/>
      <c r="G91" s="830"/>
      <c r="H91" s="830"/>
      <c r="I91" s="830"/>
      <c r="J91" s="830"/>
      <c r="K91" s="830"/>
      <c r="L91" s="830"/>
      <c r="M91" s="830"/>
      <c r="N91" s="975"/>
      <c r="O91" s="976"/>
      <c r="P91" s="977"/>
    </row>
    <row r="93" spans="1:16" ht="16.149999999999999">
      <c r="A93" s="665"/>
      <c r="B93" s="545"/>
      <c r="C93" s="545"/>
      <c r="D93" s="545"/>
      <c r="E93" s="545"/>
      <c r="F93" s="545"/>
      <c r="G93" s="545"/>
      <c r="H93" s="545"/>
      <c r="I93" s="545"/>
      <c r="J93" s="545"/>
      <c r="K93" s="545"/>
      <c r="L93" s="545"/>
      <c r="M93" s="545"/>
      <c r="N93" s="666"/>
      <c r="O93" s="978"/>
      <c r="P93" s="793"/>
    </row>
    <row r="94" spans="1:16" ht="16.149999999999999">
      <c r="A94" s="170" t="s">
        <v>372</v>
      </c>
      <c r="B94" s="169"/>
      <c r="C94" s="169"/>
      <c r="D94" s="169"/>
      <c r="E94" s="169"/>
      <c r="F94" s="169"/>
      <c r="G94" s="168"/>
      <c r="H94" s="169"/>
      <c r="I94" s="169"/>
      <c r="J94" s="169"/>
      <c r="K94" s="169"/>
      <c r="L94" s="169"/>
      <c r="M94" s="929"/>
      <c r="O94" s="978"/>
      <c r="P94" s="793"/>
    </row>
    <row r="95" spans="1:16" s="161" customFormat="1" ht="18.600000000000001">
      <c r="A95" s="974"/>
      <c r="B95" s="830"/>
      <c r="C95" s="830"/>
      <c r="D95" s="830"/>
      <c r="E95" s="830"/>
      <c r="F95" s="830"/>
      <c r="G95" s="830"/>
      <c r="H95" s="830"/>
      <c r="I95" s="830"/>
      <c r="J95" s="830"/>
      <c r="K95" s="830"/>
      <c r="L95" s="830"/>
      <c r="M95" s="830"/>
      <c r="N95" s="975"/>
      <c r="O95" s="976"/>
      <c r="P95" s="977"/>
    </row>
    <row r="96" spans="1:16" ht="32.450000000000003">
      <c r="A96" s="979" t="s">
        <v>1792</v>
      </c>
      <c r="B96" s="319">
        <v>269.351</v>
      </c>
      <c r="C96" s="319">
        <v>18.155999999999999</v>
      </c>
      <c r="D96" s="319">
        <v>26.1</v>
      </c>
      <c r="E96" s="319">
        <v>0</v>
      </c>
      <c r="F96" s="319">
        <v>6.2E-2</v>
      </c>
      <c r="G96" s="319">
        <v>313.66899999999998</v>
      </c>
      <c r="H96" s="319">
        <v>287.35945800000002</v>
      </c>
      <c r="I96" s="319">
        <v>19.228000000000002</v>
      </c>
      <c r="J96" s="319">
        <v>25.15</v>
      </c>
      <c r="K96" s="319">
        <v>0</v>
      </c>
      <c r="L96" s="319">
        <v>0</v>
      </c>
      <c r="M96" s="319">
        <v>331.73745799999995</v>
      </c>
      <c r="N96" s="980">
        <v>5.7603582120005374E-2</v>
      </c>
      <c r="O96" s="666"/>
      <c r="P96" s="666"/>
    </row>
    <row r="97" spans="1:16" ht="15">
      <c r="A97" s="665"/>
      <c r="B97" s="666"/>
      <c r="C97" s="666"/>
      <c r="D97" s="666"/>
      <c r="E97" s="666"/>
      <c r="F97" s="666"/>
      <c r="G97" s="666"/>
      <c r="H97" s="666"/>
      <c r="I97" s="666"/>
      <c r="J97" s="666"/>
      <c r="K97" s="666"/>
      <c r="L97" s="666"/>
      <c r="M97" s="666"/>
      <c r="N97" s="666"/>
      <c r="O97" s="666"/>
      <c r="P97" s="666"/>
    </row>
    <row r="98" spans="1:16">
      <c r="G98" s="133"/>
      <c r="M98" s="13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E6FAB274E0414BA5EAF0F51422A7D7" ma:contentTypeVersion="6" ma:contentTypeDescription="Create a new document." ma:contentTypeScope="" ma:versionID="92460ffd08ef69e16c65e8de6f2735a5">
  <xsd:schema xmlns:xsd="http://www.w3.org/2001/XMLSchema" xmlns:xs="http://www.w3.org/2001/XMLSchema" xmlns:p="http://schemas.microsoft.com/office/2006/metadata/properties" xmlns:ns2="0a01b6be-09c3-43f7-b224-cdbe3610d176" xmlns:ns3="658b29e4-1ce3-4887-9418-f03544be2f74" targetNamespace="http://schemas.microsoft.com/office/2006/metadata/properties" ma:root="true" ma:fieldsID="c0446e12f0beb22188b6674d40527368" ns2:_="" ns3:_="">
    <xsd:import namespace="0a01b6be-09c3-43f7-b224-cdbe3610d176"/>
    <xsd:import namespace="658b29e4-1ce3-4887-9418-f03544be2f7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01b6be-09c3-43f7-b224-cdbe3610d1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8b29e4-1ce3-4887-9418-f03544be2f7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658b29e4-1ce3-4887-9418-f03544be2f74">
      <UserInfo>
        <DisplayName>Craig Maidment</DisplayName>
        <AccountId>59</AccountId>
        <AccountType/>
      </UserInfo>
      <UserInfo>
        <DisplayName>Rachael Omorogieva Evbagharu</DisplayName>
        <AccountId>914</AccountId>
        <AccountType/>
      </UserInfo>
      <UserInfo>
        <DisplayName>Scott Mackay</DisplayName>
        <AccountId>58</AccountId>
        <AccountType/>
      </UserInfo>
      <UserInfo>
        <DisplayName>Fiona Page</DisplayName>
        <AccountId>13</AccountId>
        <AccountType/>
      </UserInfo>
      <UserInfo>
        <DisplayName>Erin Prior</DisplayName>
        <AccountId>12</AccountId>
        <AccountType/>
      </UserInfo>
      <UserInfo>
        <DisplayName>Jamie MacDougall</DisplayName>
        <AccountId>19</AccountId>
        <AccountType/>
      </UserInfo>
      <UserInfo>
        <DisplayName>Rachel Craig</DisplayName>
        <AccountId>69</AccountId>
        <AccountType/>
      </UserInfo>
      <UserInfo>
        <DisplayName>Darryl Boyd</DisplayName>
        <AccountId>23</AccountId>
        <AccountType/>
      </UserInfo>
      <UserInfo>
        <DisplayName>Fiona Robertson</DisplayName>
        <AccountId>36</AccountId>
        <AccountType/>
      </UserInfo>
      <UserInfo>
        <DisplayName>Ben Kerfoot</DisplayName>
        <AccountId>24</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3A65F0-84C9-4539-9E69-18D4BE21D06D}"/>
</file>

<file path=customXml/itemProps2.xml><?xml version="1.0" encoding="utf-8"?>
<ds:datastoreItem xmlns:ds="http://schemas.openxmlformats.org/officeDocument/2006/customXml" ds:itemID="{8B8718A8-327D-4A7C-906F-BD54283AB69E}"/>
</file>

<file path=customXml/itemProps3.xml><?xml version="1.0" encoding="utf-8"?>
<ds:datastoreItem xmlns:ds="http://schemas.openxmlformats.org/officeDocument/2006/customXml" ds:itemID="{714E9EA4-4C2C-47CE-A1AD-1B0CF04E76DC}"/>
</file>

<file path=docProps/app.xml><?xml version="1.0" encoding="utf-8"?>
<Properties xmlns="http://schemas.openxmlformats.org/officeDocument/2006/extended-properties" xmlns:vt="http://schemas.openxmlformats.org/officeDocument/2006/docPropsVTypes">
  <Application>Microsoft Excel Online</Application>
  <Manager/>
  <Company>Scottish Government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u448737</dc:creator>
  <cp:keywords/>
  <dc:description/>
  <cp:lastModifiedBy>Cathy Sumner</cp:lastModifiedBy>
  <cp:revision/>
  <dcterms:created xsi:type="dcterms:W3CDTF">2024-02-26T15:03:24Z</dcterms:created>
  <dcterms:modified xsi:type="dcterms:W3CDTF">2024-03-07T15:27:58Z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0x010100B3E6FAB274E0414BA5EAF0F51422A7D7</vt:lpwstr>
  </property>
</Properties>
</file>